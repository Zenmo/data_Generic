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showInkAnnotation="0" codeName="DieseArbeitsmappe" defaultThemeVersion="166925"/>
  <mc:AlternateContent xmlns:mc="http://schemas.openxmlformats.org/markup-compatibility/2006">
    <mc:Choice Requires="x15">
      <x15ac:absPath xmlns:x15ac="http://schemas.microsoft.com/office/spreadsheetml/2010/11/ac" url="C:\Lokal\04_DHWcalc\DHWcalc-2_02b\"/>
    </mc:Choice>
  </mc:AlternateContent>
  <xr:revisionPtr revIDLastSave="0" documentId="13_ncr:1_{FC992E46-693B-4F05-8D84-4BD0E603C5EE}" xr6:coauthVersionLast="36" xr6:coauthVersionMax="36" xr10:uidLastSave="{00000000-0000-0000-0000-000000000000}"/>
  <bookViews>
    <workbookView xWindow="0" yWindow="0" windowWidth="19200" windowHeight="12435" xr2:uid="{00000000-000D-0000-FFFF-FFFF00000000}"/>
  </bookViews>
  <sheets>
    <sheet name="Introduction" sheetId="11" r:id="rId1"/>
    <sheet name="Main" sheetId="1" r:id="rId2"/>
    <sheet name="Prob" sheetId="9" r:id="rId3"/>
    <sheet name="ProbDay" sheetId="10" r:id="rId4"/>
    <sheet name="ProbTab" sheetId="3" r:id="rId5"/>
    <sheet name="ProbYear" sheetId="4" r:id="rId6"/>
    <sheet name="Flow" sheetId="6" r:id="rId7"/>
    <sheet name="ParVar" sheetId="8" r:id="rId8"/>
    <sheet name="Output" sheetId="5" r:id="rId9"/>
  </sheets>
  <definedNames>
    <definedName name="in" localSheetId="1">Main!#REF!</definedName>
    <definedName name="in_1" localSheetId="1">Main!#REF!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5" i="3" l="1"/>
  <c r="J6" i="3"/>
  <c r="J7" i="3"/>
  <c r="J8" i="3"/>
  <c r="J9" i="3"/>
  <c r="J10" i="3"/>
  <c r="J11" i="3"/>
  <c r="J12" i="3"/>
  <c r="J13" i="3"/>
  <c r="J14" i="3"/>
  <c r="J15" i="3"/>
  <c r="J16" i="3"/>
  <c r="J17" i="3"/>
  <c r="J18" i="3"/>
  <c r="J19" i="3"/>
  <c r="J20" i="3"/>
  <c r="J21" i="3"/>
  <c r="J22" i="3"/>
  <c r="J23" i="3"/>
  <c r="J24" i="3"/>
  <c r="J25" i="3"/>
  <c r="J26" i="3"/>
  <c r="J27" i="3"/>
  <c r="J28" i="3"/>
  <c r="D97" i="5" l="1"/>
  <c r="D98" i="5"/>
  <c r="D72" i="5"/>
  <c r="G15" i="10"/>
  <c r="H15" i="10" s="1"/>
  <c r="D84" i="5" s="1"/>
  <c r="G23" i="10"/>
  <c r="H23" i="10" s="1"/>
  <c r="D92" i="5" s="1"/>
  <c r="G24" i="10"/>
  <c r="H24" i="10" s="1"/>
  <c r="D93" i="5" s="1"/>
  <c r="G25" i="10"/>
  <c r="H25" i="10" s="1"/>
  <c r="D94" i="5" s="1"/>
  <c r="G26" i="10"/>
  <c r="H26" i="10" s="1"/>
  <c r="D95" i="5" s="1"/>
  <c r="G27" i="10"/>
  <c r="H27" i="10" s="1"/>
  <c r="D96" i="5" s="1"/>
  <c r="G22" i="10"/>
  <c r="H22" i="10" s="1"/>
  <c r="D91" i="5" s="1"/>
  <c r="G17" i="10"/>
  <c r="H17" i="10" s="1"/>
  <c r="D86" i="5" s="1"/>
  <c r="G18" i="10"/>
  <c r="H18" i="10" s="1"/>
  <c r="D87" i="5" s="1"/>
  <c r="G19" i="10"/>
  <c r="H19" i="10" s="1"/>
  <c r="D88" i="5" s="1"/>
  <c r="G20" i="10"/>
  <c r="H20" i="10" s="1"/>
  <c r="D89" i="5" s="1"/>
  <c r="G21" i="10"/>
  <c r="H21" i="10" s="1"/>
  <c r="D90" i="5" s="1"/>
  <c r="G16" i="10"/>
  <c r="H16" i="10" s="1"/>
  <c r="D85" i="5" s="1"/>
  <c r="G11" i="10"/>
  <c r="H11" i="10" s="1"/>
  <c r="D80" i="5" s="1"/>
  <c r="G12" i="10"/>
  <c r="H12" i="10" s="1"/>
  <c r="D81" i="5" s="1"/>
  <c r="G13" i="10"/>
  <c r="H13" i="10" s="1"/>
  <c r="D82" i="5" s="1"/>
  <c r="G14" i="10"/>
  <c r="H14" i="10" s="1"/>
  <c r="D83" i="5" s="1"/>
  <c r="G10" i="10"/>
  <c r="H10" i="10" s="1"/>
  <c r="D79" i="5" s="1"/>
  <c r="G5" i="10"/>
  <c r="H5" i="10" s="1"/>
  <c r="D74" i="5" s="1"/>
  <c r="G6" i="10"/>
  <c r="H6" i="10" s="1"/>
  <c r="D75" i="5" s="1"/>
  <c r="G7" i="10"/>
  <c r="H7" i="10" s="1"/>
  <c r="D76" i="5" s="1"/>
  <c r="G8" i="10"/>
  <c r="H8" i="10" s="1"/>
  <c r="D77" i="5" s="1"/>
  <c r="G9" i="10"/>
  <c r="H9" i="10" s="1"/>
  <c r="D78" i="5" s="1"/>
  <c r="G4" i="10"/>
  <c r="H4" i="10" s="1"/>
  <c r="D73" i="5" s="1"/>
  <c r="D19" i="10"/>
  <c r="D10" i="10"/>
  <c r="B18" i="10"/>
  <c r="B17" i="10"/>
  <c r="B16" i="10"/>
  <c r="B15" i="10"/>
  <c r="B14" i="10"/>
  <c r="B13" i="10"/>
  <c r="B6" i="10"/>
  <c r="B7" i="10"/>
  <c r="B8" i="10"/>
  <c r="B9" i="10"/>
  <c r="B5" i="10"/>
  <c r="B4" i="10"/>
  <c r="F29" i="3"/>
  <c r="D29" i="3"/>
  <c r="E29" i="3"/>
  <c r="G29" i="3"/>
  <c r="H29" i="3"/>
  <c r="I29" i="3"/>
  <c r="C29" i="3"/>
  <c r="G4" i="8"/>
  <c r="H4" i="8" s="1"/>
  <c r="D59" i="5" s="1"/>
  <c r="G6" i="8"/>
  <c r="H6" i="8"/>
  <c r="G11" i="8"/>
  <c r="H11" i="8" s="1"/>
  <c r="D100" i="5"/>
  <c r="G10" i="1"/>
  <c r="D270" i="5"/>
  <c r="D58" i="5"/>
  <c r="D34" i="5"/>
  <c r="D27" i="5"/>
  <c r="D13" i="5"/>
  <c r="D2" i="5"/>
  <c r="I39" i="9"/>
  <c r="G39" i="9" s="1"/>
  <c r="D306" i="5" s="1"/>
  <c r="I40" i="9"/>
  <c r="G40" i="9" s="1"/>
  <c r="D307" i="5" s="1"/>
  <c r="I41" i="9"/>
  <c r="G41" i="9" s="1"/>
  <c r="D308" i="5" s="1"/>
  <c r="I42" i="9"/>
  <c r="G42" i="9" s="1"/>
  <c r="D309" i="5" s="1"/>
  <c r="I43" i="9"/>
  <c r="G43" i="9" s="1"/>
  <c r="D310" i="5" s="1"/>
  <c r="I44" i="9"/>
  <c r="G44" i="9" s="1"/>
  <c r="D311" i="5" s="1"/>
  <c r="I45" i="9"/>
  <c r="G45" i="9" s="1"/>
  <c r="D312" i="5" s="1"/>
  <c r="I46" i="9"/>
  <c r="G46" i="9" s="1"/>
  <c r="D313" i="5" s="1"/>
  <c r="I47" i="9"/>
  <c r="G47" i="9" s="1"/>
  <c r="D314" i="5" s="1"/>
  <c r="I48" i="9"/>
  <c r="G48" i="9" s="1"/>
  <c r="D315" i="5" s="1"/>
  <c r="I49" i="9"/>
  <c r="G49" i="9" s="1"/>
  <c r="D316" i="5" s="1"/>
  <c r="I50" i="9"/>
  <c r="G50" i="9" s="1"/>
  <c r="D317" i="5" s="1"/>
  <c r="I51" i="9"/>
  <c r="G51" i="9" s="1"/>
  <c r="D318" i="5" s="1"/>
  <c r="I52" i="9"/>
  <c r="G52" i="9" s="1"/>
  <c r="D319" i="5" s="1"/>
  <c r="I53" i="9"/>
  <c r="G53" i="9" s="1"/>
  <c r="D320" i="5" s="1"/>
  <c r="I54" i="9"/>
  <c r="G54" i="9" s="1"/>
  <c r="D321" i="5" s="1"/>
  <c r="I55" i="9"/>
  <c r="G55" i="9" s="1"/>
  <c r="D322" i="5" s="1"/>
  <c r="I56" i="9"/>
  <c r="G56" i="9" s="1"/>
  <c r="D323" i="5" s="1"/>
  <c r="I57" i="9"/>
  <c r="G57" i="9" s="1"/>
  <c r="D324" i="5" s="1"/>
  <c r="I58" i="9"/>
  <c r="G58" i="9" s="1"/>
  <c r="D325" i="5" s="1"/>
  <c r="I59" i="9"/>
  <c r="G59" i="9" s="1"/>
  <c r="D326" i="5" s="1"/>
  <c r="I60" i="9"/>
  <c r="G60" i="9" s="1"/>
  <c r="D327" i="5" s="1"/>
  <c r="I61" i="9"/>
  <c r="G61" i="9" s="1"/>
  <c r="D328" i="5" s="1"/>
  <c r="I62" i="9"/>
  <c r="G62" i="9" s="1"/>
  <c r="D329" i="5" s="1"/>
  <c r="I63" i="9"/>
  <c r="G63" i="9" s="1"/>
  <c r="D330" i="5" s="1"/>
  <c r="I64" i="9"/>
  <c r="G64" i="9" s="1"/>
  <c r="D331" i="5" s="1"/>
  <c r="I65" i="9"/>
  <c r="G65" i="9" s="1"/>
  <c r="D332" i="5" s="1"/>
  <c r="I66" i="9"/>
  <c r="G66" i="9" s="1"/>
  <c r="D333" i="5" s="1"/>
  <c r="I67" i="9"/>
  <c r="G67" i="9" s="1"/>
  <c r="D334" i="5" s="1"/>
  <c r="I68" i="9"/>
  <c r="G68" i="9" s="1"/>
  <c r="D335" i="5" s="1"/>
  <c r="I69" i="9"/>
  <c r="G69" i="9" s="1"/>
  <c r="D336" i="5" s="1"/>
  <c r="I70" i="9"/>
  <c r="G70" i="9" s="1"/>
  <c r="D337" i="5" s="1"/>
  <c r="I71" i="9"/>
  <c r="G71" i="9" s="1"/>
  <c r="D338" i="5" s="1"/>
  <c r="I72" i="9"/>
  <c r="G72" i="9" s="1"/>
  <c r="D339" i="5" s="1"/>
  <c r="I73" i="9"/>
  <c r="G73" i="9" s="1"/>
  <c r="D340" i="5" s="1"/>
  <c r="I74" i="9"/>
  <c r="G74" i="9" s="1"/>
  <c r="D341" i="5" s="1"/>
  <c r="I75" i="9"/>
  <c r="G75" i="9" s="1"/>
  <c r="D342" i="5" s="1"/>
  <c r="I76" i="9"/>
  <c r="G76" i="9" s="1"/>
  <c r="D343" i="5" s="1"/>
  <c r="I77" i="9"/>
  <c r="G77" i="9" s="1"/>
  <c r="D344" i="5" s="1"/>
  <c r="I78" i="9"/>
  <c r="G78" i="9" s="1"/>
  <c r="D345" i="5" s="1"/>
  <c r="I79" i="9"/>
  <c r="G79" i="9" s="1"/>
  <c r="D346" i="5" s="1"/>
  <c r="I80" i="9"/>
  <c r="G80" i="9" s="1"/>
  <c r="D347" i="5" s="1"/>
  <c r="I81" i="9"/>
  <c r="G81" i="9" s="1"/>
  <c r="D348" i="5" s="1"/>
  <c r="I82" i="9"/>
  <c r="G82" i="9" s="1"/>
  <c r="D349" i="5" s="1"/>
  <c r="I83" i="9"/>
  <c r="G83" i="9" s="1"/>
  <c r="D350" i="5" s="1"/>
  <c r="I84" i="9"/>
  <c r="G84" i="9" s="1"/>
  <c r="D351" i="5" s="1"/>
  <c r="I85" i="9"/>
  <c r="G85" i="9" s="1"/>
  <c r="D352" i="5" s="1"/>
  <c r="I86" i="9"/>
  <c r="G86" i="9" s="1"/>
  <c r="D353" i="5" s="1"/>
  <c r="I87" i="9"/>
  <c r="G87" i="9" s="1"/>
  <c r="D354" i="5" s="1"/>
  <c r="I88" i="9"/>
  <c r="G88" i="9" s="1"/>
  <c r="D355" i="5" s="1"/>
  <c r="I89" i="9"/>
  <c r="G89" i="9" s="1"/>
  <c r="D356" i="5" s="1"/>
  <c r="I90" i="9"/>
  <c r="G90" i="9" s="1"/>
  <c r="D357" i="5" s="1"/>
  <c r="I91" i="9"/>
  <c r="G91" i="9" s="1"/>
  <c r="D358" i="5" s="1"/>
  <c r="I92" i="9"/>
  <c r="G92" i="9" s="1"/>
  <c r="D359" i="5" s="1"/>
  <c r="I93" i="9"/>
  <c r="G93" i="9" s="1"/>
  <c r="D360" i="5" s="1"/>
  <c r="I94" i="9"/>
  <c r="G94" i="9" s="1"/>
  <c r="D361" i="5" s="1"/>
  <c r="I95" i="9"/>
  <c r="G95" i="9" s="1"/>
  <c r="D362" i="5" s="1"/>
  <c r="I96" i="9"/>
  <c r="G96" i="9" s="1"/>
  <c r="D363" i="5" s="1"/>
  <c r="I97" i="9"/>
  <c r="G97" i="9" s="1"/>
  <c r="D364" i="5" s="1"/>
  <c r="I98" i="9"/>
  <c r="G98" i="9" s="1"/>
  <c r="D365" i="5" s="1"/>
  <c r="I99" i="9"/>
  <c r="G99" i="9" s="1"/>
  <c r="D366" i="5" s="1"/>
  <c r="I100" i="9"/>
  <c r="G100" i="9" s="1"/>
  <c r="D367" i="5" s="1"/>
  <c r="I101" i="9"/>
  <c r="G101" i="9" s="1"/>
  <c r="D368" i="5" s="1"/>
  <c r="I102" i="9"/>
  <c r="G102" i="9" s="1"/>
  <c r="D369" i="5" s="1"/>
  <c r="I103" i="9"/>
  <c r="G103" i="9" s="1"/>
  <c r="D370" i="5" s="1"/>
  <c r="I104" i="9"/>
  <c r="G104" i="9" s="1"/>
  <c r="D371" i="5" s="1"/>
  <c r="I105" i="9"/>
  <c r="G105" i="9" s="1"/>
  <c r="D372" i="5" s="1"/>
  <c r="I106" i="9"/>
  <c r="G106" i="9" s="1"/>
  <c r="D373" i="5" s="1"/>
  <c r="I107" i="9"/>
  <c r="G107" i="9" s="1"/>
  <c r="D374" i="5" s="1"/>
  <c r="I108" i="9"/>
  <c r="G108" i="9" s="1"/>
  <c r="D375" i="5" s="1"/>
  <c r="I109" i="9"/>
  <c r="G109" i="9" s="1"/>
  <c r="D376" i="5" s="1"/>
  <c r="I110" i="9"/>
  <c r="G110" i="9" s="1"/>
  <c r="D377" i="5" s="1"/>
  <c r="I111" i="9"/>
  <c r="G111" i="9" s="1"/>
  <c r="D378" i="5" s="1"/>
  <c r="I112" i="9"/>
  <c r="G112" i="9" s="1"/>
  <c r="D379" i="5" s="1"/>
  <c r="I113" i="9"/>
  <c r="G113" i="9" s="1"/>
  <c r="D380" i="5" s="1"/>
  <c r="I114" i="9"/>
  <c r="G114" i="9" s="1"/>
  <c r="D381" i="5" s="1"/>
  <c r="I115" i="9"/>
  <c r="G115" i="9" s="1"/>
  <c r="D382" i="5" s="1"/>
  <c r="I116" i="9"/>
  <c r="G116" i="9" s="1"/>
  <c r="D383" i="5" s="1"/>
  <c r="I117" i="9"/>
  <c r="G117" i="9" s="1"/>
  <c r="D384" i="5" s="1"/>
  <c r="I118" i="9"/>
  <c r="G118" i="9" s="1"/>
  <c r="D385" i="5" s="1"/>
  <c r="I20" i="9"/>
  <c r="G20" i="9" s="1"/>
  <c r="D287" i="5" s="1"/>
  <c r="I21" i="9"/>
  <c r="G21" i="9" s="1"/>
  <c r="D288" i="5" s="1"/>
  <c r="I22" i="9"/>
  <c r="G22" i="9" s="1"/>
  <c r="D289" i="5" s="1"/>
  <c r="I23" i="9"/>
  <c r="G23" i="9" s="1"/>
  <c r="D290" i="5" s="1"/>
  <c r="I24" i="9"/>
  <c r="I25" i="9"/>
  <c r="G25" i="9" s="1"/>
  <c r="D292" i="5" s="1"/>
  <c r="I26" i="9"/>
  <c r="G26" i="9" s="1"/>
  <c r="D293" i="5" s="1"/>
  <c r="I27" i="9"/>
  <c r="G27" i="9" s="1"/>
  <c r="D294" i="5" s="1"/>
  <c r="I28" i="9"/>
  <c r="I29" i="9"/>
  <c r="G29" i="9" s="1"/>
  <c r="D296" i="5" s="1"/>
  <c r="I30" i="9"/>
  <c r="G30" i="9" s="1"/>
  <c r="D297" i="5" s="1"/>
  <c r="I31" i="9"/>
  <c r="G31" i="9" s="1"/>
  <c r="D298" i="5" s="1"/>
  <c r="I32" i="9"/>
  <c r="I33" i="9"/>
  <c r="G33" i="9" s="1"/>
  <c r="D300" i="5" s="1"/>
  <c r="I34" i="9"/>
  <c r="G34" i="9" s="1"/>
  <c r="D301" i="5" s="1"/>
  <c r="I35" i="9"/>
  <c r="G35" i="9" s="1"/>
  <c r="D302" i="5" s="1"/>
  <c r="I36" i="9"/>
  <c r="I37" i="9"/>
  <c r="G37" i="9" s="1"/>
  <c r="D304" i="5" s="1"/>
  <c r="I38" i="9"/>
  <c r="G38" i="9" s="1"/>
  <c r="D305" i="5" s="1"/>
  <c r="G24" i="9"/>
  <c r="D291" i="5" s="1"/>
  <c r="G28" i="9"/>
  <c r="D295" i="5" s="1"/>
  <c r="G32" i="9"/>
  <c r="D299" i="5" s="1"/>
  <c r="G36" i="9"/>
  <c r="D303" i="5" s="1"/>
  <c r="G11" i="9"/>
  <c r="D279" i="5" s="1"/>
  <c r="J29" i="3" l="1"/>
  <c r="G4" i="9"/>
  <c r="D272" i="5" s="1"/>
  <c r="G5" i="9"/>
  <c r="D273" i="5" s="1"/>
  <c r="G6" i="9"/>
  <c r="D274" i="5" s="1"/>
  <c r="G7" i="9"/>
  <c r="D275" i="5" s="1"/>
  <c r="G9" i="9"/>
  <c r="D277" i="5" s="1"/>
  <c r="G10" i="9"/>
  <c r="D278" i="5" s="1"/>
  <c r="G3" i="9"/>
  <c r="D271" i="5" s="1"/>
  <c r="I13" i="9"/>
  <c r="G13" i="9" s="1"/>
  <c r="D281" i="5" s="1"/>
  <c r="I14" i="9"/>
  <c r="G14" i="9" s="1"/>
  <c r="D282" i="5" s="1"/>
  <c r="I15" i="9"/>
  <c r="G15" i="9" s="1"/>
  <c r="D283" i="5" s="1"/>
  <c r="I12" i="9"/>
  <c r="G12" i="9" s="1"/>
  <c r="D280" i="5" s="1"/>
  <c r="I19" i="9"/>
  <c r="G14" i="8"/>
  <c r="H14" i="8" s="1"/>
  <c r="D69" i="5" s="1"/>
  <c r="G15" i="8"/>
  <c r="H15" i="8" s="1"/>
  <c r="D70" i="5" s="1"/>
  <c r="G13" i="8"/>
  <c r="H13" i="8" s="1"/>
  <c r="D68" i="5" s="1"/>
  <c r="G10" i="8"/>
  <c r="H10" i="8" s="1"/>
  <c r="D66" i="5" s="1"/>
  <c r="D67" i="5"/>
  <c r="G9" i="8"/>
  <c r="H9" i="8" s="1"/>
  <c r="D65" i="5" s="1"/>
  <c r="D63" i="5"/>
  <c r="G7" i="8"/>
  <c r="H7" i="8" s="1"/>
  <c r="D64" i="5" s="1"/>
  <c r="G5" i="8"/>
  <c r="H5" i="8" s="1"/>
  <c r="D62" i="5" s="1"/>
  <c r="G12" i="8"/>
  <c r="H12" i="8" s="1"/>
  <c r="D61" i="5" s="1"/>
  <c r="G8" i="8"/>
  <c r="H8" i="8" s="1"/>
  <c r="D60" i="5" s="1"/>
  <c r="G11" i="6"/>
  <c r="D35" i="5" s="1"/>
  <c r="G12" i="6"/>
  <c r="D36" i="5" s="1"/>
  <c r="G14" i="6"/>
  <c r="D38" i="5" s="1"/>
  <c r="G15" i="6"/>
  <c r="D39" i="5" s="1"/>
  <c r="G16" i="6"/>
  <c r="D40" i="5" s="1"/>
  <c r="G17" i="6"/>
  <c r="D41" i="5" s="1"/>
  <c r="G19" i="6"/>
  <c r="D43" i="5" s="1"/>
  <c r="G20" i="6"/>
  <c r="D44" i="5" s="1"/>
  <c r="G21" i="6"/>
  <c r="D45" i="5" s="1"/>
  <c r="G22" i="6"/>
  <c r="D46" i="5" s="1"/>
  <c r="G24" i="6"/>
  <c r="D48" i="5" s="1"/>
  <c r="G25" i="6"/>
  <c r="D49" i="5" s="1"/>
  <c r="G26" i="6"/>
  <c r="D50" i="5" s="1"/>
  <c r="G27" i="6"/>
  <c r="D51" i="5" s="1"/>
  <c r="G29" i="6"/>
  <c r="D53" i="5" s="1"/>
  <c r="G30" i="6"/>
  <c r="D54" i="5" s="1"/>
  <c r="G31" i="6"/>
  <c r="D55" i="5" s="1"/>
  <c r="G32" i="6"/>
  <c r="D56" i="5" s="1"/>
  <c r="G5" i="6"/>
  <c r="D29" i="5" s="1"/>
  <c r="G6" i="6"/>
  <c r="D30" i="5" s="1"/>
  <c r="G7" i="6"/>
  <c r="D31" i="5" s="1"/>
  <c r="G8" i="6"/>
  <c r="D32" i="5" s="1"/>
  <c r="G4" i="6"/>
  <c r="D28" i="5" s="1"/>
  <c r="F5" i="4"/>
  <c r="D15" i="5" s="1"/>
  <c r="F6" i="4"/>
  <c r="D16" i="5" s="1"/>
  <c r="F7" i="4"/>
  <c r="D17" i="5" s="1"/>
  <c r="F8" i="4"/>
  <c r="D18" i="5" s="1"/>
  <c r="F9" i="4"/>
  <c r="D19" i="5" s="1"/>
  <c r="F10" i="4"/>
  <c r="D20" i="5" s="1"/>
  <c r="F11" i="4"/>
  <c r="D21" i="5" s="1"/>
  <c r="F12" i="4"/>
  <c r="D22" i="5" s="1"/>
  <c r="F13" i="4"/>
  <c r="D23" i="5" s="1"/>
  <c r="F14" i="4"/>
  <c r="D24" i="5" s="1"/>
  <c r="F15" i="4"/>
  <c r="D25" i="5" s="1"/>
  <c r="F4" i="4"/>
  <c r="D14" i="5" s="1"/>
  <c r="M173" i="3"/>
  <c r="N171" i="3" s="1"/>
  <c r="D268" i="5" s="1"/>
  <c r="M171" i="3"/>
  <c r="N170" i="3" s="1"/>
  <c r="D267" i="5" s="1"/>
  <c r="M170" i="3"/>
  <c r="N169" i="3" s="1"/>
  <c r="D266" i="5" s="1"/>
  <c r="M169" i="3"/>
  <c r="N168" i="3" s="1"/>
  <c r="D265" i="5" s="1"/>
  <c r="M168" i="3"/>
  <c r="N167" i="3" s="1"/>
  <c r="D264" i="5" s="1"/>
  <c r="M167" i="3"/>
  <c r="N166" i="3" s="1"/>
  <c r="D263" i="5" s="1"/>
  <c r="M166" i="3"/>
  <c r="N165" i="3" s="1"/>
  <c r="D262" i="5" s="1"/>
  <c r="M165" i="3"/>
  <c r="N164" i="3" s="1"/>
  <c r="D261" i="5" s="1"/>
  <c r="M164" i="3"/>
  <c r="N163" i="3" s="1"/>
  <c r="D260" i="5" s="1"/>
  <c r="M163" i="3"/>
  <c r="N162" i="3" s="1"/>
  <c r="D259" i="5" s="1"/>
  <c r="M162" i="3"/>
  <c r="N161" i="3" s="1"/>
  <c r="D258" i="5" s="1"/>
  <c r="M161" i="3"/>
  <c r="N160" i="3" s="1"/>
  <c r="D257" i="5" s="1"/>
  <c r="M160" i="3"/>
  <c r="N159" i="3" s="1"/>
  <c r="D256" i="5" s="1"/>
  <c r="M159" i="3"/>
  <c r="N158" i="3" s="1"/>
  <c r="D255" i="5" s="1"/>
  <c r="M158" i="3"/>
  <c r="N157" i="3" s="1"/>
  <c r="D254" i="5" s="1"/>
  <c r="M157" i="3"/>
  <c r="N156" i="3" s="1"/>
  <c r="D253" i="5" s="1"/>
  <c r="M156" i="3"/>
  <c r="N155" i="3" s="1"/>
  <c r="D252" i="5" s="1"/>
  <c r="M155" i="3"/>
  <c r="N154" i="3" s="1"/>
  <c r="D251" i="5" s="1"/>
  <c r="M154" i="3"/>
  <c r="N153" i="3" s="1"/>
  <c r="D250" i="5" s="1"/>
  <c r="M153" i="3"/>
  <c r="N152" i="3" s="1"/>
  <c r="D249" i="5" s="1"/>
  <c r="M152" i="3"/>
  <c r="N151" i="3" s="1"/>
  <c r="D248" i="5" s="1"/>
  <c r="M151" i="3"/>
  <c r="N150" i="3" s="1"/>
  <c r="D247" i="5" s="1"/>
  <c r="M150" i="3"/>
  <c r="N149" i="3" s="1"/>
  <c r="D246" i="5" s="1"/>
  <c r="M149" i="3"/>
  <c r="N148" i="3" s="1"/>
  <c r="D245" i="5" s="1"/>
  <c r="M148" i="3"/>
  <c r="N147" i="3" s="1"/>
  <c r="D244" i="5" s="1"/>
  <c r="M147" i="3"/>
  <c r="N146" i="3" s="1"/>
  <c r="D243" i="5" s="1"/>
  <c r="M146" i="3"/>
  <c r="N145" i="3" s="1"/>
  <c r="D242" i="5" s="1"/>
  <c r="M145" i="3"/>
  <c r="N144" i="3" s="1"/>
  <c r="D241" i="5" s="1"/>
  <c r="M144" i="3"/>
  <c r="N143" i="3" s="1"/>
  <c r="D240" i="5" s="1"/>
  <c r="M143" i="3"/>
  <c r="N142" i="3" s="1"/>
  <c r="D239" i="5" s="1"/>
  <c r="M142" i="3"/>
  <c r="N141" i="3" s="1"/>
  <c r="D238" i="5" s="1"/>
  <c r="M141" i="3"/>
  <c r="N140" i="3" s="1"/>
  <c r="D237" i="5" s="1"/>
  <c r="M140" i="3"/>
  <c r="N139" i="3" s="1"/>
  <c r="D236" i="5" s="1"/>
  <c r="M139" i="3"/>
  <c r="N138" i="3" s="1"/>
  <c r="D235" i="5" s="1"/>
  <c r="M138" i="3"/>
  <c r="N137" i="3" s="1"/>
  <c r="D234" i="5" s="1"/>
  <c r="M137" i="3"/>
  <c r="N136" i="3" s="1"/>
  <c r="D233" i="5" s="1"/>
  <c r="M136" i="3"/>
  <c r="N135" i="3" s="1"/>
  <c r="D232" i="5" s="1"/>
  <c r="M135" i="3"/>
  <c r="N134" i="3" s="1"/>
  <c r="D231" i="5" s="1"/>
  <c r="M134" i="3"/>
  <c r="N133" i="3" s="1"/>
  <c r="D230" i="5" s="1"/>
  <c r="M133" i="3"/>
  <c r="N132" i="3" s="1"/>
  <c r="D229" i="5" s="1"/>
  <c r="M132" i="3"/>
  <c r="N131" i="3" s="1"/>
  <c r="D228" i="5" s="1"/>
  <c r="M131" i="3"/>
  <c r="N130" i="3" s="1"/>
  <c r="D227" i="5" s="1"/>
  <c r="M130" i="3"/>
  <c r="N129" i="3" s="1"/>
  <c r="D226" i="5" s="1"/>
  <c r="M129" i="3"/>
  <c r="N128" i="3" s="1"/>
  <c r="D225" i="5" s="1"/>
  <c r="M128" i="3"/>
  <c r="N127" i="3" s="1"/>
  <c r="D224" i="5" s="1"/>
  <c r="M127" i="3"/>
  <c r="N126" i="3" s="1"/>
  <c r="D223" i="5" s="1"/>
  <c r="M126" i="3"/>
  <c r="N125" i="3" s="1"/>
  <c r="D222" i="5" s="1"/>
  <c r="M125" i="3"/>
  <c r="N124" i="3" s="1"/>
  <c r="D221" i="5" s="1"/>
  <c r="M124" i="3"/>
  <c r="N123" i="3" s="1"/>
  <c r="D220" i="5" s="1"/>
  <c r="M123" i="3"/>
  <c r="N122" i="3" s="1"/>
  <c r="D219" i="5" s="1"/>
  <c r="M122" i="3"/>
  <c r="N121" i="3" s="1"/>
  <c r="D218" i="5" s="1"/>
  <c r="M121" i="3"/>
  <c r="N120" i="3" s="1"/>
  <c r="D217" i="5" s="1"/>
  <c r="M120" i="3"/>
  <c r="N119" i="3" s="1"/>
  <c r="D216" i="5" s="1"/>
  <c r="M119" i="3"/>
  <c r="N118" i="3" s="1"/>
  <c r="D215" i="5" s="1"/>
  <c r="M118" i="3"/>
  <c r="N117" i="3" s="1"/>
  <c r="D214" i="5" s="1"/>
  <c r="M117" i="3"/>
  <c r="N116" i="3" s="1"/>
  <c r="D213" i="5" s="1"/>
  <c r="M116" i="3"/>
  <c r="N115" i="3" s="1"/>
  <c r="D212" i="5" s="1"/>
  <c r="M115" i="3"/>
  <c r="N114" i="3" s="1"/>
  <c r="D211" i="5" s="1"/>
  <c r="M114" i="3"/>
  <c r="N113" i="3" s="1"/>
  <c r="D210" i="5" s="1"/>
  <c r="M113" i="3"/>
  <c r="N112" i="3" s="1"/>
  <c r="D209" i="5" s="1"/>
  <c r="M112" i="3"/>
  <c r="N111" i="3" s="1"/>
  <c r="D208" i="5" s="1"/>
  <c r="M111" i="3"/>
  <c r="N110" i="3" s="1"/>
  <c r="D207" i="5" s="1"/>
  <c r="M110" i="3"/>
  <c r="N109" i="3" s="1"/>
  <c r="D206" i="5" s="1"/>
  <c r="M109" i="3"/>
  <c r="N108" i="3" s="1"/>
  <c r="D205" i="5" s="1"/>
  <c r="M108" i="3"/>
  <c r="N107" i="3" s="1"/>
  <c r="D204" i="5" s="1"/>
  <c r="M107" i="3"/>
  <c r="N106" i="3" s="1"/>
  <c r="D203" i="5" s="1"/>
  <c r="M106" i="3"/>
  <c r="N105" i="3" s="1"/>
  <c r="D202" i="5" s="1"/>
  <c r="M105" i="3"/>
  <c r="N104" i="3" s="1"/>
  <c r="D201" i="5" s="1"/>
  <c r="M104" i="3"/>
  <c r="N103" i="3" s="1"/>
  <c r="D200" i="5" s="1"/>
  <c r="M103" i="3"/>
  <c r="N102" i="3" s="1"/>
  <c r="D199" i="5" s="1"/>
  <c r="M102" i="3"/>
  <c r="N101" i="3" s="1"/>
  <c r="D198" i="5" s="1"/>
  <c r="M101" i="3"/>
  <c r="N100" i="3" s="1"/>
  <c r="D197" i="5" s="1"/>
  <c r="M100" i="3"/>
  <c r="N99" i="3" s="1"/>
  <c r="D196" i="5" s="1"/>
  <c r="M99" i="3"/>
  <c r="N98" i="3" s="1"/>
  <c r="D195" i="5" s="1"/>
  <c r="M98" i="3"/>
  <c r="N97" i="3" s="1"/>
  <c r="D194" i="5" s="1"/>
  <c r="M97" i="3"/>
  <c r="N96" i="3" s="1"/>
  <c r="D193" i="5" s="1"/>
  <c r="M96" i="3"/>
  <c r="N95" i="3" s="1"/>
  <c r="D192" i="5" s="1"/>
  <c r="M95" i="3"/>
  <c r="N94" i="3" s="1"/>
  <c r="D191" i="5" s="1"/>
  <c r="M94" i="3"/>
  <c r="N93" i="3" s="1"/>
  <c r="D190" i="5" s="1"/>
  <c r="M93" i="3"/>
  <c r="N92" i="3" s="1"/>
  <c r="D189" i="5" s="1"/>
  <c r="M92" i="3"/>
  <c r="N91" i="3" s="1"/>
  <c r="D188" i="5" s="1"/>
  <c r="M91" i="3"/>
  <c r="N90" i="3" s="1"/>
  <c r="D187" i="5" s="1"/>
  <c r="M90" i="3"/>
  <c r="N89" i="3" s="1"/>
  <c r="D186" i="5" s="1"/>
  <c r="M89" i="3"/>
  <c r="N88" i="3" s="1"/>
  <c r="D185" i="5" s="1"/>
  <c r="M88" i="3"/>
  <c r="N87" i="3" s="1"/>
  <c r="D184" i="5" s="1"/>
  <c r="M87" i="3"/>
  <c r="N86" i="3" s="1"/>
  <c r="D183" i="5" s="1"/>
  <c r="M86" i="3"/>
  <c r="N85" i="3" s="1"/>
  <c r="D182" i="5" s="1"/>
  <c r="M85" i="3"/>
  <c r="N84" i="3" s="1"/>
  <c r="D181" i="5" s="1"/>
  <c r="M84" i="3"/>
  <c r="N83" i="3" s="1"/>
  <c r="D180" i="5" s="1"/>
  <c r="M83" i="3"/>
  <c r="N82" i="3" s="1"/>
  <c r="D179" i="5" s="1"/>
  <c r="M82" i="3"/>
  <c r="N81" i="3" s="1"/>
  <c r="D178" i="5" s="1"/>
  <c r="M81" i="3"/>
  <c r="N80" i="3" s="1"/>
  <c r="D177" i="5" s="1"/>
  <c r="M80" i="3"/>
  <c r="N79" i="3" s="1"/>
  <c r="D176" i="5" s="1"/>
  <c r="M79" i="3"/>
  <c r="N78" i="3" s="1"/>
  <c r="D175" i="5" s="1"/>
  <c r="M78" i="3"/>
  <c r="N77" i="3" s="1"/>
  <c r="D174" i="5" s="1"/>
  <c r="M77" i="3"/>
  <c r="N76" i="3" s="1"/>
  <c r="D173" i="5" s="1"/>
  <c r="M76" i="3"/>
  <c r="N75" i="3" s="1"/>
  <c r="D172" i="5" s="1"/>
  <c r="M75" i="3"/>
  <c r="N74" i="3" s="1"/>
  <c r="D171" i="5" s="1"/>
  <c r="M74" i="3"/>
  <c r="N73" i="3" s="1"/>
  <c r="D170" i="5" s="1"/>
  <c r="M73" i="3"/>
  <c r="N72" i="3" s="1"/>
  <c r="D169" i="5" s="1"/>
  <c r="M72" i="3"/>
  <c r="N71" i="3" s="1"/>
  <c r="D168" i="5" s="1"/>
  <c r="M71" i="3"/>
  <c r="N70" i="3" s="1"/>
  <c r="D167" i="5" s="1"/>
  <c r="M70" i="3"/>
  <c r="N69" i="3" s="1"/>
  <c r="D166" i="5" s="1"/>
  <c r="M69" i="3"/>
  <c r="N68" i="3" s="1"/>
  <c r="D165" i="5" s="1"/>
  <c r="M68" i="3"/>
  <c r="N67" i="3" s="1"/>
  <c r="D164" i="5" s="1"/>
  <c r="M67" i="3"/>
  <c r="N66" i="3" s="1"/>
  <c r="D163" i="5" s="1"/>
  <c r="M66" i="3"/>
  <c r="N65" i="3" s="1"/>
  <c r="D162" i="5" s="1"/>
  <c r="M65" i="3"/>
  <c r="N64" i="3" s="1"/>
  <c r="D161" i="5" s="1"/>
  <c r="M64" i="3"/>
  <c r="N63" i="3" s="1"/>
  <c r="D160" i="5" s="1"/>
  <c r="M63" i="3"/>
  <c r="N62" i="3" s="1"/>
  <c r="D159" i="5" s="1"/>
  <c r="M62" i="3"/>
  <c r="N61" i="3" s="1"/>
  <c r="D158" i="5" s="1"/>
  <c r="M61" i="3"/>
  <c r="N60" i="3" s="1"/>
  <c r="D157" i="5" s="1"/>
  <c r="M60" i="3"/>
  <c r="N59" i="3" s="1"/>
  <c r="D156" i="5" s="1"/>
  <c r="M59" i="3"/>
  <c r="N58" i="3" s="1"/>
  <c r="D155" i="5" s="1"/>
  <c r="M58" i="3"/>
  <c r="N57" i="3" s="1"/>
  <c r="D154" i="5" s="1"/>
  <c r="M57" i="3"/>
  <c r="N56" i="3" s="1"/>
  <c r="D153" i="5" s="1"/>
  <c r="M56" i="3"/>
  <c r="N55" i="3" s="1"/>
  <c r="D152" i="5" s="1"/>
  <c r="M55" i="3"/>
  <c r="N54" i="3" s="1"/>
  <c r="D151" i="5" s="1"/>
  <c r="M54" i="3"/>
  <c r="N53" i="3" s="1"/>
  <c r="D150" i="5" s="1"/>
  <c r="M53" i="3"/>
  <c r="N52" i="3" s="1"/>
  <c r="D149" i="5" s="1"/>
  <c r="M52" i="3"/>
  <c r="N51" i="3" s="1"/>
  <c r="D148" i="5" s="1"/>
  <c r="M51" i="3"/>
  <c r="N50" i="3" s="1"/>
  <c r="D147" i="5" s="1"/>
  <c r="M50" i="3"/>
  <c r="N49" i="3" s="1"/>
  <c r="D146" i="5" s="1"/>
  <c r="M49" i="3"/>
  <c r="N48" i="3" s="1"/>
  <c r="D145" i="5" s="1"/>
  <c r="M48" i="3"/>
  <c r="N47" i="3" s="1"/>
  <c r="D144" i="5" s="1"/>
  <c r="M47" i="3"/>
  <c r="N46" i="3" s="1"/>
  <c r="D143" i="5" s="1"/>
  <c r="M46" i="3"/>
  <c r="N45" i="3" s="1"/>
  <c r="D142" i="5" s="1"/>
  <c r="M45" i="3"/>
  <c r="N44" i="3" s="1"/>
  <c r="D141" i="5" s="1"/>
  <c r="M44" i="3"/>
  <c r="N43" i="3" s="1"/>
  <c r="D140" i="5" s="1"/>
  <c r="M43" i="3"/>
  <c r="N42" i="3" s="1"/>
  <c r="D139" i="5" s="1"/>
  <c r="M42" i="3"/>
  <c r="N41" i="3" s="1"/>
  <c r="D138" i="5" s="1"/>
  <c r="M41" i="3"/>
  <c r="N40" i="3" s="1"/>
  <c r="D137" i="5" s="1"/>
  <c r="M40" i="3"/>
  <c r="N39" i="3" s="1"/>
  <c r="D136" i="5" s="1"/>
  <c r="M39" i="3"/>
  <c r="N38" i="3" s="1"/>
  <c r="D135" i="5" s="1"/>
  <c r="M38" i="3"/>
  <c r="N37" i="3" s="1"/>
  <c r="D134" i="5" s="1"/>
  <c r="M37" i="3"/>
  <c r="N36" i="3" s="1"/>
  <c r="D133" i="5" s="1"/>
  <c r="M36" i="3"/>
  <c r="N35" i="3" s="1"/>
  <c r="D132" i="5" s="1"/>
  <c r="M35" i="3"/>
  <c r="N34" i="3" s="1"/>
  <c r="D131" i="5" s="1"/>
  <c r="M34" i="3"/>
  <c r="N33" i="3" s="1"/>
  <c r="D130" i="5" s="1"/>
  <c r="M33" i="3"/>
  <c r="N32" i="3" s="1"/>
  <c r="D129" i="5" s="1"/>
  <c r="M32" i="3"/>
  <c r="N31" i="3" s="1"/>
  <c r="D128" i="5" s="1"/>
  <c r="M31" i="3"/>
  <c r="N30" i="3" s="1"/>
  <c r="D127" i="5" s="1"/>
  <c r="M30" i="3"/>
  <c r="N29" i="3" s="1"/>
  <c r="D126" i="5" s="1"/>
  <c r="M29" i="3"/>
  <c r="N28" i="3" s="1"/>
  <c r="D125" i="5" s="1"/>
  <c r="M28" i="3"/>
  <c r="N27" i="3" s="1"/>
  <c r="D124" i="5" s="1"/>
  <c r="M26" i="3"/>
  <c r="N26" i="3" s="1"/>
  <c r="D123" i="5" s="1"/>
  <c r="M25" i="3"/>
  <c r="N25" i="3" s="1"/>
  <c r="D122" i="5" s="1"/>
  <c r="M24" i="3"/>
  <c r="N24" i="3" s="1"/>
  <c r="D121" i="5" s="1"/>
  <c r="M23" i="3"/>
  <c r="N23" i="3" s="1"/>
  <c r="D120" i="5" s="1"/>
  <c r="M22" i="3"/>
  <c r="N22" i="3" s="1"/>
  <c r="D119" i="5" s="1"/>
  <c r="M21" i="3"/>
  <c r="N21" i="3" s="1"/>
  <c r="D118" i="5" s="1"/>
  <c r="M20" i="3"/>
  <c r="N20" i="3" s="1"/>
  <c r="D117" i="5" s="1"/>
  <c r="M19" i="3"/>
  <c r="N19" i="3" s="1"/>
  <c r="D116" i="5" s="1"/>
  <c r="M18" i="3"/>
  <c r="N18" i="3" s="1"/>
  <c r="D115" i="5" s="1"/>
  <c r="M17" i="3"/>
  <c r="N17" i="3" s="1"/>
  <c r="D114" i="5" s="1"/>
  <c r="M16" i="3"/>
  <c r="N16" i="3" s="1"/>
  <c r="D113" i="5" s="1"/>
  <c r="M15" i="3"/>
  <c r="N15" i="3" s="1"/>
  <c r="D112" i="5" s="1"/>
  <c r="M14" i="3"/>
  <c r="N14" i="3" s="1"/>
  <c r="D111" i="5" s="1"/>
  <c r="M13" i="3"/>
  <c r="N13" i="3" s="1"/>
  <c r="D110" i="5" s="1"/>
  <c r="M12" i="3"/>
  <c r="N12" i="3" s="1"/>
  <c r="D109" i="5" s="1"/>
  <c r="M11" i="3"/>
  <c r="N11" i="3" s="1"/>
  <c r="D108" i="5" s="1"/>
  <c r="M10" i="3"/>
  <c r="N10" i="3" s="1"/>
  <c r="D107" i="5" s="1"/>
  <c r="M9" i="3"/>
  <c r="N9" i="3" s="1"/>
  <c r="D106" i="5" s="1"/>
  <c r="M8" i="3"/>
  <c r="N8" i="3" s="1"/>
  <c r="D105" i="5" s="1"/>
  <c r="M7" i="3"/>
  <c r="N7" i="3" s="1"/>
  <c r="D104" i="5" s="1"/>
  <c r="M6" i="3"/>
  <c r="N6" i="3" s="1"/>
  <c r="D103" i="5" s="1"/>
  <c r="M5" i="3"/>
  <c r="N5" i="3" s="1"/>
  <c r="D102" i="5" s="1"/>
  <c r="M4" i="3"/>
  <c r="N4" i="3" s="1"/>
  <c r="D101" i="5" s="1"/>
  <c r="G19" i="9" l="1"/>
  <c r="D286" i="5" s="1"/>
  <c r="I18" i="9"/>
  <c r="G18" i="9" s="1"/>
  <c r="D285" i="5" s="1"/>
  <c r="G11" i="1"/>
  <c r="H11" i="1" s="1"/>
  <c r="D11" i="5" s="1"/>
  <c r="G7" i="1"/>
  <c r="H7" i="1" s="1"/>
  <c r="D7" i="5" s="1"/>
  <c r="G8" i="1"/>
  <c r="H8" i="1" s="1"/>
  <c r="D8" i="5" s="1"/>
  <c r="G9" i="1"/>
  <c r="H9" i="1" s="1"/>
  <c r="D9" i="5" s="1"/>
  <c r="H10" i="1"/>
  <c r="D10" i="5" s="1"/>
  <c r="G6" i="1" l="1"/>
  <c r="H6" i="1" s="1"/>
  <c r="D6" i="5" s="1"/>
  <c r="G5" i="1"/>
  <c r="H5" i="1" s="1"/>
  <c r="D5" i="5" s="1"/>
  <c r="G4" i="1"/>
  <c r="H4" i="1" s="1"/>
  <c r="D4" i="5" s="1"/>
  <c r="G3" i="1"/>
  <c r="H3" i="1" s="1"/>
  <c r="D3" i="5" s="1"/>
</calcChain>
</file>

<file path=xl/sharedStrings.xml><?xml version="1.0" encoding="utf-8"?>
<sst xmlns="http://schemas.openxmlformats.org/spreadsheetml/2006/main" count="427" uniqueCount="363">
  <si>
    <t>Main</t>
  </si>
  <si>
    <t>Household</t>
  </si>
  <si>
    <t>0 for Single Family Household, 1 for Multi Family Household</t>
  </si>
  <si>
    <t>Nr. of Households</t>
  </si>
  <si>
    <t>Nr. of Categories</t>
  </si>
  <si>
    <t>1 or 4</t>
  </si>
  <si>
    <t>Timestep in minutes</t>
  </si>
  <si>
    <t>1, 3, 6, 10, 12, 15, 30 or 60</t>
  </si>
  <si>
    <t>Main Window</t>
  </si>
  <si>
    <t>Startday of profile</t>
  </si>
  <si>
    <t>Total duration</t>
  </si>
  <si>
    <t>Total mean daily draw-off volume</t>
  </si>
  <si>
    <t>Daylight saving time</t>
  </si>
  <si>
    <t>FileName</t>
  </si>
  <si>
    <t>Probability Distributions</t>
  </si>
  <si>
    <t>Distribution during the day</t>
  </si>
  <si>
    <t>Probability weekend-day/weekday</t>
  </si>
  <si>
    <t>0-300 in %</t>
  </si>
  <si>
    <t>SingleMulti</t>
  </si>
  <si>
    <t>NoHH</t>
  </si>
  <si>
    <t>BoxCateg</t>
  </si>
  <si>
    <t>StepBox</t>
  </si>
  <si>
    <t>StartDay</t>
  </si>
  <si>
    <t>NrDays</t>
  </si>
  <si>
    <t>Vol</t>
  </si>
  <si>
    <t>Dls</t>
  </si>
  <si>
    <t>in days</t>
  </si>
  <si>
    <t>Nr Categories</t>
  </si>
  <si>
    <t>Timestep in Minutes</t>
  </si>
  <si>
    <t>Day</t>
  </si>
  <si>
    <t>Week</t>
  </si>
  <si>
    <t>SinAmpl</t>
  </si>
  <si>
    <t>SinMax</t>
  </si>
  <si>
    <t>StepMon</t>
  </si>
  <si>
    <t>HolPeriodMul</t>
  </si>
  <si>
    <t>NrHol</t>
  </si>
  <si>
    <t>relHol</t>
  </si>
  <si>
    <t>HolNr.1</t>
  </si>
  <si>
    <t>Amplitude of Sine</t>
  </si>
  <si>
    <t>in %</t>
  </si>
  <si>
    <t>Sine Maximum</t>
  </si>
  <si>
    <t>day of the year</t>
  </si>
  <si>
    <t>Step function for months</t>
  </si>
  <si>
    <t>0 for deactivated, 1 for activated</t>
  </si>
  <si>
    <t>Holiday Period MFH</t>
  </si>
  <si>
    <t>Start Date</t>
  </si>
  <si>
    <t>End Date</t>
  </si>
  <si>
    <t>Relative Consumption in %</t>
  </si>
  <si>
    <t>Monday</t>
  </si>
  <si>
    <t>Tuesday</t>
  </si>
  <si>
    <t>Wednesday</t>
  </si>
  <si>
    <t>Thursday</t>
  </si>
  <si>
    <t>Friday</t>
  </si>
  <si>
    <t>Saturday</t>
  </si>
  <si>
    <t>Sunday</t>
  </si>
  <si>
    <t>[Main]</t>
  </si>
  <si>
    <t>[Prob]</t>
  </si>
  <si>
    <t>HolNr.2</t>
  </si>
  <si>
    <t>HolNr.3</t>
  </si>
  <si>
    <t>HolNr.4</t>
  </si>
  <si>
    <t>HolNr.5</t>
  </si>
  <si>
    <t>HolNr.6</t>
  </si>
  <si>
    <t>HolNr.7</t>
  </si>
  <si>
    <t>HolNr.8</t>
  </si>
  <si>
    <t>HolNr.9</t>
  </si>
  <si>
    <t>HolNr.10</t>
  </si>
  <si>
    <t>HolNr.11</t>
  </si>
  <si>
    <t>HolNr.12</t>
  </si>
  <si>
    <t>HolNr.13</t>
  </si>
  <si>
    <t>HolNr.14</t>
  </si>
  <si>
    <t>HolNr.15</t>
  </si>
  <si>
    <t>HolNr.16</t>
  </si>
  <si>
    <t>HolNr.17</t>
  </si>
  <si>
    <t>HolNr.18</t>
  </si>
  <si>
    <t>HolNr.19</t>
  </si>
  <si>
    <t>HolNr.20</t>
  </si>
  <si>
    <t>January</t>
  </si>
  <si>
    <t>February</t>
  </si>
  <si>
    <t>March</t>
  </si>
  <si>
    <t>April</t>
  </si>
  <si>
    <t>May</t>
  </si>
  <si>
    <t>June</t>
  </si>
  <si>
    <t>July</t>
  </si>
  <si>
    <t>August</t>
  </si>
  <si>
    <t>September</t>
  </si>
  <si>
    <t>October</t>
  </si>
  <si>
    <t>November</t>
  </si>
  <si>
    <t>December</t>
  </si>
  <si>
    <t>Month</t>
  </si>
  <si>
    <t>Value (between 0 and 200)</t>
  </si>
  <si>
    <t>Scroll1</t>
  </si>
  <si>
    <t>Scroll2</t>
  </si>
  <si>
    <t>Scroll3</t>
  </si>
  <si>
    <t>Scroll4</t>
  </si>
  <si>
    <t>Scroll5</t>
  </si>
  <si>
    <t>Scroll6</t>
  </si>
  <si>
    <t>Scroll7</t>
  </si>
  <si>
    <t>Scroll8</t>
  </si>
  <si>
    <t>Scroll9</t>
  </si>
  <si>
    <t>Scroll10</t>
  </si>
  <si>
    <t>Scroll11</t>
  </si>
  <si>
    <t>Scroll12</t>
  </si>
  <si>
    <t>0 for deactivated, 1 for activated - can be specified in "ProbYear"</t>
  </si>
  <si>
    <t>Relative Consumption during Holiday</t>
  </si>
  <si>
    <t>in % between 0 and 100</t>
  </si>
  <si>
    <t>mean flow rate per draw-off</t>
  </si>
  <si>
    <t>duration of draw-off</t>
  </si>
  <si>
    <t>standard deviation</t>
  </si>
  <si>
    <t>min. flow rate</t>
  </si>
  <si>
    <t>max. flow rate</t>
  </si>
  <si>
    <t>mean</t>
  </si>
  <si>
    <t>dur</t>
  </si>
  <si>
    <t>sigma</t>
  </si>
  <si>
    <t>min</t>
  </si>
  <si>
    <t>max</t>
  </si>
  <si>
    <t>in l/h</t>
  </si>
  <si>
    <t>in minutes</t>
  </si>
  <si>
    <t>One Category</t>
  </si>
  <si>
    <t>Four Categories</t>
  </si>
  <si>
    <t>Category 1</t>
  </si>
  <si>
    <t>portion</t>
  </si>
  <si>
    <t>Category 2</t>
  </si>
  <si>
    <t>Category 4</t>
  </si>
  <si>
    <t>Category 3</t>
  </si>
  <si>
    <t>in %, all 4 categories must combine to 100 %</t>
  </si>
  <si>
    <t>mean1</t>
  </si>
  <si>
    <t>dur1</t>
  </si>
  <si>
    <t>portion1</t>
  </si>
  <si>
    <t>sigma1</t>
  </si>
  <si>
    <t>mean2</t>
  </si>
  <si>
    <t>dur2</t>
  </si>
  <si>
    <t>portion2</t>
  </si>
  <si>
    <t>sigma2</t>
  </si>
  <si>
    <t>mean3</t>
  </si>
  <si>
    <t>dur3</t>
  </si>
  <si>
    <t>portion3</t>
  </si>
  <si>
    <t>sigma3</t>
  </si>
  <si>
    <t>mean4</t>
  </si>
  <si>
    <t>dur4</t>
  </si>
  <si>
    <t>portion4</t>
  </si>
  <si>
    <t>sigma4</t>
  </si>
  <si>
    <t>[Flow1]</t>
  </si>
  <si>
    <t>[Flow4]</t>
  </si>
  <si>
    <t>0 for DHW standard distribution, 1 for Step function for weekdays and weekends, 2 for Step function for each day (can be specified in "ProbTab")</t>
  </si>
  <si>
    <t>min. Volume</t>
  </si>
  <si>
    <t>max. Volume</t>
  </si>
  <si>
    <t>Volume step</t>
  </si>
  <si>
    <t>min. mean flow rate</t>
  </si>
  <si>
    <t>max. mean flow rate</t>
  </si>
  <si>
    <t>first max. flow rate</t>
  </si>
  <si>
    <t>last max. flow rate</t>
  </si>
  <si>
    <t>max flow rate step</t>
  </si>
  <si>
    <t>mean flow rate step</t>
  </si>
  <si>
    <t>in l/day</t>
  </si>
  <si>
    <t>Parameter to variate</t>
  </si>
  <si>
    <t>1: mean draw-off volume, 2: max flow rate, 3: mean flow rate</t>
  </si>
  <si>
    <t>MeanVol=</t>
  </si>
  <si>
    <t>MaxFlow=</t>
  </si>
  <si>
    <t>MeanFlow=</t>
  </si>
  <si>
    <t>VolMin=</t>
  </si>
  <si>
    <t>VolMax=</t>
  </si>
  <si>
    <t>VolStep=</t>
  </si>
  <si>
    <t>MaxFirst=</t>
  </si>
  <si>
    <t>MaxLast=</t>
  </si>
  <si>
    <t>MaxStep=</t>
  </si>
  <si>
    <t>FlowMin=</t>
  </si>
  <si>
    <t>FlowMax=</t>
  </si>
  <si>
    <t>FlowStep=</t>
  </si>
  <si>
    <t>Parameter variation</t>
  </si>
  <si>
    <t>Flow rates etc.</t>
  </si>
  <si>
    <t>Step function vor months</t>
  </si>
  <si>
    <t>Step function for each day</t>
  </si>
  <si>
    <t>[Probyear]</t>
  </si>
  <si>
    <t>[Par]</t>
  </si>
  <si>
    <t>SFH Holidays</t>
  </si>
  <si>
    <t>MFH Holidays</t>
  </si>
  <si>
    <t>Start day</t>
  </si>
  <si>
    <t>Start month</t>
  </si>
  <si>
    <t>End day</t>
  </si>
  <si>
    <t>End month</t>
  </si>
  <si>
    <t>1 to 31</t>
  </si>
  <si>
    <t>1 to 12</t>
  </si>
  <si>
    <t>HmultDay1</t>
  </si>
  <si>
    <t>HmultMon1</t>
  </si>
  <si>
    <t>HmultDay2</t>
  </si>
  <si>
    <t>HmultMon2</t>
  </si>
  <si>
    <t>HolCount</t>
  </si>
  <si>
    <t>Number of holidays per household</t>
  </si>
  <si>
    <t>HolNr.21</t>
  </si>
  <si>
    <t>HolNr.22</t>
  </si>
  <si>
    <t>HolNr.23</t>
  </si>
  <si>
    <t>HolNr.24</t>
  </si>
  <si>
    <t>HolNr.25</t>
  </si>
  <si>
    <t>HolNr.26</t>
  </si>
  <si>
    <t>HolNr.27</t>
  </si>
  <si>
    <t>HolNr.28</t>
  </si>
  <si>
    <t>HolNr.29</t>
  </si>
  <si>
    <t>HolNr.30</t>
  </si>
  <si>
    <t>HolNr.31</t>
  </si>
  <si>
    <t>HolNr.32</t>
  </si>
  <si>
    <t>HolNr.33</t>
  </si>
  <si>
    <t>HolNr.34</t>
  </si>
  <si>
    <t>HolNr.35</t>
  </si>
  <si>
    <t>HolNr.36</t>
  </si>
  <si>
    <t>HolNr.37</t>
  </si>
  <si>
    <t>HolNr.38</t>
  </si>
  <si>
    <t>HolNr.39</t>
  </si>
  <si>
    <t>HolNr.40</t>
  </si>
  <si>
    <t>HolNr.41</t>
  </si>
  <si>
    <t>HolNr.42</t>
  </si>
  <si>
    <t>HolNr.43</t>
  </si>
  <si>
    <t>HolNr.44</t>
  </si>
  <si>
    <t>HolNr.45</t>
  </si>
  <si>
    <t>HolNr.46</t>
  </si>
  <si>
    <t>HolNr.47</t>
  </si>
  <si>
    <t>HolNr.48</t>
  </si>
  <si>
    <t>HolNr.49</t>
  </si>
  <si>
    <t>HolNr.50</t>
  </si>
  <si>
    <t>HolNr.51</t>
  </si>
  <si>
    <t>HolNr.52</t>
  </si>
  <si>
    <t>HolNr.53</t>
  </si>
  <si>
    <t>HolNr.54</t>
  </si>
  <si>
    <t>HolNr.55</t>
  </si>
  <si>
    <t>HolNr.56</t>
  </si>
  <si>
    <t>HolNr.57</t>
  </si>
  <si>
    <t>HolNr.58</t>
  </si>
  <si>
    <t>HolNr.59</t>
  </si>
  <si>
    <t>HolNr.60</t>
  </si>
  <si>
    <t>HolNr.61</t>
  </si>
  <si>
    <t>HolNr.62</t>
  </si>
  <si>
    <t>HolNr.63</t>
  </si>
  <si>
    <t>HolNr.64</t>
  </si>
  <si>
    <t>HolNr.65</t>
  </si>
  <si>
    <t>HolNr.66</t>
  </si>
  <si>
    <t>HolNr.67</t>
  </si>
  <si>
    <t>HolNr.68</t>
  </si>
  <si>
    <t>HolNr.69</t>
  </si>
  <si>
    <t>HolNr.70</t>
  </si>
  <si>
    <t>HolNr.71</t>
  </si>
  <si>
    <t>HolNr.72</t>
  </si>
  <si>
    <t>HolNr.73</t>
  </si>
  <si>
    <t>HolNr.74</t>
  </si>
  <si>
    <t>HolNr.75</t>
  </si>
  <si>
    <t>HolNr.76</t>
  </si>
  <si>
    <t>HolNr.77</t>
  </si>
  <si>
    <t>HolNr.78</t>
  </si>
  <si>
    <t>HolNr.79</t>
  </si>
  <si>
    <t>HolNr.80</t>
  </si>
  <si>
    <t>HolNr.81</t>
  </si>
  <si>
    <t>HolNr.82</t>
  </si>
  <si>
    <t>HolNr.83</t>
  </si>
  <si>
    <t>HolNr.84</t>
  </si>
  <si>
    <t>HolNr.85</t>
  </si>
  <si>
    <t>HolNr.86</t>
  </si>
  <si>
    <t>HolNr.87</t>
  </si>
  <si>
    <t>HolNr.88</t>
  </si>
  <si>
    <t>HolNr.89</t>
  </si>
  <si>
    <t>HolNr.90</t>
  </si>
  <si>
    <t>HolNr.91</t>
  </si>
  <si>
    <t>HolNr.92</t>
  </si>
  <si>
    <t>HolNr.93</t>
  </si>
  <si>
    <t>HolNr.94</t>
  </si>
  <si>
    <t>HolNr.95</t>
  </si>
  <si>
    <t>HolNr.96</t>
  </si>
  <si>
    <t>HolNr.97</t>
  </si>
  <si>
    <t>HolNr.98</t>
  </si>
  <si>
    <t>HolNr.99</t>
  </si>
  <si>
    <t>HolNr.100</t>
  </si>
  <si>
    <t>0 for applied, 1 for not applied</t>
  </si>
  <si>
    <t>[ProbTab]</t>
  </si>
  <si>
    <t>Mean draw-off volume</t>
  </si>
  <si>
    <t>Max flow rate</t>
  </si>
  <si>
    <t>Mean flow rate</t>
  </si>
  <si>
    <t>Sum</t>
  </si>
  <si>
    <t>Weekdays</t>
  </si>
  <si>
    <t>Weekend-days</t>
  </si>
  <si>
    <t>Time interval</t>
  </si>
  <si>
    <t>Sum:</t>
  </si>
  <si>
    <t>24:00</t>
  </si>
  <si>
    <t>Interval1</t>
  </si>
  <si>
    <t>Interval2</t>
  </si>
  <si>
    <t>Interval3</t>
  </si>
  <si>
    <t>Interval4</t>
  </si>
  <si>
    <t>Interval5</t>
  </si>
  <si>
    <t>Interval6</t>
  </si>
  <si>
    <t>Interval7</t>
  </si>
  <si>
    <t>Interval8</t>
  </si>
  <si>
    <t>Interval9</t>
  </si>
  <si>
    <t>Interval10</t>
  </si>
  <si>
    <t>Interval11</t>
  </si>
  <si>
    <t>Interval12</t>
  </si>
  <si>
    <t>vol1</t>
  </si>
  <si>
    <t>vol2</t>
  </si>
  <si>
    <t>vol3</t>
  </si>
  <si>
    <t>vol4</t>
  </si>
  <si>
    <t>vol5</t>
  </si>
  <si>
    <t>vol6</t>
  </si>
  <si>
    <t>vol7</t>
  </si>
  <si>
    <t>vol8</t>
  </si>
  <si>
    <t>vol9</t>
  </si>
  <si>
    <t>vol10</t>
  </si>
  <si>
    <t>vol11</t>
  </si>
  <si>
    <t>vol12</t>
  </si>
  <si>
    <t>06:30</t>
  </si>
  <si>
    <t>07:30</t>
  </si>
  <si>
    <t>13:00</t>
  </si>
  <si>
    <t>12:00</t>
  </si>
  <si>
    <t>18:00</t>
  </si>
  <si>
    <t>22:00</t>
  </si>
  <si>
    <t>00:30</t>
  </si>
  <si>
    <t>01:00</t>
  </si>
  <si>
    <t>01:30</t>
  </si>
  <si>
    <t>02:00</t>
  </si>
  <si>
    <t>06:00</t>
  </si>
  <si>
    <t>02:30</t>
  </si>
  <si>
    <t>03:00</t>
  </si>
  <si>
    <t>03:30</t>
  </si>
  <si>
    <t>04:00</t>
  </si>
  <si>
    <t>04:30</t>
  </si>
  <si>
    <t>05:00</t>
  </si>
  <si>
    <t>05:30</t>
  </si>
  <si>
    <t>07:00</t>
  </si>
  <si>
    <t>08:00</t>
  </si>
  <si>
    <t>08.30</t>
  </si>
  <si>
    <t>09:00</t>
  </si>
  <si>
    <t>09:30</t>
  </si>
  <si>
    <t>10:00</t>
  </si>
  <si>
    <t>10:30</t>
  </si>
  <si>
    <t>11:00</t>
  </si>
  <si>
    <t>11:30</t>
  </si>
  <si>
    <t>12:30</t>
  </si>
  <si>
    <t>13:30</t>
  </si>
  <si>
    <t>14:00</t>
  </si>
  <si>
    <t>14:30</t>
  </si>
  <si>
    <t>15:00</t>
  </si>
  <si>
    <t>15:30</t>
  </si>
  <si>
    <t>16:00</t>
  </si>
  <si>
    <t>16:30</t>
  </si>
  <si>
    <t>17:00</t>
  </si>
  <si>
    <t>17:30</t>
  </si>
  <si>
    <t>18:30</t>
  </si>
  <si>
    <t>19:00</t>
  </si>
  <si>
    <t>19:30</t>
  </si>
  <si>
    <t>20:00</t>
  </si>
  <si>
    <t>20:30</t>
  </si>
  <si>
    <t>21:00</t>
  </si>
  <si>
    <t>21:30</t>
  </si>
  <si>
    <t>22:30</t>
  </si>
  <si>
    <t>23:00</t>
  </si>
  <si>
    <t>23:30</t>
  </si>
  <si>
    <t>Volume in %</t>
  </si>
  <si>
    <t>[ProbDay]</t>
  </si>
  <si>
    <t>Scroll=0</t>
  </si>
  <si>
    <t>Numb=1</t>
  </si>
  <si>
    <t>&lt;- click this Cell and pull the selection to the left to copy all lines</t>
  </si>
  <si>
    <t>Format for time input is hh:mm
For minutes only 00 or 30 are allowed.
The time 00:00 is not allowed, instead 24:00 is allowed.
Every time input has to be higher than the previous.
The sum of the daily Volume has to be 100 %</t>
  </si>
  <si>
    <t>DHWcalc 2.02 - Excel-Tool</t>
  </si>
  <si>
    <t>All values in l/h</t>
  </si>
  <si>
    <r>
      <t xml:space="preserve">This tool helps the user to generate an ini-file which can be read by the program DHWcalc. The inputs saved in the ini-file can be re-loaded into the respective windows of the program.
An ini-file for DHWcalc contains up to eight sections, which are initialized by an identifier enclosed in brackets e.g. </t>
    </r>
    <r>
      <rPr>
        <i/>
        <sz val="12"/>
        <color theme="1"/>
        <rFont val="Calibri"/>
        <family val="2"/>
        <scheme val="minor"/>
      </rPr>
      <t>[Main],</t>
    </r>
    <r>
      <rPr>
        <sz val="12"/>
        <color theme="1"/>
        <rFont val="Calibri"/>
        <family val="2"/>
        <scheme val="minor"/>
      </rPr>
      <t xml:space="preserve"> representing the windows of the DHWcalc program. In each section values are stored and identified, by the respective identifier separated by an equal sign e.g. </t>
    </r>
    <r>
      <rPr>
        <i/>
        <sz val="12"/>
        <color theme="1"/>
        <rFont val="Calibri"/>
        <family val="2"/>
        <scheme val="minor"/>
      </rPr>
      <t>StartDay=1</t>
    </r>
    <r>
      <rPr>
        <sz val="12"/>
        <color theme="1"/>
        <rFont val="Calibri"/>
        <family val="2"/>
        <scheme val="minor"/>
      </rPr>
      <t>. In some cases the values in the ini-file are different from the values entered in the DHWcalc user interface or the orange fields of this excel-file, for example if Nr of categories = 4, the parameter BoxCateg s set to 1.  
The following seven sheets represent the windows of the DHWcalc program. All parameters are listed with name, value (orange cells) and, in some cases, an explanation. The orange cells are input fields. On the right the corresponding outputs are generated automatically. All outputs are listed again in the last sheet.
In order to copy the green cells into the ini-file, click-and-hold the cell to the right of the green cells (white box) and pull the selection to the left. Copy the selection and paste it into the ini-file. This can either be a newly generated, empty text-file or an ini-file generated by DHWcalc. If sections or parameters are missing in an ini-file, the program will load default-values for these parameters.</t>
    </r>
  </si>
  <si>
    <t>in l/d (decimal seperator: .)</t>
  </si>
  <si>
    <t>If the sum of all values is not  7 times the total mean daily draw-off volume it will be automatically normalized.
For decimal numbers the decimal seperator has to be dot (".").</t>
  </si>
  <si>
    <t>200.0</t>
  </si>
  <si>
    <t>DHW0001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</si>
</sst>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0" tint="-0.34998626667073579"/>
      <name val="Calibri"/>
      <family val="2"/>
      <scheme val="minor"/>
    </font>
    <font>
      <sz val="12"/>
      <color theme="1"/>
      <name val="Calibri"/>
      <family val="2"/>
      <scheme val="minor"/>
    </font>
    <font>
      <i/>
      <sz val="12"/>
      <color theme="1"/>
      <name val="Calibri"/>
      <family val="2"/>
      <scheme val="minor"/>
    </font>
    <font>
      <b/>
      <sz val="14"/>
      <color theme="1"/>
      <name val="Calibri"/>
      <family val="2"/>
      <scheme val="minor"/>
    </font>
    <font>
      <sz val="11"/>
      <color theme="1"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s>
  <borders count="27">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8">
    <xf numFmtId="0" fontId="0" fillId="0" borderId="0" xfId="0"/>
    <xf numFmtId="0" fontId="0" fillId="2" borderId="0" xfId="0" applyFill="1"/>
    <xf numFmtId="0" fontId="0" fillId="2" borderId="0" xfId="0" applyFill="1" applyAlignment="1">
      <alignment wrapText="1"/>
    </xf>
    <xf numFmtId="0" fontId="1" fillId="2" borderId="0" xfId="0" applyFont="1" applyFill="1" applyBorder="1" applyAlignment="1">
      <alignment horizontal="center"/>
    </xf>
    <xf numFmtId="0" fontId="0" fillId="2" borderId="0" xfId="0" applyFill="1" applyBorder="1"/>
    <xf numFmtId="0" fontId="0" fillId="0" borderId="8" xfId="0" applyBorder="1"/>
    <xf numFmtId="0" fontId="1" fillId="0" borderId="8" xfId="0" applyFont="1" applyBorder="1"/>
    <xf numFmtId="20" fontId="0" fillId="2" borderId="0" xfId="0" applyNumberFormat="1" applyFill="1"/>
    <xf numFmtId="0" fontId="0" fillId="2" borderId="0" xfId="0" applyFill="1" applyAlignment="1">
      <alignment vertical="center"/>
    </xf>
    <xf numFmtId="0" fontId="0" fillId="2" borderId="0" xfId="0" applyFill="1" applyBorder="1" applyAlignment="1">
      <alignment wrapText="1"/>
    </xf>
    <xf numFmtId="0" fontId="0" fillId="2" borderId="0" xfId="0" applyFont="1" applyFill="1" applyBorder="1" applyAlignment="1">
      <alignment wrapText="1"/>
    </xf>
    <xf numFmtId="0" fontId="0" fillId="2" borderId="0" xfId="0" applyFill="1"/>
    <xf numFmtId="0" fontId="0" fillId="0" borderId="8" xfId="0" applyFill="1" applyBorder="1"/>
    <xf numFmtId="0" fontId="0" fillId="0" borderId="8" xfId="0" applyNumberFormat="1" applyBorder="1" applyAlignment="1">
      <alignment horizontal="right"/>
    </xf>
    <xf numFmtId="0" fontId="0" fillId="0" borderId="8" xfId="0" applyFill="1" applyBorder="1" applyAlignment="1">
      <alignment horizontal="right"/>
    </xf>
    <xf numFmtId="0" fontId="0" fillId="2" borderId="0" xfId="0" applyFill="1" applyAlignment="1">
      <alignment horizontal="right"/>
    </xf>
    <xf numFmtId="0" fontId="0" fillId="2" borderId="0" xfId="0" applyFill="1" applyBorder="1" applyAlignment="1">
      <alignment vertical="center"/>
    </xf>
    <xf numFmtId="49" fontId="0" fillId="2" borderId="0" xfId="0" applyNumberFormat="1" applyFill="1"/>
    <xf numFmtId="0" fontId="0" fillId="0" borderId="4" xfId="0" applyFill="1" applyBorder="1" applyAlignment="1">
      <alignment horizontal="right"/>
    </xf>
    <xf numFmtId="0" fontId="0" fillId="0" borderId="8" xfId="0" applyFill="1" applyBorder="1" applyAlignment="1">
      <alignment vertical="center"/>
    </xf>
    <xf numFmtId="0" fontId="0" fillId="0" borderId="8" xfId="0" applyFill="1" applyBorder="1" applyAlignment="1">
      <alignment wrapText="1"/>
    </xf>
    <xf numFmtId="0" fontId="0" fillId="0" borderId="8" xfId="0" applyFont="1" applyFill="1" applyBorder="1" applyAlignment="1">
      <alignment wrapText="1"/>
    </xf>
    <xf numFmtId="0" fontId="0" fillId="0" borderId="8" xfId="0" applyFill="1" applyBorder="1" applyAlignment="1">
      <alignment vertical="center" wrapText="1"/>
    </xf>
    <xf numFmtId="49" fontId="2" fillId="0" borderId="8" xfId="0" applyNumberFormat="1" applyFont="1" applyFill="1" applyBorder="1" applyAlignment="1">
      <alignment horizontal="right"/>
    </xf>
    <xf numFmtId="20" fontId="0" fillId="0" borderId="8" xfId="0" applyNumberFormat="1" applyFill="1" applyBorder="1"/>
    <xf numFmtId="0" fontId="0" fillId="0" borderId="8" xfId="0" applyFill="1" applyBorder="1" applyAlignment="1">
      <alignment horizontal="center"/>
    </xf>
    <xf numFmtId="0" fontId="0" fillId="0" borderId="8" xfId="0" applyFont="1" applyFill="1" applyBorder="1"/>
    <xf numFmtId="0" fontId="0" fillId="3" borderId="8" xfId="0" applyFill="1" applyBorder="1" applyAlignment="1" applyProtection="1">
      <alignment vertical="center"/>
      <protection locked="0"/>
    </xf>
    <xf numFmtId="0" fontId="0" fillId="3" borderId="8" xfId="0" applyFill="1" applyBorder="1" applyAlignment="1" applyProtection="1">
      <alignment horizontal="right" vertical="center"/>
      <protection locked="0"/>
    </xf>
    <xf numFmtId="0" fontId="0" fillId="3" borderId="8" xfId="0" applyFill="1" applyBorder="1" applyProtection="1">
      <protection locked="0"/>
    </xf>
    <xf numFmtId="0" fontId="0" fillId="3" borderId="8" xfId="0" applyNumberFormat="1" applyFill="1" applyBorder="1" applyAlignment="1" applyProtection="1">
      <alignment horizontal="right"/>
      <protection locked="0"/>
    </xf>
    <xf numFmtId="0" fontId="0" fillId="3" borderId="8" xfId="0" applyFill="1" applyBorder="1" applyAlignment="1" applyProtection="1">
      <alignment horizontal="right"/>
      <protection locked="0"/>
    </xf>
    <xf numFmtId="0" fontId="0" fillId="3" borderId="8" xfId="0" applyFill="1" applyBorder="1" applyAlignment="1" applyProtection="1">
      <alignment wrapText="1"/>
      <protection locked="0"/>
    </xf>
    <xf numFmtId="49" fontId="0" fillId="3" borderId="8" xfId="0" applyNumberFormat="1" applyFill="1" applyBorder="1" applyAlignment="1" applyProtection="1">
      <alignment horizontal="right"/>
      <protection locked="0"/>
    </xf>
    <xf numFmtId="0" fontId="0" fillId="4" borderId="5" xfId="0" applyFill="1" applyBorder="1" applyProtection="1">
      <protection hidden="1"/>
    </xf>
    <xf numFmtId="0" fontId="0" fillId="4" borderId="1" xfId="0" applyFill="1" applyBorder="1" applyProtection="1">
      <protection hidden="1"/>
    </xf>
    <xf numFmtId="0" fontId="0" fillId="4" borderId="7" xfId="0" applyFill="1" applyBorder="1" applyProtection="1">
      <protection hidden="1"/>
    </xf>
    <xf numFmtId="0" fontId="0" fillId="4" borderId="9" xfId="0" applyFill="1" applyBorder="1" applyProtection="1">
      <protection hidden="1"/>
    </xf>
    <xf numFmtId="0" fontId="0" fillId="4" borderId="10" xfId="0" applyFill="1" applyBorder="1" applyAlignment="1" applyProtection="1">
      <alignment vertical="center"/>
      <protection hidden="1"/>
    </xf>
    <xf numFmtId="0" fontId="0" fillId="4" borderId="10" xfId="0" applyFill="1" applyBorder="1" applyProtection="1">
      <protection hidden="1"/>
    </xf>
    <xf numFmtId="0" fontId="0" fillId="4" borderId="6" xfId="0" applyFill="1" applyBorder="1" applyProtection="1">
      <protection hidden="1"/>
    </xf>
    <xf numFmtId="0" fontId="0" fillId="2" borderId="0" xfId="0" applyFill="1" applyAlignment="1">
      <alignment horizontal="left" vertical="top"/>
    </xf>
    <xf numFmtId="0" fontId="6" fillId="0" borderId="8" xfId="0" applyFont="1" applyFill="1" applyBorder="1"/>
    <xf numFmtId="49" fontId="0" fillId="3" borderId="8" xfId="0" applyNumberFormat="1" applyFill="1" applyBorder="1" applyAlignment="1" applyProtection="1">
      <alignment horizontal="right" vertical="center"/>
      <protection locked="0"/>
    </xf>
    <xf numFmtId="0" fontId="3" fillId="2" borderId="1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20" xfId="0" applyFont="1" applyFill="1" applyBorder="1" applyAlignment="1">
      <alignment horizontal="left" vertical="top" wrapText="1"/>
    </xf>
    <xf numFmtId="0" fontId="3" fillId="2" borderId="21" xfId="0" applyFont="1" applyFill="1" applyBorder="1" applyAlignment="1">
      <alignment horizontal="left" vertical="top" wrapText="1"/>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0" fillId="2" borderId="0" xfId="0" applyFill="1" applyAlignment="1">
      <alignment horizontal="center"/>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2" borderId="11" xfId="0" applyFill="1" applyBorder="1" applyAlignment="1" applyProtection="1">
      <alignment horizontal="center"/>
      <protection hidden="1"/>
    </xf>
    <xf numFmtId="0" fontId="0" fillId="2" borderId="12" xfId="0" applyFill="1" applyBorder="1" applyAlignment="1" applyProtection="1">
      <alignment horizontal="center"/>
      <protection hidden="1"/>
    </xf>
    <xf numFmtId="0" fontId="0" fillId="2" borderId="13" xfId="0" applyFill="1" applyBorder="1" applyAlignment="1" applyProtection="1">
      <alignment horizontal="center"/>
      <protection hidden="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8" xfId="0" applyFont="1" applyFill="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0" fillId="0" borderId="2" xfId="0" applyFill="1" applyBorder="1" applyAlignment="1">
      <alignment horizontal="center"/>
    </xf>
    <xf numFmtId="0" fontId="0" fillId="0" borderId="3" xfId="0" applyFill="1" applyBorder="1" applyAlignment="1">
      <alignment horizontal="center"/>
    </xf>
    <xf numFmtId="0" fontId="1" fillId="0" borderId="8" xfId="0" applyFont="1" applyFill="1" applyBorder="1" applyAlignment="1">
      <alignment horizontal="center"/>
    </xf>
    <xf numFmtId="0" fontId="0" fillId="0" borderId="8" xfId="0" applyFill="1" applyBorder="1" applyAlignment="1">
      <alignment horizontal="center"/>
    </xf>
    <xf numFmtId="20" fontId="2" fillId="0" borderId="2" xfId="0" applyNumberFormat="1" applyFont="1" applyFill="1" applyBorder="1" applyAlignment="1">
      <alignment horizontal="center"/>
    </xf>
    <xf numFmtId="20" fontId="2" fillId="0" borderId="3" xfId="0" applyNumberFormat="1" applyFont="1" applyFill="1" applyBorder="1" applyAlignment="1">
      <alignment horizontal="center"/>
    </xf>
    <xf numFmtId="20" fontId="2" fillId="0" borderId="4" xfId="0" applyNumberFormat="1" applyFont="1" applyFill="1" applyBorder="1" applyAlignment="1">
      <alignment horizontal="center"/>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0" fillId="2" borderId="0" xfId="0" applyFill="1" applyBorder="1" applyAlignment="1">
      <alignment horizontal="left" vertical="top" wrapText="1"/>
    </xf>
    <xf numFmtId="0" fontId="0" fillId="2" borderId="18" xfId="0" applyFill="1" applyBorder="1" applyAlignment="1">
      <alignment horizontal="left" vertical="top" wrapText="1"/>
    </xf>
    <xf numFmtId="0" fontId="0" fillId="2" borderId="19" xfId="0" applyFill="1" applyBorder="1" applyAlignment="1">
      <alignment horizontal="left" vertical="top" wrapText="1"/>
    </xf>
    <xf numFmtId="0" fontId="0" fillId="2" borderId="20" xfId="0" applyFill="1" applyBorder="1" applyAlignment="1">
      <alignment horizontal="left" vertical="top" wrapText="1"/>
    </xf>
    <xf numFmtId="0" fontId="0" fillId="2" borderId="21" xfId="0" applyFill="1" applyBorder="1" applyAlignment="1">
      <alignment horizontal="left" vertical="top" wrapText="1"/>
    </xf>
    <xf numFmtId="0" fontId="0" fillId="0" borderId="8" xfId="0" applyFont="1" applyFill="1" applyBorder="1" applyAlignment="1">
      <alignment horizontal="center"/>
    </xf>
    <xf numFmtId="0" fontId="0" fillId="2" borderId="5" xfId="0" applyFill="1" applyBorder="1" applyAlignment="1">
      <alignment horizontal="left" vertical="top" wrapText="1"/>
    </xf>
    <xf numFmtId="0" fontId="0" fillId="2" borderId="22" xfId="0" applyFill="1" applyBorder="1" applyAlignment="1">
      <alignment horizontal="left" vertical="top"/>
    </xf>
    <xf numFmtId="0" fontId="0" fillId="2" borderId="23" xfId="0" applyFill="1" applyBorder="1" applyAlignment="1">
      <alignment horizontal="left" vertical="top"/>
    </xf>
    <xf numFmtId="0" fontId="0" fillId="2" borderId="1" xfId="0" applyFill="1" applyBorder="1" applyAlignment="1">
      <alignment horizontal="left" vertical="top"/>
    </xf>
    <xf numFmtId="0" fontId="0" fillId="2" borderId="0" xfId="0" applyFill="1" applyBorder="1" applyAlignment="1">
      <alignment horizontal="left" vertical="top"/>
    </xf>
    <xf numFmtId="0" fontId="0" fillId="2" borderId="24" xfId="0" applyFill="1" applyBorder="1" applyAlignment="1">
      <alignment horizontal="left" vertical="top"/>
    </xf>
    <xf numFmtId="0" fontId="0" fillId="2" borderId="7" xfId="0" applyFill="1" applyBorder="1" applyAlignment="1">
      <alignment horizontal="left" vertical="top"/>
    </xf>
    <xf numFmtId="0" fontId="0" fillId="2" borderId="25" xfId="0" applyFill="1" applyBorder="1" applyAlignment="1">
      <alignment horizontal="left" vertical="top"/>
    </xf>
    <xf numFmtId="0" fontId="0" fillId="2" borderId="26" xfId="0" applyFill="1" applyBorder="1" applyAlignment="1">
      <alignment horizontal="left" vertical="top"/>
    </xf>
    <xf numFmtId="0" fontId="1" fillId="2" borderId="8" xfId="0" applyFont="1" applyFill="1" applyBorder="1" applyAlignment="1">
      <alignment horizontal="center"/>
    </xf>
    <xf numFmtId="0" fontId="0" fillId="0" borderId="4" xfId="0" applyFill="1" applyBorder="1" applyAlignment="1">
      <alignment horizontal="center"/>
    </xf>
  </cellXfs>
  <cellStyles count="1">
    <cellStyle name="Standard" xfId="0" builtinId="0"/>
  </cellStyles>
  <dxfs count="4">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dimension ref="B2:I29"/>
  <sheetViews>
    <sheetView tabSelected="1" workbookViewId="0">
      <selection activeCell="B3" sqref="B3:I4"/>
    </sheetView>
  </sheetViews>
  <sheetFormatPr baseColWidth="10" defaultRowHeight="15" x14ac:dyDescent="0.25"/>
  <cols>
    <col min="1" max="16384" width="11.42578125" style="11"/>
  </cols>
  <sheetData>
    <row r="2" spans="2:9" ht="15.75" thickBot="1" x14ac:dyDescent="0.3"/>
    <row r="3" spans="2:9" x14ac:dyDescent="0.25">
      <c r="B3" s="50" t="s">
        <v>356</v>
      </c>
      <c r="C3" s="51"/>
      <c r="D3" s="51"/>
      <c r="E3" s="51"/>
      <c r="F3" s="51"/>
      <c r="G3" s="51"/>
      <c r="H3" s="51"/>
      <c r="I3" s="52"/>
    </row>
    <row r="4" spans="2:9" ht="15.75" thickBot="1" x14ac:dyDescent="0.3">
      <c r="B4" s="53"/>
      <c r="C4" s="54"/>
      <c r="D4" s="54"/>
      <c r="E4" s="54"/>
      <c r="F4" s="54"/>
      <c r="G4" s="54"/>
      <c r="H4" s="54"/>
      <c r="I4" s="55"/>
    </row>
    <row r="5" spans="2:9" x14ac:dyDescent="0.25">
      <c r="B5" s="44" t="s">
        <v>358</v>
      </c>
      <c r="C5" s="45"/>
      <c r="D5" s="45"/>
      <c r="E5" s="45"/>
      <c r="F5" s="45"/>
      <c r="G5" s="45"/>
      <c r="H5" s="45"/>
      <c r="I5" s="46"/>
    </row>
    <row r="6" spans="2:9" x14ac:dyDescent="0.25">
      <c r="B6" s="44"/>
      <c r="C6" s="45"/>
      <c r="D6" s="45"/>
      <c r="E6" s="45"/>
      <c r="F6" s="45"/>
      <c r="G6" s="45"/>
      <c r="H6" s="45"/>
      <c r="I6" s="46"/>
    </row>
    <row r="7" spans="2:9" x14ac:dyDescent="0.25">
      <c r="B7" s="44"/>
      <c r="C7" s="45"/>
      <c r="D7" s="45"/>
      <c r="E7" s="45"/>
      <c r="F7" s="45"/>
      <c r="G7" s="45"/>
      <c r="H7" s="45"/>
      <c r="I7" s="46"/>
    </row>
    <row r="8" spans="2:9" x14ac:dyDescent="0.25">
      <c r="B8" s="44"/>
      <c r="C8" s="45"/>
      <c r="D8" s="45"/>
      <c r="E8" s="45"/>
      <c r="F8" s="45"/>
      <c r="G8" s="45"/>
      <c r="H8" s="45"/>
      <c r="I8" s="46"/>
    </row>
    <row r="9" spans="2:9" x14ac:dyDescent="0.25">
      <c r="B9" s="44"/>
      <c r="C9" s="45"/>
      <c r="D9" s="45"/>
      <c r="E9" s="45"/>
      <c r="F9" s="45"/>
      <c r="G9" s="45"/>
      <c r="H9" s="45"/>
      <c r="I9" s="46"/>
    </row>
    <row r="10" spans="2:9" x14ac:dyDescent="0.25">
      <c r="B10" s="44"/>
      <c r="C10" s="45"/>
      <c r="D10" s="45"/>
      <c r="E10" s="45"/>
      <c r="F10" s="45"/>
      <c r="G10" s="45"/>
      <c r="H10" s="45"/>
      <c r="I10" s="46"/>
    </row>
    <row r="11" spans="2:9" x14ac:dyDescent="0.25">
      <c r="B11" s="44"/>
      <c r="C11" s="45"/>
      <c r="D11" s="45"/>
      <c r="E11" s="45"/>
      <c r="F11" s="45"/>
      <c r="G11" s="45"/>
      <c r="H11" s="45"/>
      <c r="I11" s="46"/>
    </row>
    <row r="12" spans="2:9" x14ac:dyDescent="0.25">
      <c r="B12" s="44"/>
      <c r="C12" s="45"/>
      <c r="D12" s="45"/>
      <c r="E12" s="45"/>
      <c r="F12" s="45"/>
      <c r="G12" s="45"/>
      <c r="H12" s="45"/>
      <c r="I12" s="46"/>
    </row>
    <row r="13" spans="2:9" x14ac:dyDescent="0.25">
      <c r="B13" s="44"/>
      <c r="C13" s="45"/>
      <c r="D13" s="45"/>
      <c r="E13" s="45"/>
      <c r="F13" s="45"/>
      <c r="G13" s="45"/>
      <c r="H13" s="45"/>
      <c r="I13" s="46"/>
    </row>
    <row r="14" spans="2:9" x14ac:dyDescent="0.25">
      <c r="B14" s="44"/>
      <c r="C14" s="45"/>
      <c r="D14" s="45"/>
      <c r="E14" s="45"/>
      <c r="F14" s="45"/>
      <c r="G14" s="45"/>
      <c r="H14" s="45"/>
      <c r="I14" s="46"/>
    </row>
    <row r="15" spans="2:9" x14ac:dyDescent="0.25">
      <c r="B15" s="44"/>
      <c r="C15" s="45"/>
      <c r="D15" s="45"/>
      <c r="E15" s="45"/>
      <c r="F15" s="45"/>
      <c r="G15" s="45"/>
      <c r="H15" s="45"/>
      <c r="I15" s="46"/>
    </row>
    <row r="16" spans="2:9" x14ac:dyDescent="0.25">
      <c r="B16" s="44"/>
      <c r="C16" s="45"/>
      <c r="D16" s="45"/>
      <c r="E16" s="45"/>
      <c r="F16" s="45"/>
      <c r="G16" s="45"/>
      <c r="H16" s="45"/>
      <c r="I16" s="46"/>
    </row>
    <row r="17" spans="2:9" x14ac:dyDescent="0.25">
      <c r="B17" s="44"/>
      <c r="C17" s="45"/>
      <c r="D17" s="45"/>
      <c r="E17" s="45"/>
      <c r="F17" s="45"/>
      <c r="G17" s="45"/>
      <c r="H17" s="45"/>
      <c r="I17" s="46"/>
    </row>
    <row r="18" spans="2:9" x14ac:dyDescent="0.25">
      <c r="B18" s="44"/>
      <c r="C18" s="45"/>
      <c r="D18" s="45"/>
      <c r="E18" s="45"/>
      <c r="F18" s="45"/>
      <c r="G18" s="45"/>
      <c r="H18" s="45"/>
      <c r="I18" s="46"/>
    </row>
    <row r="19" spans="2:9" x14ac:dyDescent="0.25">
      <c r="B19" s="44"/>
      <c r="C19" s="45"/>
      <c r="D19" s="45"/>
      <c r="E19" s="45"/>
      <c r="F19" s="45"/>
      <c r="G19" s="45"/>
      <c r="H19" s="45"/>
      <c r="I19" s="46"/>
    </row>
    <row r="20" spans="2:9" x14ac:dyDescent="0.25">
      <c r="B20" s="44"/>
      <c r="C20" s="45"/>
      <c r="D20" s="45"/>
      <c r="E20" s="45"/>
      <c r="F20" s="45"/>
      <c r="G20" s="45"/>
      <c r="H20" s="45"/>
      <c r="I20" s="46"/>
    </row>
    <row r="21" spans="2:9" x14ac:dyDescent="0.25">
      <c r="B21" s="44"/>
      <c r="C21" s="45"/>
      <c r="D21" s="45"/>
      <c r="E21" s="45"/>
      <c r="F21" s="45"/>
      <c r="G21" s="45"/>
      <c r="H21" s="45"/>
      <c r="I21" s="46"/>
    </row>
    <row r="22" spans="2:9" x14ac:dyDescent="0.25">
      <c r="B22" s="44"/>
      <c r="C22" s="45"/>
      <c r="D22" s="45"/>
      <c r="E22" s="45"/>
      <c r="F22" s="45"/>
      <c r="G22" s="45"/>
      <c r="H22" s="45"/>
      <c r="I22" s="46"/>
    </row>
    <row r="23" spans="2:9" x14ac:dyDescent="0.25">
      <c r="B23" s="44"/>
      <c r="C23" s="45"/>
      <c r="D23" s="45"/>
      <c r="E23" s="45"/>
      <c r="F23" s="45"/>
      <c r="G23" s="45"/>
      <c r="H23" s="45"/>
      <c r="I23" s="46"/>
    </row>
    <row r="24" spans="2:9" x14ac:dyDescent="0.25">
      <c r="B24" s="44"/>
      <c r="C24" s="45"/>
      <c r="D24" s="45"/>
      <c r="E24" s="45"/>
      <c r="F24" s="45"/>
      <c r="G24" s="45"/>
      <c r="H24" s="45"/>
      <c r="I24" s="46"/>
    </row>
    <row r="25" spans="2:9" x14ac:dyDescent="0.25">
      <c r="B25" s="44"/>
      <c r="C25" s="45"/>
      <c r="D25" s="45"/>
      <c r="E25" s="45"/>
      <c r="F25" s="45"/>
      <c r="G25" s="45"/>
      <c r="H25" s="45"/>
      <c r="I25" s="46"/>
    </row>
    <row r="26" spans="2:9" x14ac:dyDescent="0.25">
      <c r="B26" s="44"/>
      <c r="C26" s="45"/>
      <c r="D26" s="45"/>
      <c r="E26" s="45"/>
      <c r="F26" s="45"/>
      <c r="G26" s="45"/>
      <c r="H26" s="45"/>
      <c r="I26" s="46"/>
    </row>
    <row r="27" spans="2:9" x14ac:dyDescent="0.25">
      <c r="B27" s="44"/>
      <c r="C27" s="45"/>
      <c r="D27" s="45"/>
      <c r="E27" s="45"/>
      <c r="F27" s="45"/>
      <c r="G27" s="45"/>
      <c r="H27" s="45"/>
      <c r="I27" s="46"/>
    </row>
    <row r="28" spans="2:9" x14ac:dyDescent="0.25">
      <c r="B28" s="44"/>
      <c r="C28" s="45"/>
      <c r="D28" s="45"/>
      <c r="E28" s="45"/>
      <c r="F28" s="45"/>
      <c r="G28" s="45"/>
      <c r="H28" s="45"/>
      <c r="I28" s="46"/>
    </row>
    <row r="29" spans="2:9" ht="15.75" thickBot="1" x14ac:dyDescent="0.3">
      <c r="B29" s="47"/>
      <c r="C29" s="48"/>
      <c r="D29" s="48"/>
      <c r="E29" s="48"/>
      <c r="F29" s="48"/>
      <c r="G29" s="48"/>
      <c r="H29" s="48"/>
      <c r="I29" s="49"/>
    </row>
  </sheetData>
  <sheetProtection algorithmName="SHA-512" hashValue="eEQ70JrkuSnLo/XTqtfGr1/8J/dXLmo28jkKHxp7CvQUxbzmlmBw838yMQJ5exsbz+CPEga3MKGko37r8XHxIQ==" saltValue="iYUNSV1lzVUzoY+dfj91WA==" spinCount="100000" sheet="1" objects="1" scenarios="1"/>
  <mergeCells count="2">
    <mergeCell ref="B5:I29"/>
    <mergeCell ref="B3:I4"/>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B1:N12"/>
  <sheetViews>
    <sheetView workbookViewId="0">
      <selection activeCell="C5" sqref="C5"/>
    </sheetView>
  </sheetViews>
  <sheetFormatPr baseColWidth="10" defaultRowHeight="15" x14ac:dyDescent="0.25"/>
  <cols>
    <col min="1" max="1" width="9.7109375" style="1" customWidth="1"/>
    <col min="2" max="2" width="34.42578125" style="1" bestFit="1" customWidth="1"/>
    <col min="3" max="3" width="11.42578125" style="1"/>
    <col min="4" max="4" width="57.140625" style="1" customWidth="1"/>
    <col min="5" max="5" width="10.140625" style="1" customWidth="1"/>
    <col min="6" max="6" width="11.42578125" style="1" hidden="1" customWidth="1"/>
    <col min="7" max="7" width="8.85546875" style="1" hidden="1" customWidth="1"/>
    <col min="8" max="8" width="23.42578125" style="1" customWidth="1"/>
    <col min="9" max="10" width="11.42578125" style="1"/>
    <col min="11" max="14" width="0" style="1" hidden="1" customWidth="1"/>
    <col min="15" max="16384" width="11.42578125" style="1"/>
  </cols>
  <sheetData>
    <row r="1" spans="2:14" ht="15.75" thickBot="1" x14ac:dyDescent="0.3"/>
    <row r="2" spans="2:14" x14ac:dyDescent="0.25">
      <c r="B2" s="57" t="s">
        <v>8</v>
      </c>
      <c r="C2" s="58"/>
      <c r="D2" s="59"/>
      <c r="E2" s="4"/>
      <c r="F2" s="1" t="s">
        <v>0</v>
      </c>
      <c r="H2" s="34" t="s">
        <v>55</v>
      </c>
      <c r="I2" s="60"/>
      <c r="K2" s="56" t="s">
        <v>27</v>
      </c>
      <c r="L2" s="56"/>
      <c r="M2" s="56" t="s">
        <v>28</v>
      </c>
      <c r="N2" s="56"/>
    </row>
    <row r="3" spans="2:14" x14ac:dyDescent="0.25">
      <c r="B3" s="19" t="s">
        <v>1</v>
      </c>
      <c r="C3" s="27">
        <v>0</v>
      </c>
      <c r="D3" s="20" t="s">
        <v>2</v>
      </c>
      <c r="E3" s="9"/>
      <c r="F3" s="1" t="s">
        <v>18</v>
      </c>
      <c r="G3" s="1">
        <f>C3</f>
        <v>0</v>
      </c>
      <c r="H3" s="35" t="str">
        <f t="shared" ref="H3:H11" si="0">CONCATENATE(F3,"=",G3)</f>
        <v>SingleMulti=0</v>
      </c>
      <c r="I3" s="61"/>
      <c r="K3" s="1">
        <v>1</v>
      </c>
      <c r="L3" s="1">
        <v>0</v>
      </c>
      <c r="M3" s="1">
        <v>1</v>
      </c>
      <c r="N3" s="1">
        <v>0</v>
      </c>
    </row>
    <row r="4" spans="2:14" x14ac:dyDescent="0.25">
      <c r="B4" s="19" t="s">
        <v>3</v>
      </c>
      <c r="C4" s="27">
        <v>1</v>
      </c>
      <c r="D4" s="20"/>
      <c r="E4" s="9"/>
      <c r="F4" s="1" t="s">
        <v>19</v>
      </c>
      <c r="G4" s="1">
        <f>C4</f>
        <v>1</v>
      </c>
      <c r="H4" s="35" t="str">
        <f t="shared" si="0"/>
        <v>NoHH=1</v>
      </c>
      <c r="I4" s="61"/>
      <c r="K4" s="1">
        <v>4</v>
      </c>
      <c r="L4" s="1">
        <v>1</v>
      </c>
      <c r="M4" s="1">
        <v>3</v>
      </c>
      <c r="N4" s="1">
        <v>1</v>
      </c>
    </row>
    <row r="5" spans="2:14" x14ac:dyDescent="0.25">
      <c r="B5" s="19" t="s">
        <v>4</v>
      </c>
      <c r="C5" s="27">
        <v>1</v>
      </c>
      <c r="D5" s="20" t="s">
        <v>5</v>
      </c>
      <c r="E5" s="9"/>
      <c r="F5" s="1" t="s">
        <v>20</v>
      </c>
      <c r="G5" s="1">
        <f>VLOOKUP(C5,K3:L4,2)</f>
        <v>0</v>
      </c>
      <c r="H5" s="35" t="str">
        <f t="shared" si="0"/>
        <v>BoxCateg=0</v>
      </c>
      <c r="I5" s="61"/>
      <c r="M5" s="1">
        <v>6</v>
      </c>
      <c r="N5" s="1">
        <v>2</v>
      </c>
    </row>
    <row r="6" spans="2:14" x14ac:dyDescent="0.25">
      <c r="B6" s="19" t="s">
        <v>6</v>
      </c>
      <c r="C6" s="27">
        <v>1</v>
      </c>
      <c r="D6" s="20" t="s">
        <v>7</v>
      </c>
      <c r="E6" s="9"/>
      <c r="F6" s="1" t="s">
        <v>21</v>
      </c>
      <c r="G6" s="1">
        <f>VLOOKUP(C6,M3:N10,2)</f>
        <v>0</v>
      </c>
      <c r="H6" s="35" t="str">
        <f t="shared" si="0"/>
        <v>StepBox=0</v>
      </c>
      <c r="I6" s="61"/>
      <c r="M6" s="1">
        <v>10</v>
      </c>
      <c r="N6" s="1">
        <v>3</v>
      </c>
    </row>
    <row r="7" spans="2:14" x14ac:dyDescent="0.25">
      <c r="B7" s="19" t="s">
        <v>9</v>
      </c>
      <c r="C7" s="27">
        <v>1</v>
      </c>
      <c r="D7" s="20"/>
      <c r="E7" s="9"/>
      <c r="F7" s="1" t="s">
        <v>22</v>
      </c>
      <c r="G7" s="1">
        <f>C7</f>
        <v>1</v>
      </c>
      <c r="H7" s="35" t="str">
        <f t="shared" si="0"/>
        <v>StartDay=1</v>
      </c>
      <c r="I7" s="61"/>
      <c r="M7" s="1">
        <v>12</v>
      </c>
      <c r="N7" s="1">
        <v>4</v>
      </c>
    </row>
    <row r="8" spans="2:14" x14ac:dyDescent="0.25">
      <c r="B8" s="19" t="s">
        <v>10</v>
      </c>
      <c r="C8" s="27">
        <v>10</v>
      </c>
      <c r="D8" s="20" t="s">
        <v>26</v>
      </c>
      <c r="E8" s="9"/>
      <c r="F8" s="1" t="s">
        <v>23</v>
      </c>
      <c r="G8" s="1">
        <f>C8</f>
        <v>10</v>
      </c>
      <c r="H8" s="35" t="str">
        <f t="shared" si="0"/>
        <v>NrDays=10</v>
      </c>
      <c r="I8" s="61"/>
      <c r="M8" s="1">
        <v>15</v>
      </c>
      <c r="N8" s="1">
        <v>5</v>
      </c>
    </row>
    <row r="9" spans="2:14" x14ac:dyDescent="0.25">
      <c r="B9" s="19" t="s">
        <v>11</v>
      </c>
      <c r="C9" s="43" t="s">
        <v>361</v>
      </c>
      <c r="D9" s="20" t="s">
        <v>359</v>
      </c>
      <c r="E9" s="9"/>
      <c r="F9" s="1" t="s">
        <v>24</v>
      </c>
      <c r="G9" s="1" t="str">
        <f>C9</f>
        <v>200.0</v>
      </c>
      <c r="H9" s="35" t="str">
        <f t="shared" si="0"/>
        <v>Vol=200.0</v>
      </c>
      <c r="I9" s="61"/>
      <c r="M9" s="1">
        <v>30</v>
      </c>
      <c r="N9" s="1">
        <v>6</v>
      </c>
    </row>
    <row r="10" spans="2:14" x14ac:dyDescent="0.25">
      <c r="B10" s="19" t="s">
        <v>12</v>
      </c>
      <c r="C10" s="27">
        <v>0</v>
      </c>
      <c r="D10" s="21" t="s">
        <v>268</v>
      </c>
      <c r="E10" s="10"/>
      <c r="F10" s="1" t="s">
        <v>25</v>
      </c>
      <c r="G10" s="1">
        <f>C10</f>
        <v>0</v>
      </c>
      <c r="H10" s="35" t="str">
        <f t="shared" si="0"/>
        <v>Dls=0</v>
      </c>
      <c r="I10" s="61"/>
      <c r="M10" s="1">
        <v>60</v>
      </c>
      <c r="N10" s="1">
        <v>7</v>
      </c>
    </row>
    <row r="11" spans="2:14" ht="15.75" thickBot="1" x14ac:dyDescent="0.3">
      <c r="B11" s="19" t="s">
        <v>13</v>
      </c>
      <c r="C11" s="28" t="s">
        <v>362</v>
      </c>
      <c r="D11" s="20"/>
      <c r="E11" s="9"/>
      <c r="F11" s="1" t="s">
        <v>13</v>
      </c>
      <c r="G11" s="1" t="str">
        <f>C11</f>
        <v>DHW0001</v>
      </c>
      <c r="H11" s="36" t="str">
        <f t="shared" si="0"/>
        <v>FileName=DHW0001</v>
      </c>
      <c r="I11" s="62"/>
    </row>
    <row r="12" spans="2:14" x14ac:dyDescent="0.25">
      <c r="B12" s="8"/>
      <c r="C12" s="8"/>
      <c r="D12" s="2"/>
      <c r="E12" s="2"/>
    </row>
  </sheetData>
  <sheetProtection algorithmName="SHA-512" hashValue="RW9kxg36fXGbCAaV8uFMTcjUrzXAOnyRVp5mstB/+4ek+b6YFmkp/c1O2JDNcPpwqO1AKfmzlFqp99JSEFO3Zw==" saltValue="JIWVu/st/WxlmLEwI7j9iA==" spinCount="100000" sheet="1" objects="1" scenarios="1"/>
  <mergeCells count="4">
    <mergeCell ref="K2:L2"/>
    <mergeCell ref="M2:N2"/>
    <mergeCell ref="B2:D2"/>
    <mergeCell ref="I2:I1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I118"/>
  <sheetViews>
    <sheetView workbookViewId="0">
      <selection activeCell="C11" sqref="C11"/>
    </sheetView>
  </sheetViews>
  <sheetFormatPr baseColWidth="10" defaultRowHeight="15" x14ac:dyDescent="0.25"/>
  <cols>
    <col min="1" max="1" width="11.42578125" style="1"/>
    <col min="2" max="2" width="34.42578125" style="15" customWidth="1"/>
    <col min="3" max="3" width="10.5703125" style="15" customWidth="1"/>
    <col min="4" max="4" width="66.85546875" style="2" customWidth="1"/>
    <col min="5" max="5" width="11.140625" style="2" customWidth="1"/>
    <col min="6" max="6" width="13.28515625" style="4" hidden="1" customWidth="1"/>
    <col min="7" max="7" width="26.85546875" style="4" customWidth="1"/>
    <col min="8" max="8" width="11.42578125" style="1"/>
    <col min="9" max="9" width="12.28515625" style="4" hidden="1" customWidth="1"/>
    <col min="10" max="16384" width="11.42578125" style="1"/>
  </cols>
  <sheetData>
    <row r="1" spans="1:9" ht="15.75" thickBot="1" x14ac:dyDescent="0.3">
      <c r="B1" s="1"/>
      <c r="C1" s="1"/>
      <c r="F1" s="1"/>
      <c r="G1" s="1"/>
      <c r="I1" s="1"/>
    </row>
    <row r="2" spans="1:9" x14ac:dyDescent="0.25">
      <c r="B2" s="63" t="s">
        <v>14</v>
      </c>
      <c r="C2" s="64"/>
      <c r="D2" s="65"/>
      <c r="F2" s="1"/>
      <c r="G2" s="37" t="s">
        <v>56</v>
      </c>
      <c r="H2" s="60"/>
      <c r="I2" s="1"/>
    </row>
    <row r="3" spans="1:9" ht="45" x14ac:dyDescent="0.25">
      <c r="B3" s="19" t="s">
        <v>15</v>
      </c>
      <c r="C3" s="27">
        <v>1</v>
      </c>
      <c r="D3" s="22" t="s">
        <v>143</v>
      </c>
      <c r="F3" s="1" t="s">
        <v>29</v>
      </c>
      <c r="G3" s="38" t="str">
        <f>CONCATENATE(F3,"=",C3)</f>
        <v>Day=1</v>
      </c>
      <c r="H3" s="61"/>
      <c r="I3" s="1"/>
    </row>
    <row r="4" spans="1:9" x14ac:dyDescent="0.25">
      <c r="B4" s="19" t="s">
        <v>16</v>
      </c>
      <c r="C4" s="27">
        <v>120</v>
      </c>
      <c r="D4" s="20" t="s">
        <v>17</v>
      </c>
      <c r="F4" s="1" t="s">
        <v>30</v>
      </c>
      <c r="G4" s="38" t="str">
        <f>CONCATENATE(F4,"=",C4)</f>
        <v>Week=120</v>
      </c>
      <c r="H4" s="61"/>
      <c r="I4" s="1"/>
    </row>
    <row r="5" spans="1:9" x14ac:dyDescent="0.25">
      <c r="B5" s="19" t="s">
        <v>38</v>
      </c>
      <c r="C5" s="27">
        <v>10</v>
      </c>
      <c r="D5" s="20" t="s">
        <v>39</v>
      </c>
      <c r="F5" s="1" t="s">
        <v>31</v>
      </c>
      <c r="G5" s="38" t="str">
        <f>CONCATENATE(F5,"=",C5)</f>
        <v>SinAmpl=10</v>
      </c>
      <c r="H5" s="61"/>
      <c r="I5" s="1"/>
    </row>
    <row r="6" spans="1:9" x14ac:dyDescent="0.25">
      <c r="B6" s="19" t="s">
        <v>40</v>
      </c>
      <c r="C6" s="27">
        <v>45</v>
      </c>
      <c r="D6" s="20" t="s">
        <v>41</v>
      </c>
      <c r="F6" s="1" t="s">
        <v>32</v>
      </c>
      <c r="G6" s="38" t="str">
        <f>CONCATENATE(F6,"=",C6)</f>
        <v>SinMax=45</v>
      </c>
      <c r="H6" s="61"/>
      <c r="I6" s="1"/>
    </row>
    <row r="7" spans="1:9" x14ac:dyDescent="0.25">
      <c r="B7" s="19" t="s">
        <v>42</v>
      </c>
      <c r="C7" s="27">
        <v>0</v>
      </c>
      <c r="D7" s="20" t="s">
        <v>102</v>
      </c>
      <c r="F7" s="1" t="s">
        <v>33</v>
      </c>
      <c r="G7" s="38" t="str">
        <f>CONCATENATE(F7,"=",C7)</f>
        <v>StepMon=0</v>
      </c>
      <c r="H7" s="61"/>
      <c r="I7" s="1"/>
    </row>
    <row r="8" spans="1:9" x14ac:dyDescent="0.25">
      <c r="B8" s="66" t="s">
        <v>175</v>
      </c>
      <c r="C8" s="66"/>
      <c r="D8" s="66"/>
      <c r="F8" s="1"/>
      <c r="G8" s="38"/>
      <c r="H8" s="61"/>
      <c r="I8" s="1"/>
    </row>
    <row r="9" spans="1:9" x14ac:dyDescent="0.25">
      <c r="B9" s="19" t="s">
        <v>44</v>
      </c>
      <c r="C9" s="27">
        <v>1</v>
      </c>
      <c r="D9" s="20" t="s">
        <v>43</v>
      </c>
      <c r="F9" s="1" t="s">
        <v>34</v>
      </c>
      <c r="G9" s="38" t="str">
        <f>CONCATENATE(F9,"=",C9)</f>
        <v>HolPeriodMul=1</v>
      </c>
      <c r="H9" s="61"/>
      <c r="I9" s="1"/>
    </row>
    <row r="10" spans="1:9" x14ac:dyDescent="0.25">
      <c r="B10" s="19" t="s">
        <v>103</v>
      </c>
      <c r="C10" s="27">
        <v>0</v>
      </c>
      <c r="D10" s="20" t="s">
        <v>104</v>
      </c>
      <c r="F10" s="1" t="s">
        <v>36</v>
      </c>
      <c r="G10" s="38" t="str">
        <f>CONCATENATE(F10,"=",C10)</f>
        <v>relHol=0</v>
      </c>
      <c r="H10" s="61"/>
      <c r="I10" s="1"/>
    </row>
    <row r="11" spans="1:9" x14ac:dyDescent="0.25">
      <c r="B11" s="12" t="s">
        <v>187</v>
      </c>
      <c r="C11" s="29">
        <v>14</v>
      </c>
      <c r="D11" s="20"/>
      <c r="F11" s="1" t="s">
        <v>35</v>
      </c>
      <c r="G11" s="38" t="str">
        <f>CONCATENATE(F11,"=",C11)</f>
        <v>NrHol=14</v>
      </c>
      <c r="H11" s="61"/>
      <c r="I11" s="1"/>
    </row>
    <row r="12" spans="1:9" x14ac:dyDescent="0.25">
      <c r="B12" s="19" t="s">
        <v>176</v>
      </c>
      <c r="C12" s="29">
        <v>1</v>
      </c>
      <c r="D12" s="20" t="s">
        <v>180</v>
      </c>
      <c r="F12" s="1" t="s">
        <v>182</v>
      </c>
      <c r="G12" s="39" t="str">
        <f>CONCATENATE(F12,"=",I12)</f>
        <v>HmultDay1=0</v>
      </c>
      <c r="H12" s="61"/>
      <c r="I12" s="1">
        <f>IF(C12&gt;0,C12-1,0)</f>
        <v>0</v>
      </c>
    </row>
    <row r="13" spans="1:9" x14ac:dyDescent="0.25">
      <c r="B13" s="19" t="s">
        <v>177</v>
      </c>
      <c r="C13" s="29">
        <v>7</v>
      </c>
      <c r="D13" s="20" t="s">
        <v>181</v>
      </c>
      <c r="F13" s="1" t="s">
        <v>183</v>
      </c>
      <c r="G13" s="39" t="str">
        <f>CONCATENATE(F13,"=",I13)</f>
        <v>HmultMon1=6</v>
      </c>
      <c r="H13" s="61"/>
      <c r="I13" s="1">
        <f>IF(C13&gt;0,C13-1,0)</f>
        <v>6</v>
      </c>
    </row>
    <row r="14" spans="1:9" x14ac:dyDescent="0.25">
      <c r="B14" s="19" t="s">
        <v>178</v>
      </c>
      <c r="C14" s="29">
        <v>1</v>
      </c>
      <c r="D14" s="20" t="s">
        <v>180</v>
      </c>
      <c r="F14" s="1" t="s">
        <v>184</v>
      </c>
      <c r="G14" s="39" t="str">
        <f>CONCATENATE(F14,"=",I14)</f>
        <v>HmultDay2=0</v>
      </c>
      <c r="H14" s="61"/>
      <c r="I14" s="1">
        <f>IF(C14&gt;0,C14-1,0)</f>
        <v>0</v>
      </c>
    </row>
    <row r="15" spans="1:9" x14ac:dyDescent="0.25">
      <c r="B15" s="19" t="s">
        <v>179</v>
      </c>
      <c r="C15" s="29">
        <v>9</v>
      </c>
      <c r="D15" s="20" t="s">
        <v>181</v>
      </c>
      <c r="F15" s="1" t="s">
        <v>185</v>
      </c>
      <c r="G15" s="39" t="str">
        <f>CONCATENATE(F15,"=",I15)</f>
        <v>HmultMon2=8</v>
      </c>
      <c r="H15" s="61"/>
      <c r="I15" s="1">
        <f>IF(C15&gt;0,C15-1,0)</f>
        <v>8</v>
      </c>
    </row>
    <row r="16" spans="1:9" s="11" customFormat="1" x14ac:dyDescent="0.25">
      <c r="A16" s="4"/>
      <c r="B16" s="16"/>
      <c r="C16" s="4"/>
      <c r="D16" s="9"/>
      <c r="E16" s="9"/>
      <c r="G16" s="39"/>
      <c r="H16" s="61"/>
    </row>
    <row r="17" spans="2:9" x14ac:dyDescent="0.25">
      <c r="B17" s="67" t="s">
        <v>174</v>
      </c>
      <c r="C17" s="68"/>
      <c r="D17" s="69"/>
      <c r="E17" s="3"/>
      <c r="F17" s="1"/>
      <c r="G17" s="39"/>
      <c r="H17" s="61"/>
      <c r="I17" s="1"/>
    </row>
    <row r="18" spans="2:9" x14ac:dyDescent="0.25">
      <c r="B18" s="13" t="s">
        <v>45</v>
      </c>
      <c r="C18" s="13" t="s">
        <v>46</v>
      </c>
      <c r="D18" s="5" t="s">
        <v>47</v>
      </c>
      <c r="E18" s="4"/>
      <c r="F18" s="1" t="s">
        <v>186</v>
      </c>
      <c r="G18" s="39" t="str">
        <f>CONCATENATE(F18,"=",I18)</f>
        <v>HolCount=0</v>
      </c>
      <c r="H18" s="61"/>
      <c r="I18" s="1">
        <f>SUM(I19:I38)</f>
        <v>0</v>
      </c>
    </row>
    <row r="19" spans="2:9" x14ac:dyDescent="0.25">
      <c r="B19" s="30"/>
      <c r="C19" s="30"/>
      <c r="D19" s="29"/>
      <c r="E19" s="4"/>
      <c r="F19" s="4" t="s">
        <v>37</v>
      </c>
      <c r="G19" s="39" t="str">
        <f t="shared" ref="G19:G50" si="0">IF(I19=1,(F19&amp;"="&amp;B19&amp;" - "&amp;C19&amp;" -&gt; "&amp;D19&amp;"%"),"")</f>
        <v/>
      </c>
      <c r="H19" s="61"/>
      <c r="I19" s="1">
        <f t="shared" ref="I19:I50" si="1">IF(AND(B19&lt;&gt;"",C19&lt;&gt;"",D19&lt;&gt;""),1,0)</f>
        <v>0</v>
      </c>
    </row>
    <row r="20" spans="2:9" x14ac:dyDescent="0.25">
      <c r="B20" s="30"/>
      <c r="C20" s="31"/>
      <c r="D20" s="29"/>
      <c r="E20" s="4"/>
      <c r="F20" s="4" t="s">
        <v>57</v>
      </c>
      <c r="G20" s="39" t="str">
        <f t="shared" si="0"/>
        <v/>
      </c>
      <c r="H20" s="61"/>
      <c r="I20" s="11">
        <f t="shared" si="1"/>
        <v>0</v>
      </c>
    </row>
    <row r="21" spans="2:9" x14ac:dyDescent="0.25">
      <c r="B21" s="30"/>
      <c r="C21" s="31"/>
      <c r="D21" s="29"/>
      <c r="E21" s="4"/>
      <c r="F21" s="4" t="s">
        <v>58</v>
      </c>
      <c r="G21" s="39" t="str">
        <f t="shared" si="0"/>
        <v/>
      </c>
      <c r="H21" s="61"/>
      <c r="I21" s="11">
        <f t="shared" si="1"/>
        <v>0</v>
      </c>
    </row>
    <row r="22" spans="2:9" x14ac:dyDescent="0.25">
      <c r="B22" s="30"/>
      <c r="C22" s="31"/>
      <c r="D22" s="29"/>
      <c r="E22" s="4"/>
      <c r="F22" s="4" t="s">
        <v>59</v>
      </c>
      <c r="G22" s="39" t="str">
        <f t="shared" si="0"/>
        <v/>
      </c>
      <c r="H22" s="61"/>
      <c r="I22" s="11">
        <f t="shared" si="1"/>
        <v>0</v>
      </c>
    </row>
    <row r="23" spans="2:9" x14ac:dyDescent="0.25">
      <c r="B23" s="30"/>
      <c r="C23" s="31"/>
      <c r="D23" s="29"/>
      <c r="E23" s="4"/>
      <c r="F23" s="4" t="s">
        <v>60</v>
      </c>
      <c r="G23" s="39" t="str">
        <f t="shared" si="0"/>
        <v/>
      </c>
      <c r="H23" s="61"/>
      <c r="I23" s="11">
        <f t="shared" si="1"/>
        <v>0</v>
      </c>
    </row>
    <row r="24" spans="2:9" x14ac:dyDescent="0.25">
      <c r="B24" s="30"/>
      <c r="C24" s="31"/>
      <c r="D24" s="29"/>
      <c r="E24" s="4"/>
      <c r="F24" s="4" t="s">
        <v>61</v>
      </c>
      <c r="G24" s="39" t="str">
        <f t="shared" si="0"/>
        <v/>
      </c>
      <c r="H24" s="61"/>
      <c r="I24" s="11">
        <f t="shared" si="1"/>
        <v>0</v>
      </c>
    </row>
    <row r="25" spans="2:9" x14ac:dyDescent="0.25">
      <c r="B25" s="30"/>
      <c r="C25" s="31"/>
      <c r="D25" s="29"/>
      <c r="E25" s="4"/>
      <c r="F25" s="4" t="s">
        <v>62</v>
      </c>
      <c r="G25" s="39" t="str">
        <f t="shared" si="0"/>
        <v/>
      </c>
      <c r="H25" s="61"/>
      <c r="I25" s="11">
        <f t="shared" si="1"/>
        <v>0</v>
      </c>
    </row>
    <row r="26" spans="2:9" x14ac:dyDescent="0.25">
      <c r="B26" s="30"/>
      <c r="C26" s="31"/>
      <c r="D26" s="29"/>
      <c r="E26" s="4"/>
      <c r="F26" s="4" t="s">
        <v>63</v>
      </c>
      <c r="G26" s="39" t="str">
        <f t="shared" si="0"/>
        <v/>
      </c>
      <c r="H26" s="61"/>
      <c r="I26" s="11">
        <f t="shared" si="1"/>
        <v>0</v>
      </c>
    </row>
    <row r="27" spans="2:9" x14ac:dyDescent="0.25">
      <c r="B27" s="30"/>
      <c r="C27" s="31"/>
      <c r="D27" s="29"/>
      <c r="E27" s="4"/>
      <c r="F27" s="4" t="s">
        <v>64</v>
      </c>
      <c r="G27" s="39" t="str">
        <f t="shared" si="0"/>
        <v/>
      </c>
      <c r="H27" s="61"/>
      <c r="I27" s="11">
        <f t="shared" si="1"/>
        <v>0</v>
      </c>
    </row>
    <row r="28" spans="2:9" x14ac:dyDescent="0.25">
      <c r="B28" s="30"/>
      <c r="C28" s="31"/>
      <c r="D28" s="29"/>
      <c r="E28" s="4"/>
      <c r="F28" s="4" t="s">
        <v>65</v>
      </c>
      <c r="G28" s="39" t="str">
        <f t="shared" si="0"/>
        <v/>
      </c>
      <c r="H28" s="61"/>
      <c r="I28" s="11">
        <f t="shared" si="1"/>
        <v>0</v>
      </c>
    </row>
    <row r="29" spans="2:9" x14ac:dyDescent="0.25">
      <c r="B29" s="30"/>
      <c r="C29" s="31"/>
      <c r="D29" s="29"/>
      <c r="E29" s="4"/>
      <c r="F29" s="4" t="s">
        <v>66</v>
      </c>
      <c r="G29" s="39" t="str">
        <f t="shared" si="0"/>
        <v/>
      </c>
      <c r="H29" s="61"/>
      <c r="I29" s="11">
        <f t="shared" si="1"/>
        <v>0</v>
      </c>
    </row>
    <row r="30" spans="2:9" x14ac:dyDescent="0.25">
      <c r="B30" s="30"/>
      <c r="C30" s="31"/>
      <c r="D30" s="29"/>
      <c r="E30" s="4"/>
      <c r="F30" s="4" t="s">
        <v>67</v>
      </c>
      <c r="G30" s="39" t="str">
        <f t="shared" si="0"/>
        <v/>
      </c>
      <c r="H30" s="61"/>
      <c r="I30" s="11">
        <f t="shared" si="1"/>
        <v>0</v>
      </c>
    </row>
    <row r="31" spans="2:9" x14ac:dyDescent="0.25">
      <c r="B31" s="30"/>
      <c r="C31" s="31"/>
      <c r="D31" s="29"/>
      <c r="E31" s="4"/>
      <c r="F31" s="4" t="s">
        <v>68</v>
      </c>
      <c r="G31" s="39" t="str">
        <f t="shared" si="0"/>
        <v/>
      </c>
      <c r="H31" s="61"/>
      <c r="I31" s="11">
        <f t="shared" si="1"/>
        <v>0</v>
      </c>
    </row>
    <row r="32" spans="2:9" x14ac:dyDescent="0.25">
      <c r="B32" s="30"/>
      <c r="C32" s="31"/>
      <c r="D32" s="29"/>
      <c r="E32" s="4"/>
      <c r="F32" s="4" t="s">
        <v>69</v>
      </c>
      <c r="G32" s="39" t="str">
        <f t="shared" si="0"/>
        <v/>
      </c>
      <c r="H32" s="61"/>
      <c r="I32" s="11">
        <f t="shared" si="1"/>
        <v>0</v>
      </c>
    </row>
    <row r="33" spans="2:9" x14ac:dyDescent="0.25">
      <c r="B33" s="30"/>
      <c r="C33" s="31"/>
      <c r="D33" s="29"/>
      <c r="E33" s="4"/>
      <c r="F33" s="4" t="s">
        <v>70</v>
      </c>
      <c r="G33" s="39" t="str">
        <f t="shared" si="0"/>
        <v/>
      </c>
      <c r="H33" s="61"/>
      <c r="I33" s="11">
        <f t="shared" si="1"/>
        <v>0</v>
      </c>
    </row>
    <row r="34" spans="2:9" x14ac:dyDescent="0.25">
      <c r="B34" s="30"/>
      <c r="C34" s="31"/>
      <c r="D34" s="29"/>
      <c r="E34" s="4"/>
      <c r="F34" s="4" t="s">
        <v>71</v>
      </c>
      <c r="G34" s="39" t="str">
        <f t="shared" si="0"/>
        <v/>
      </c>
      <c r="H34" s="61"/>
      <c r="I34" s="11">
        <f t="shared" si="1"/>
        <v>0</v>
      </c>
    </row>
    <row r="35" spans="2:9" x14ac:dyDescent="0.25">
      <c r="B35" s="30"/>
      <c r="C35" s="31"/>
      <c r="D35" s="29"/>
      <c r="E35" s="4"/>
      <c r="F35" s="4" t="s">
        <v>72</v>
      </c>
      <c r="G35" s="39" t="str">
        <f t="shared" si="0"/>
        <v/>
      </c>
      <c r="H35" s="61"/>
      <c r="I35" s="11">
        <f t="shared" si="1"/>
        <v>0</v>
      </c>
    </row>
    <row r="36" spans="2:9" x14ac:dyDescent="0.25">
      <c r="B36" s="30"/>
      <c r="C36" s="31"/>
      <c r="D36" s="29"/>
      <c r="E36" s="4"/>
      <c r="F36" s="4" t="s">
        <v>73</v>
      </c>
      <c r="G36" s="39" t="str">
        <f t="shared" si="0"/>
        <v/>
      </c>
      <c r="H36" s="61"/>
      <c r="I36" s="11">
        <f t="shared" si="1"/>
        <v>0</v>
      </c>
    </row>
    <row r="37" spans="2:9" x14ac:dyDescent="0.25">
      <c r="B37" s="30"/>
      <c r="C37" s="31"/>
      <c r="D37" s="29"/>
      <c r="E37" s="4"/>
      <c r="F37" s="4" t="s">
        <v>74</v>
      </c>
      <c r="G37" s="39" t="str">
        <f t="shared" si="0"/>
        <v/>
      </c>
      <c r="H37" s="61"/>
      <c r="I37" s="11">
        <f t="shared" si="1"/>
        <v>0</v>
      </c>
    </row>
    <row r="38" spans="2:9" x14ac:dyDescent="0.25">
      <c r="B38" s="30"/>
      <c r="C38" s="30"/>
      <c r="D38" s="29"/>
      <c r="E38" s="4"/>
      <c r="F38" s="4" t="s">
        <v>75</v>
      </c>
      <c r="G38" s="39" t="str">
        <f t="shared" si="0"/>
        <v/>
      </c>
      <c r="H38" s="61"/>
      <c r="I38" s="11">
        <f t="shared" si="1"/>
        <v>0</v>
      </c>
    </row>
    <row r="39" spans="2:9" x14ac:dyDescent="0.25">
      <c r="B39" s="31"/>
      <c r="C39" s="31"/>
      <c r="D39" s="32"/>
      <c r="F39" s="4" t="s">
        <v>188</v>
      </c>
      <c r="G39" s="39" t="str">
        <f t="shared" si="0"/>
        <v/>
      </c>
      <c r="H39" s="61"/>
      <c r="I39" s="11">
        <f t="shared" si="1"/>
        <v>0</v>
      </c>
    </row>
    <row r="40" spans="2:9" x14ac:dyDescent="0.25">
      <c r="B40" s="31"/>
      <c r="C40" s="31"/>
      <c r="D40" s="32"/>
      <c r="F40" s="4" t="s">
        <v>189</v>
      </c>
      <c r="G40" s="39" t="str">
        <f t="shared" si="0"/>
        <v/>
      </c>
      <c r="H40" s="61"/>
      <c r="I40" s="11">
        <f t="shared" si="1"/>
        <v>0</v>
      </c>
    </row>
    <row r="41" spans="2:9" x14ac:dyDescent="0.25">
      <c r="B41" s="31"/>
      <c r="C41" s="31"/>
      <c r="D41" s="32"/>
      <c r="F41" s="4" t="s">
        <v>190</v>
      </c>
      <c r="G41" s="39" t="str">
        <f t="shared" si="0"/>
        <v/>
      </c>
      <c r="H41" s="61"/>
      <c r="I41" s="11">
        <f t="shared" si="1"/>
        <v>0</v>
      </c>
    </row>
    <row r="42" spans="2:9" x14ac:dyDescent="0.25">
      <c r="B42" s="31"/>
      <c r="C42" s="31"/>
      <c r="D42" s="32"/>
      <c r="F42" s="4" t="s">
        <v>191</v>
      </c>
      <c r="G42" s="39" t="str">
        <f t="shared" si="0"/>
        <v/>
      </c>
      <c r="H42" s="61"/>
      <c r="I42" s="11">
        <f t="shared" si="1"/>
        <v>0</v>
      </c>
    </row>
    <row r="43" spans="2:9" x14ac:dyDescent="0.25">
      <c r="B43" s="31"/>
      <c r="C43" s="31"/>
      <c r="D43" s="32"/>
      <c r="F43" s="4" t="s">
        <v>192</v>
      </c>
      <c r="G43" s="39" t="str">
        <f t="shared" si="0"/>
        <v/>
      </c>
      <c r="H43" s="61"/>
      <c r="I43" s="11">
        <f t="shared" si="1"/>
        <v>0</v>
      </c>
    </row>
    <row r="44" spans="2:9" x14ac:dyDescent="0.25">
      <c r="B44" s="31"/>
      <c r="C44" s="31"/>
      <c r="D44" s="32"/>
      <c r="F44" s="4" t="s">
        <v>193</v>
      </c>
      <c r="G44" s="39" t="str">
        <f t="shared" si="0"/>
        <v/>
      </c>
      <c r="H44" s="61"/>
      <c r="I44" s="11">
        <f t="shared" si="1"/>
        <v>0</v>
      </c>
    </row>
    <row r="45" spans="2:9" x14ac:dyDescent="0.25">
      <c r="B45" s="31"/>
      <c r="C45" s="31"/>
      <c r="D45" s="32"/>
      <c r="F45" s="4" t="s">
        <v>194</v>
      </c>
      <c r="G45" s="39" t="str">
        <f t="shared" si="0"/>
        <v/>
      </c>
      <c r="H45" s="61"/>
      <c r="I45" s="11">
        <f t="shared" si="1"/>
        <v>0</v>
      </c>
    </row>
    <row r="46" spans="2:9" x14ac:dyDescent="0.25">
      <c r="B46" s="31"/>
      <c r="C46" s="31"/>
      <c r="D46" s="32"/>
      <c r="F46" s="4" t="s">
        <v>195</v>
      </c>
      <c r="G46" s="39" t="str">
        <f t="shared" si="0"/>
        <v/>
      </c>
      <c r="H46" s="61"/>
      <c r="I46" s="11">
        <f t="shared" si="1"/>
        <v>0</v>
      </c>
    </row>
    <row r="47" spans="2:9" x14ac:dyDescent="0.25">
      <c r="B47" s="31"/>
      <c r="C47" s="31"/>
      <c r="D47" s="32"/>
      <c r="F47" s="4" t="s">
        <v>196</v>
      </c>
      <c r="G47" s="39" t="str">
        <f t="shared" si="0"/>
        <v/>
      </c>
      <c r="H47" s="61"/>
      <c r="I47" s="11">
        <f t="shared" si="1"/>
        <v>0</v>
      </c>
    </row>
    <row r="48" spans="2:9" x14ac:dyDescent="0.25">
      <c r="B48" s="31"/>
      <c r="C48" s="31"/>
      <c r="D48" s="32"/>
      <c r="F48" s="4" t="s">
        <v>197</v>
      </c>
      <c r="G48" s="39" t="str">
        <f t="shared" si="0"/>
        <v/>
      </c>
      <c r="H48" s="61"/>
      <c r="I48" s="11">
        <f t="shared" si="1"/>
        <v>0</v>
      </c>
    </row>
    <row r="49" spans="2:9" x14ac:dyDescent="0.25">
      <c r="B49" s="31"/>
      <c r="C49" s="31"/>
      <c r="D49" s="32"/>
      <c r="F49" s="4" t="s">
        <v>198</v>
      </c>
      <c r="G49" s="39" t="str">
        <f t="shared" si="0"/>
        <v/>
      </c>
      <c r="H49" s="61"/>
      <c r="I49" s="11">
        <f t="shared" si="1"/>
        <v>0</v>
      </c>
    </row>
    <row r="50" spans="2:9" x14ac:dyDescent="0.25">
      <c r="B50" s="31"/>
      <c r="C50" s="31"/>
      <c r="D50" s="32"/>
      <c r="F50" s="4" t="s">
        <v>199</v>
      </c>
      <c r="G50" s="39" t="str">
        <f t="shared" si="0"/>
        <v/>
      </c>
      <c r="H50" s="61"/>
      <c r="I50" s="11">
        <f t="shared" si="1"/>
        <v>0</v>
      </c>
    </row>
    <row r="51" spans="2:9" x14ac:dyDescent="0.25">
      <c r="B51" s="31"/>
      <c r="C51" s="31"/>
      <c r="D51" s="32"/>
      <c r="F51" s="4" t="s">
        <v>200</v>
      </c>
      <c r="G51" s="39" t="str">
        <f t="shared" ref="G51:G82" si="2">IF(I51=1,(F51&amp;"="&amp;B51&amp;" - "&amp;C51&amp;" -&gt; "&amp;D51&amp;"%"),"")</f>
        <v/>
      </c>
      <c r="H51" s="61"/>
      <c r="I51" s="11">
        <f t="shared" ref="I51:I82" si="3">IF(AND(B51&lt;&gt;"",C51&lt;&gt;"",D51&lt;&gt;""),1,0)</f>
        <v>0</v>
      </c>
    </row>
    <row r="52" spans="2:9" x14ac:dyDescent="0.25">
      <c r="B52" s="31"/>
      <c r="C52" s="31"/>
      <c r="D52" s="32"/>
      <c r="F52" s="4" t="s">
        <v>201</v>
      </c>
      <c r="G52" s="39" t="str">
        <f t="shared" si="2"/>
        <v/>
      </c>
      <c r="H52" s="61"/>
      <c r="I52" s="11">
        <f t="shared" si="3"/>
        <v>0</v>
      </c>
    </row>
    <row r="53" spans="2:9" x14ac:dyDescent="0.25">
      <c r="B53" s="31"/>
      <c r="C53" s="31"/>
      <c r="D53" s="32"/>
      <c r="F53" s="4" t="s">
        <v>202</v>
      </c>
      <c r="G53" s="39" t="str">
        <f t="shared" si="2"/>
        <v/>
      </c>
      <c r="H53" s="61"/>
      <c r="I53" s="11">
        <f t="shared" si="3"/>
        <v>0</v>
      </c>
    </row>
    <row r="54" spans="2:9" x14ac:dyDescent="0.25">
      <c r="B54" s="31"/>
      <c r="C54" s="31"/>
      <c r="D54" s="32"/>
      <c r="F54" s="4" t="s">
        <v>203</v>
      </c>
      <c r="G54" s="39" t="str">
        <f t="shared" si="2"/>
        <v/>
      </c>
      <c r="H54" s="61"/>
      <c r="I54" s="11">
        <f t="shared" si="3"/>
        <v>0</v>
      </c>
    </row>
    <row r="55" spans="2:9" x14ac:dyDescent="0.25">
      <c r="B55" s="31"/>
      <c r="C55" s="31"/>
      <c r="D55" s="32"/>
      <c r="F55" s="4" t="s">
        <v>204</v>
      </c>
      <c r="G55" s="39" t="str">
        <f t="shared" si="2"/>
        <v/>
      </c>
      <c r="H55" s="61"/>
      <c r="I55" s="11">
        <f t="shared" si="3"/>
        <v>0</v>
      </c>
    </row>
    <row r="56" spans="2:9" x14ac:dyDescent="0.25">
      <c r="B56" s="31"/>
      <c r="C56" s="31"/>
      <c r="D56" s="32"/>
      <c r="F56" s="4" t="s">
        <v>205</v>
      </c>
      <c r="G56" s="39" t="str">
        <f t="shared" si="2"/>
        <v/>
      </c>
      <c r="H56" s="61"/>
      <c r="I56" s="11">
        <f t="shared" si="3"/>
        <v>0</v>
      </c>
    </row>
    <row r="57" spans="2:9" x14ac:dyDescent="0.25">
      <c r="B57" s="31"/>
      <c r="C57" s="31"/>
      <c r="D57" s="32"/>
      <c r="F57" s="4" t="s">
        <v>206</v>
      </c>
      <c r="G57" s="39" t="str">
        <f t="shared" si="2"/>
        <v/>
      </c>
      <c r="H57" s="61"/>
      <c r="I57" s="11">
        <f t="shared" si="3"/>
        <v>0</v>
      </c>
    </row>
    <row r="58" spans="2:9" x14ac:dyDescent="0.25">
      <c r="B58" s="31"/>
      <c r="C58" s="31"/>
      <c r="D58" s="32"/>
      <c r="F58" s="4" t="s">
        <v>207</v>
      </c>
      <c r="G58" s="39" t="str">
        <f t="shared" si="2"/>
        <v/>
      </c>
      <c r="H58" s="61"/>
      <c r="I58" s="11">
        <f t="shared" si="3"/>
        <v>0</v>
      </c>
    </row>
    <row r="59" spans="2:9" x14ac:dyDescent="0.25">
      <c r="B59" s="31"/>
      <c r="C59" s="31"/>
      <c r="D59" s="32"/>
      <c r="F59" s="4" t="s">
        <v>208</v>
      </c>
      <c r="G59" s="39" t="str">
        <f t="shared" si="2"/>
        <v/>
      </c>
      <c r="H59" s="61"/>
      <c r="I59" s="11">
        <f t="shared" si="3"/>
        <v>0</v>
      </c>
    </row>
    <row r="60" spans="2:9" x14ac:dyDescent="0.25">
      <c r="B60" s="31"/>
      <c r="C60" s="31"/>
      <c r="D60" s="32"/>
      <c r="F60" s="4" t="s">
        <v>209</v>
      </c>
      <c r="G60" s="39" t="str">
        <f t="shared" si="2"/>
        <v/>
      </c>
      <c r="H60" s="61"/>
      <c r="I60" s="11">
        <f t="shared" si="3"/>
        <v>0</v>
      </c>
    </row>
    <row r="61" spans="2:9" x14ac:dyDescent="0.25">
      <c r="B61" s="31"/>
      <c r="C61" s="31"/>
      <c r="D61" s="32"/>
      <c r="F61" s="4" t="s">
        <v>210</v>
      </c>
      <c r="G61" s="39" t="str">
        <f t="shared" si="2"/>
        <v/>
      </c>
      <c r="H61" s="61"/>
      <c r="I61" s="11">
        <f t="shared" si="3"/>
        <v>0</v>
      </c>
    </row>
    <row r="62" spans="2:9" x14ac:dyDescent="0.25">
      <c r="B62" s="31"/>
      <c r="C62" s="31"/>
      <c r="D62" s="32"/>
      <c r="F62" s="4" t="s">
        <v>211</v>
      </c>
      <c r="G62" s="39" t="str">
        <f t="shared" si="2"/>
        <v/>
      </c>
      <c r="H62" s="61"/>
      <c r="I62" s="11">
        <f t="shared" si="3"/>
        <v>0</v>
      </c>
    </row>
    <row r="63" spans="2:9" x14ac:dyDescent="0.25">
      <c r="B63" s="31"/>
      <c r="C63" s="31"/>
      <c r="D63" s="32"/>
      <c r="F63" s="4" t="s">
        <v>212</v>
      </c>
      <c r="G63" s="39" t="str">
        <f t="shared" si="2"/>
        <v/>
      </c>
      <c r="H63" s="61"/>
      <c r="I63" s="11">
        <f t="shared" si="3"/>
        <v>0</v>
      </c>
    </row>
    <row r="64" spans="2:9" x14ac:dyDescent="0.25">
      <c r="B64" s="31"/>
      <c r="C64" s="31"/>
      <c r="D64" s="32"/>
      <c r="F64" s="4" t="s">
        <v>213</v>
      </c>
      <c r="G64" s="39" t="str">
        <f t="shared" si="2"/>
        <v/>
      </c>
      <c r="H64" s="61"/>
      <c r="I64" s="11">
        <f t="shared" si="3"/>
        <v>0</v>
      </c>
    </row>
    <row r="65" spans="2:9" x14ac:dyDescent="0.25">
      <c r="B65" s="31"/>
      <c r="C65" s="31"/>
      <c r="D65" s="32"/>
      <c r="F65" s="4" t="s">
        <v>214</v>
      </c>
      <c r="G65" s="39" t="str">
        <f t="shared" si="2"/>
        <v/>
      </c>
      <c r="H65" s="61"/>
      <c r="I65" s="11">
        <f t="shared" si="3"/>
        <v>0</v>
      </c>
    </row>
    <row r="66" spans="2:9" x14ac:dyDescent="0.25">
      <c r="B66" s="31"/>
      <c r="C66" s="31"/>
      <c r="D66" s="32"/>
      <c r="F66" s="4" t="s">
        <v>215</v>
      </c>
      <c r="G66" s="39" t="str">
        <f t="shared" si="2"/>
        <v/>
      </c>
      <c r="H66" s="61"/>
      <c r="I66" s="11">
        <f t="shared" si="3"/>
        <v>0</v>
      </c>
    </row>
    <row r="67" spans="2:9" x14ac:dyDescent="0.25">
      <c r="B67" s="31"/>
      <c r="C67" s="31"/>
      <c r="D67" s="32"/>
      <c r="F67" s="4" t="s">
        <v>216</v>
      </c>
      <c r="G67" s="39" t="str">
        <f t="shared" si="2"/>
        <v/>
      </c>
      <c r="H67" s="61"/>
      <c r="I67" s="11">
        <f t="shared" si="3"/>
        <v>0</v>
      </c>
    </row>
    <row r="68" spans="2:9" x14ac:dyDescent="0.25">
      <c r="B68" s="31"/>
      <c r="C68" s="31"/>
      <c r="D68" s="32"/>
      <c r="F68" s="4" t="s">
        <v>217</v>
      </c>
      <c r="G68" s="39" t="str">
        <f t="shared" si="2"/>
        <v/>
      </c>
      <c r="H68" s="61"/>
      <c r="I68" s="11">
        <f t="shared" si="3"/>
        <v>0</v>
      </c>
    </row>
    <row r="69" spans="2:9" x14ac:dyDescent="0.25">
      <c r="B69" s="31"/>
      <c r="C69" s="31"/>
      <c r="D69" s="32"/>
      <c r="F69" s="4" t="s">
        <v>218</v>
      </c>
      <c r="G69" s="39" t="str">
        <f t="shared" si="2"/>
        <v/>
      </c>
      <c r="H69" s="61"/>
      <c r="I69" s="11">
        <f t="shared" si="3"/>
        <v>0</v>
      </c>
    </row>
    <row r="70" spans="2:9" x14ac:dyDescent="0.25">
      <c r="B70" s="31"/>
      <c r="C70" s="31"/>
      <c r="D70" s="32"/>
      <c r="F70" s="4" t="s">
        <v>219</v>
      </c>
      <c r="G70" s="39" t="str">
        <f t="shared" si="2"/>
        <v/>
      </c>
      <c r="H70" s="61"/>
      <c r="I70" s="11">
        <f t="shared" si="3"/>
        <v>0</v>
      </c>
    </row>
    <row r="71" spans="2:9" x14ac:dyDescent="0.25">
      <c r="B71" s="31"/>
      <c r="C71" s="31"/>
      <c r="D71" s="32"/>
      <c r="F71" s="4" t="s">
        <v>220</v>
      </c>
      <c r="G71" s="39" t="str">
        <f t="shared" si="2"/>
        <v/>
      </c>
      <c r="H71" s="61"/>
      <c r="I71" s="11">
        <f t="shared" si="3"/>
        <v>0</v>
      </c>
    </row>
    <row r="72" spans="2:9" x14ac:dyDescent="0.25">
      <c r="B72" s="31"/>
      <c r="C72" s="31"/>
      <c r="D72" s="32"/>
      <c r="F72" s="4" t="s">
        <v>221</v>
      </c>
      <c r="G72" s="39" t="str">
        <f t="shared" si="2"/>
        <v/>
      </c>
      <c r="H72" s="61"/>
      <c r="I72" s="11">
        <f t="shared" si="3"/>
        <v>0</v>
      </c>
    </row>
    <row r="73" spans="2:9" x14ac:dyDescent="0.25">
      <c r="B73" s="31"/>
      <c r="C73" s="31"/>
      <c r="D73" s="32"/>
      <c r="F73" s="4" t="s">
        <v>222</v>
      </c>
      <c r="G73" s="39" t="str">
        <f t="shared" si="2"/>
        <v/>
      </c>
      <c r="H73" s="61"/>
      <c r="I73" s="11">
        <f t="shared" si="3"/>
        <v>0</v>
      </c>
    </row>
    <row r="74" spans="2:9" x14ac:dyDescent="0.25">
      <c r="B74" s="31"/>
      <c r="C74" s="31"/>
      <c r="D74" s="32"/>
      <c r="F74" s="4" t="s">
        <v>223</v>
      </c>
      <c r="G74" s="39" t="str">
        <f t="shared" si="2"/>
        <v/>
      </c>
      <c r="H74" s="61"/>
      <c r="I74" s="11">
        <f t="shared" si="3"/>
        <v>0</v>
      </c>
    </row>
    <row r="75" spans="2:9" x14ac:dyDescent="0.25">
      <c r="B75" s="31"/>
      <c r="C75" s="31"/>
      <c r="D75" s="32"/>
      <c r="F75" s="4" t="s">
        <v>224</v>
      </c>
      <c r="G75" s="39" t="str">
        <f t="shared" si="2"/>
        <v/>
      </c>
      <c r="H75" s="61"/>
      <c r="I75" s="11">
        <f t="shared" si="3"/>
        <v>0</v>
      </c>
    </row>
    <row r="76" spans="2:9" x14ac:dyDescent="0.25">
      <c r="B76" s="31"/>
      <c r="C76" s="31"/>
      <c r="D76" s="32"/>
      <c r="F76" s="4" t="s">
        <v>225</v>
      </c>
      <c r="G76" s="39" t="str">
        <f t="shared" si="2"/>
        <v/>
      </c>
      <c r="H76" s="61"/>
      <c r="I76" s="11">
        <f t="shared" si="3"/>
        <v>0</v>
      </c>
    </row>
    <row r="77" spans="2:9" x14ac:dyDescent="0.25">
      <c r="B77" s="31"/>
      <c r="C77" s="31"/>
      <c r="D77" s="32"/>
      <c r="F77" s="4" t="s">
        <v>226</v>
      </c>
      <c r="G77" s="39" t="str">
        <f t="shared" si="2"/>
        <v/>
      </c>
      <c r="H77" s="61"/>
      <c r="I77" s="11">
        <f t="shared" si="3"/>
        <v>0</v>
      </c>
    </row>
    <row r="78" spans="2:9" x14ac:dyDescent="0.25">
      <c r="B78" s="31"/>
      <c r="C78" s="31"/>
      <c r="D78" s="32"/>
      <c r="F78" s="4" t="s">
        <v>227</v>
      </c>
      <c r="G78" s="39" t="str">
        <f t="shared" si="2"/>
        <v/>
      </c>
      <c r="H78" s="61"/>
      <c r="I78" s="11">
        <f t="shared" si="3"/>
        <v>0</v>
      </c>
    </row>
    <row r="79" spans="2:9" x14ac:dyDescent="0.25">
      <c r="B79" s="31"/>
      <c r="C79" s="31"/>
      <c r="D79" s="32"/>
      <c r="F79" s="4" t="s">
        <v>228</v>
      </c>
      <c r="G79" s="39" t="str">
        <f t="shared" si="2"/>
        <v/>
      </c>
      <c r="H79" s="61"/>
      <c r="I79" s="11">
        <f t="shared" si="3"/>
        <v>0</v>
      </c>
    </row>
    <row r="80" spans="2:9" x14ac:dyDescent="0.25">
      <c r="B80" s="31"/>
      <c r="C80" s="31"/>
      <c r="D80" s="32"/>
      <c r="F80" s="4" t="s">
        <v>229</v>
      </c>
      <c r="G80" s="39" t="str">
        <f t="shared" si="2"/>
        <v/>
      </c>
      <c r="H80" s="61"/>
      <c r="I80" s="11">
        <f t="shared" si="3"/>
        <v>0</v>
      </c>
    </row>
    <row r="81" spans="2:9" x14ac:dyDescent="0.25">
      <c r="B81" s="31"/>
      <c r="C81" s="31"/>
      <c r="D81" s="32"/>
      <c r="F81" s="4" t="s">
        <v>230</v>
      </c>
      <c r="G81" s="39" t="str">
        <f t="shared" si="2"/>
        <v/>
      </c>
      <c r="H81" s="61"/>
      <c r="I81" s="11">
        <f t="shared" si="3"/>
        <v>0</v>
      </c>
    </row>
    <row r="82" spans="2:9" x14ac:dyDescent="0.25">
      <c r="B82" s="31"/>
      <c r="C82" s="31"/>
      <c r="D82" s="32"/>
      <c r="F82" s="4" t="s">
        <v>231</v>
      </c>
      <c r="G82" s="39" t="str">
        <f t="shared" si="2"/>
        <v/>
      </c>
      <c r="H82" s="61"/>
      <c r="I82" s="11">
        <f t="shared" si="3"/>
        <v>0</v>
      </c>
    </row>
    <row r="83" spans="2:9" x14ac:dyDescent="0.25">
      <c r="B83" s="31"/>
      <c r="C83" s="31"/>
      <c r="D83" s="32"/>
      <c r="F83" s="4" t="s">
        <v>232</v>
      </c>
      <c r="G83" s="39" t="str">
        <f t="shared" ref="G83:G114" si="4">IF(I83=1,(F83&amp;"="&amp;B83&amp;" - "&amp;C83&amp;" -&gt; "&amp;D83&amp;"%"),"")</f>
        <v/>
      </c>
      <c r="H83" s="61"/>
      <c r="I83" s="11">
        <f t="shared" ref="I83:I118" si="5">IF(AND(B83&lt;&gt;"",C83&lt;&gt;"",D83&lt;&gt;""),1,0)</f>
        <v>0</v>
      </c>
    </row>
    <row r="84" spans="2:9" x14ac:dyDescent="0.25">
      <c r="B84" s="31"/>
      <c r="C84" s="31"/>
      <c r="D84" s="32"/>
      <c r="F84" s="4" t="s">
        <v>233</v>
      </c>
      <c r="G84" s="39" t="str">
        <f t="shared" si="4"/>
        <v/>
      </c>
      <c r="H84" s="61"/>
      <c r="I84" s="11">
        <f t="shared" si="5"/>
        <v>0</v>
      </c>
    </row>
    <row r="85" spans="2:9" x14ac:dyDescent="0.25">
      <c r="B85" s="31"/>
      <c r="C85" s="31"/>
      <c r="D85" s="32"/>
      <c r="F85" s="4" t="s">
        <v>234</v>
      </c>
      <c r="G85" s="39" t="str">
        <f t="shared" si="4"/>
        <v/>
      </c>
      <c r="H85" s="61"/>
      <c r="I85" s="11">
        <f t="shared" si="5"/>
        <v>0</v>
      </c>
    </row>
    <row r="86" spans="2:9" x14ac:dyDescent="0.25">
      <c r="B86" s="31"/>
      <c r="C86" s="31"/>
      <c r="D86" s="32"/>
      <c r="F86" s="4" t="s">
        <v>235</v>
      </c>
      <c r="G86" s="39" t="str">
        <f t="shared" si="4"/>
        <v/>
      </c>
      <c r="H86" s="61"/>
      <c r="I86" s="11">
        <f t="shared" si="5"/>
        <v>0</v>
      </c>
    </row>
    <row r="87" spans="2:9" x14ac:dyDescent="0.25">
      <c r="B87" s="31"/>
      <c r="C87" s="31"/>
      <c r="D87" s="32"/>
      <c r="F87" s="4" t="s">
        <v>236</v>
      </c>
      <c r="G87" s="39" t="str">
        <f t="shared" si="4"/>
        <v/>
      </c>
      <c r="H87" s="61"/>
      <c r="I87" s="11">
        <f t="shared" si="5"/>
        <v>0</v>
      </c>
    </row>
    <row r="88" spans="2:9" x14ac:dyDescent="0.25">
      <c r="B88" s="31"/>
      <c r="C88" s="31"/>
      <c r="D88" s="32"/>
      <c r="F88" s="4" t="s">
        <v>237</v>
      </c>
      <c r="G88" s="39" t="str">
        <f t="shared" si="4"/>
        <v/>
      </c>
      <c r="H88" s="61"/>
      <c r="I88" s="11">
        <f t="shared" si="5"/>
        <v>0</v>
      </c>
    </row>
    <row r="89" spans="2:9" x14ac:dyDescent="0.25">
      <c r="B89" s="31"/>
      <c r="C89" s="31"/>
      <c r="D89" s="32"/>
      <c r="F89" s="4" t="s">
        <v>238</v>
      </c>
      <c r="G89" s="39" t="str">
        <f t="shared" si="4"/>
        <v/>
      </c>
      <c r="H89" s="61"/>
      <c r="I89" s="11">
        <f t="shared" si="5"/>
        <v>0</v>
      </c>
    </row>
    <row r="90" spans="2:9" x14ac:dyDescent="0.25">
      <c r="B90" s="31"/>
      <c r="C90" s="31"/>
      <c r="D90" s="32"/>
      <c r="F90" s="4" t="s">
        <v>239</v>
      </c>
      <c r="G90" s="39" t="str">
        <f t="shared" si="4"/>
        <v/>
      </c>
      <c r="H90" s="61"/>
      <c r="I90" s="11">
        <f t="shared" si="5"/>
        <v>0</v>
      </c>
    </row>
    <row r="91" spans="2:9" x14ac:dyDescent="0.25">
      <c r="B91" s="31"/>
      <c r="C91" s="31"/>
      <c r="D91" s="32"/>
      <c r="F91" s="4" t="s">
        <v>240</v>
      </c>
      <c r="G91" s="39" t="str">
        <f t="shared" si="4"/>
        <v/>
      </c>
      <c r="H91" s="61"/>
      <c r="I91" s="11">
        <f t="shared" si="5"/>
        <v>0</v>
      </c>
    </row>
    <row r="92" spans="2:9" x14ac:dyDescent="0.25">
      <c r="B92" s="31"/>
      <c r="C92" s="31"/>
      <c r="D92" s="32"/>
      <c r="F92" s="4" t="s">
        <v>241</v>
      </c>
      <c r="G92" s="39" t="str">
        <f t="shared" si="4"/>
        <v/>
      </c>
      <c r="H92" s="61"/>
      <c r="I92" s="11">
        <f t="shared" si="5"/>
        <v>0</v>
      </c>
    </row>
    <row r="93" spans="2:9" x14ac:dyDescent="0.25">
      <c r="B93" s="31"/>
      <c r="C93" s="31"/>
      <c r="D93" s="32"/>
      <c r="F93" s="4" t="s">
        <v>242</v>
      </c>
      <c r="G93" s="39" t="str">
        <f t="shared" si="4"/>
        <v/>
      </c>
      <c r="H93" s="61"/>
      <c r="I93" s="11">
        <f t="shared" si="5"/>
        <v>0</v>
      </c>
    </row>
    <row r="94" spans="2:9" x14ac:dyDescent="0.25">
      <c r="B94" s="31"/>
      <c r="C94" s="31"/>
      <c r="D94" s="32"/>
      <c r="F94" s="4" t="s">
        <v>243</v>
      </c>
      <c r="G94" s="39" t="str">
        <f t="shared" si="4"/>
        <v/>
      </c>
      <c r="H94" s="61"/>
      <c r="I94" s="11">
        <f t="shared" si="5"/>
        <v>0</v>
      </c>
    </row>
    <row r="95" spans="2:9" x14ac:dyDescent="0.25">
      <c r="B95" s="31"/>
      <c r="C95" s="31"/>
      <c r="D95" s="32"/>
      <c r="F95" s="4" t="s">
        <v>244</v>
      </c>
      <c r="G95" s="39" t="str">
        <f t="shared" si="4"/>
        <v/>
      </c>
      <c r="H95" s="61"/>
      <c r="I95" s="11">
        <f t="shared" si="5"/>
        <v>0</v>
      </c>
    </row>
    <row r="96" spans="2:9" x14ac:dyDescent="0.25">
      <c r="B96" s="31"/>
      <c r="C96" s="31"/>
      <c r="D96" s="32"/>
      <c r="F96" s="4" t="s">
        <v>245</v>
      </c>
      <c r="G96" s="39" t="str">
        <f t="shared" si="4"/>
        <v/>
      </c>
      <c r="H96" s="61"/>
      <c r="I96" s="11">
        <f t="shared" si="5"/>
        <v>0</v>
      </c>
    </row>
    <row r="97" spans="2:9" x14ac:dyDescent="0.25">
      <c r="B97" s="31"/>
      <c r="C97" s="31"/>
      <c r="D97" s="32"/>
      <c r="F97" s="4" t="s">
        <v>246</v>
      </c>
      <c r="G97" s="39" t="str">
        <f t="shared" si="4"/>
        <v/>
      </c>
      <c r="H97" s="61"/>
      <c r="I97" s="11">
        <f t="shared" si="5"/>
        <v>0</v>
      </c>
    </row>
    <row r="98" spans="2:9" x14ac:dyDescent="0.25">
      <c r="B98" s="31"/>
      <c r="C98" s="31"/>
      <c r="D98" s="32"/>
      <c r="F98" s="4" t="s">
        <v>247</v>
      </c>
      <c r="G98" s="39" t="str">
        <f t="shared" si="4"/>
        <v/>
      </c>
      <c r="H98" s="61"/>
      <c r="I98" s="11">
        <f t="shared" si="5"/>
        <v>0</v>
      </c>
    </row>
    <row r="99" spans="2:9" x14ac:dyDescent="0.25">
      <c r="B99" s="31"/>
      <c r="C99" s="31"/>
      <c r="D99" s="32"/>
      <c r="F99" s="4" t="s">
        <v>248</v>
      </c>
      <c r="G99" s="39" t="str">
        <f t="shared" si="4"/>
        <v/>
      </c>
      <c r="H99" s="61"/>
      <c r="I99" s="11">
        <f t="shared" si="5"/>
        <v>0</v>
      </c>
    </row>
    <row r="100" spans="2:9" x14ac:dyDescent="0.25">
      <c r="B100" s="31"/>
      <c r="C100" s="31"/>
      <c r="D100" s="32"/>
      <c r="F100" s="4" t="s">
        <v>249</v>
      </c>
      <c r="G100" s="39" t="str">
        <f t="shared" si="4"/>
        <v/>
      </c>
      <c r="H100" s="61"/>
      <c r="I100" s="11">
        <f t="shared" si="5"/>
        <v>0</v>
      </c>
    </row>
    <row r="101" spans="2:9" x14ac:dyDescent="0.25">
      <c r="B101" s="31"/>
      <c r="C101" s="31"/>
      <c r="D101" s="32"/>
      <c r="F101" s="4" t="s">
        <v>250</v>
      </c>
      <c r="G101" s="39" t="str">
        <f t="shared" si="4"/>
        <v/>
      </c>
      <c r="H101" s="61"/>
      <c r="I101" s="11">
        <f t="shared" si="5"/>
        <v>0</v>
      </c>
    </row>
    <row r="102" spans="2:9" x14ac:dyDescent="0.25">
      <c r="B102" s="31"/>
      <c r="C102" s="31"/>
      <c r="D102" s="32"/>
      <c r="F102" s="4" t="s">
        <v>251</v>
      </c>
      <c r="G102" s="39" t="str">
        <f t="shared" si="4"/>
        <v/>
      </c>
      <c r="H102" s="61"/>
      <c r="I102" s="11">
        <f t="shared" si="5"/>
        <v>0</v>
      </c>
    </row>
    <row r="103" spans="2:9" x14ac:dyDescent="0.25">
      <c r="B103" s="31"/>
      <c r="C103" s="31"/>
      <c r="D103" s="32"/>
      <c r="F103" s="4" t="s">
        <v>252</v>
      </c>
      <c r="G103" s="39" t="str">
        <f t="shared" si="4"/>
        <v/>
      </c>
      <c r="H103" s="61"/>
      <c r="I103" s="11">
        <f t="shared" si="5"/>
        <v>0</v>
      </c>
    </row>
    <row r="104" spans="2:9" x14ac:dyDescent="0.25">
      <c r="B104" s="31"/>
      <c r="C104" s="31"/>
      <c r="D104" s="32"/>
      <c r="F104" s="4" t="s">
        <v>253</v>
      </c>
      <c r="G104" s="39" t="str">
        <f t="shared" si="4"/>
        <v/>
      </c>
      <c r="H104" s="61"/>
      <c r="I104" s="11">
        <f t="shared" si="5"/>
        <v>0</v>
      </c>
    </row>
    <row r="105" spans="2:9" x14ac:dyDescent="0.25">
      <c r="B105" s="31"/>
      <c r="C105" s="31"/>
      <c r="D105" s="32"/>
      <c r="F105" s="4" t="s">
        <v>254</v>
      </c>
      <c r="G105" s="39" t="str">
        <f t="shared" si="4"/>
        <v/>
      </c>
      <c r="H105" s="61"/>
      <c r="I105" s="11">
        <f t="shared" si="5"/>
        <v>0</v>
      </c>
    </row>
    <row r="106" spans="2:9" x14ac:dyDescent="0.25">
      <c r="B106" s="31"/>
      <c r="C106" s="31"/>
      <c r="D106" s="32"/>
      <c r="F106" s="4" t="s">
        <v>255</v>
      </c>
      <c r="G106" s="39" t="str">
        <f t="shared" si="4"/>
        <v/>
      </c>
      <c r="H106" s="61"/>
      <c r="I106" s="11">
        <f t="shared" si="5"/>
        <v>0</v>
      </c>
    </row>
    <row r="107" spans="2:9" x14ac:dyDescent="0.25">
      <c r="B107" s="31"/>
      <c r="C107" s="31"/>
      <c r="D107" s="32"/>
      <c r="F107" s="4" t="s">
        <v>256</v>
      </c>
      <c r="G107" s="39" t="str">
        <f t="shared" si="4"/>
        <v/>
      </c>
      <c r="H107" s="61"/>
      <c r="I107" s="11">
        <f t="shared" si="5"/>
        <v>0</v>
      </c>
    </row>
    <row r="108" spans="2:9" x14ac:dyDescent="0.25">
      <c r="B108" s="31"/>
      <c r="C108" s="31"/>
      <c r="D108" s="32"/>
      <c r="F108" s="4" t="s">
        <v>257</v>
      </c>
      <c r="G108" s="39" t="str">
        <f t="shared" si="4"/>
        <v/>
      </c>
      <c r="H108" s="61"/>
      <c r="I108" s="11">
        <f t="shared" si="5"/>
        <v>0</v>
      </c>
    </row>
    <row r="109" spans="2:9" x14ac:dyDescent="0.25">
      <c r="B109" s="31"/>
      <c r="C109" s="31"/>
      <c r="D109" s="32"/>
      <c r="F109" s="4" t="s">
        <v>258</v>
      </c>
      <c r="G109" s="39" t="str">
        <f t="shared" si="4"/>
        <v/>
      </c>
      <c r="H109" s="61"/>
      <c r="I109" s="11">
        <f t="shared" si="5"/>
        <v>0</v>
      </c>
    </row>
    <row r="110" spans="2:9" x14ac:dyDescent="0.25">
      <c r="B110" s="31"/>
      <c r="C110" s="31"/>
      <c r="D110" s="32"/>
      <c r="F110" s="4" t="s">
        <v>259</v>
      </c>
      <c r="G110" s="39" t="str">
        <f t="shared" si="4"/>
        <v/>
      </c>
      <c r="H110" s="61"/>
      <c r="I110" s="11">
        <f t="shared" si="5"/>
        <v>0</v>
      </c>
    </row>
    <row r="111" spans="2:9" x14ac:dyDescent="0.25">
      <c r="B111" s="31"/>
      <c r="C111" s="31"/>
      <c r="D111" s="32"/>
      <c r="F111" s="4" t="s">
        <v>260</v>
      </c>
      <c r="G111" s="39" t="str">
        <f t="shared" si="4"/>
        <v/>
      </c>
      <c r="H111" s="61"/>
      <c r="I111" s="11">
        <f t="shared" si="5"/>
        <v>0</v>
      </c>
    </row>
    <row r="112" spans="2:9" x14ac:dyDescent="0.25">
      <c r="B112" s="31"/>
      <c r="C112" s="31"/>
      <c r="D112" s="32"/>
      <c r="F112" s="4" t="s">
        <v>261</v>
      </c>
      <c r="G112" s="39" t="str">
        <f t="shared" si="4"/>
        <v/>
      </c>
      <c r="H112" s="61"/>
      <c r="I112" s="11">
        <f t="shared" si="5"/>
        <v>0</v>
      </c>
    </row>
    <row r="113" spans="2:9" x14ac:dyDescent="0.25">
      <c r="B113" s="31"/>
      <c r="C113" s="31"/>
      <c r="D113" s="32"/>
      <c r="F113" s="4" t="s">
        <v>262</v>
      </c>
      <c r="G113" s="39" t="str">
        <f t="shared" si="4"/>
        <v/>
      </c>
      <c r="H113" s="61"/>
      <c r="I113" s="11">
        <f t="shared" si="5"/>
        <v>0</v>
      </c>
    </row>
    <row r="114" spans="2:9" x14ac:dyDescent="0.25">
      <c r="B114" s="31"/>
      <c r="C114" s="31"/>
      <c r="D114" s="32"/>
      <c r="F114" s="4" t="s">
        <v>263</v>
      </c>
      <c r="G114" s="39" t="str">
        <f t="shared" si="4"/>
        <v/>
      </c>
      <c r="H114" s="61"/>
      <c r="I114" s="11">
        <f t="shared" si="5"/>
        <v>0</v>
      </c>
    </row>
    <row r="115" spans="2:9" x14ac:dyDescent="0.25">
      <c r="B115" s="31"/>
      <c r="C115" s="31"/>
      <c r="D115" s="32"/>
      <c r="F115" s="4" t="s">
        <v>264</v>
      </c>
      <c r="G115" s="39" t="str">
        <f t="shared" ref="G115:G118" si="6">IF(I115=1,(F115&amp;"="&amp;B115&amp;" - "&amp;C115&amp;" -&gt; "&amp;D115&amp;"%"),"")</f>
        <v/>
      </c>
      <c r="H115" s="61"/>
      <c r="I115" s="11">
        <f t="shared" si="5"/>
        <v>0</v>
      </c>
    </row>
    <row r="116" spans="2:9" x14ac:dyDescent="0.25">
      <c r="B116" s="31"/>
      <c r="C116" s="31"/>
      <c r="D116" s="32"/>
      <c r="F116" s="4" t="s">
        <v>265</v>
      </c>
      <c r="G116" s="39" t="str">
        <f t="shared" si="6"/>
        <v/>
      </c>
      <c r="H116" s="61"/>
      <c r="I116" s="11">
        <f t="shared" si="5"/>
        <v>0</v>
      </c>
    </row>
    <row r="117" spans="2:9" x14ac:dyDescent="0.25">
      <c r="B117" s="31"/>
      <c r="C117" s="31"/>
      <c r="D117" s="32"/>
      <c r="F117" s="4" t="s">
        <v>266</v>
      </c>
      <c r="G117" s="39" t="str">
        <f t="shared" si="6"/>
        <v/>
      </c>
      <c r="H117" s="61"/>
      <c r="I117" s="11">
        <f t="shared" si="5"/>
        <v>0</v>
      </c>
    </row>
    <row r="118" spans="2:9" ht="15.75" thickBot="1" x14ac:dyDescent="0.3">
      <c r="B118" s="31"/>
      <c r="C118" s="31"/>
      <c r="D118" s="32"/>
      <c r="F118" s="4" t="s">
        <v>267</v>
      </c>
      <c r="G118" s="40" t="str">
        <f t="shared" si="6"/>
        <v/>
      </c>
      <c r="H118" s="62"/>
      <c r="I118" s="11">
        <f t="shared" si="5"/>
        <v>0</v>
      </c>
    </row>
  </sheetData>
  <sheetProtection algorithmName="SHA-512" hashValue="oJNQdPmgC0btcJDfrWbrOZuql2BqpsKytSjEjWmo9ya1p8XM44BZhmeaQqQiuvARVdreyGZ11s3KBsQMKnY8Mg==" saltValue="idQTs1WS1TxFsqgi16oXPg==" spinCount="100000" sheet="1" objects="1" scenarios="1"/>
  <mergeCells count="4">
    <mergeCell ref="H2:H118"/>
    <mergeCell ref="B2:D2"/>
    <mergeCell ref="B8:D8"/>
    <mergeCell ref="B17:D17"/>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2:K51"/>
  <sheetViews>
    <sheetView workbookViewId="0">
      <selection activeCell="D19" sqref="D19"/>
    </sheetView>
  </sheetViews>
  <sheetFormatPr baseColWidth="10" defaultRowHeight="15" x14ac:dyDescent="0.25"/>
  <cols>
    <col min="1" max="1" width="15" style="11" customWidth="1"/>
    <col min="2" max="2" width="12.5703125" style="11" customWidth="1"/>
    <col min="3" max="3" width="12.7109375" style="11" customWidth="1"/>
    <col min="4" max="4" width="15.140625" style="11" customWidth="1"/>
    <col min="5" max="5" width="11.42578125" style="11"/>
    <col min="6" max="7" width="0" style="11" hidden="1" customWidth="1"/>
    <col min="8" max="8" width="15.5703125" style="11" customWidth="1"/>
    <col min="9" max="9" width="11.42578125" style="11"/>
    <col min="10" max="11" width="0" style="11" hidden="1" customWidth="1"/>
    <col min="12" max="16384" width="11.42578125" style="11"/>
  </cols>
  <sheetData>
    <row r="2" spans="2:11" ht="15.75" thickBot="1" x14ac:dyDescent="0.3">
      <c r="B2" s="57" t="s">
        <v>274</v>
      </c>
      <c r="C2" s="58"/>
      <c r="D2" s="59"/>
    </row>
    <row r="3" spans="2:11" x14ac:dyDescent="0.25">
      <c r="B3" s="70" t="s">
        <v>276</v>
      </c>
      <c r="C3" s="71"/>
      <c r="D3" s="18" t="s">
        <v>350</v>
      </c>
      <c r="H3" s="34" t="s">
        <v>351</v>
      </c>
      <c r="I3" s="60"/>
    </row>
    <row r="4" spans="2:11" x14ac:dyDescent="0.25">
      <c r="B4" s="23" t="str">
        <f>C9</f>
        <v>22:00</v>
      </c>
      <c r="C4" s="33" t="s">
        <v>303</v>
      </c>
      <c r="D4" s="29">
        <v>2</v>
      </c>
      <c r="F4" s="11" t="s">
        <v>279</v>
      </c>
      <c r="G4" s="11">
        <f t="shared" ref="G4:G9" si="0">VLOOKUP(C4,$J$4:$K$51,2)</f>
        <v>12</v>
      </c>
      <c r="H4" s="35" t="str">
        <f>F4&amp;"="&amp;G4</f>
        <v>Interval1=12</v>
      </c>
      <c r="I4" s="61"/>
      <c r="J4" s="17" t="s">
        <v>309</v>
      </c>
      <c r="K4" s="11">
        <v>0</v>
      </c>
    </row>
    <row r="5" spans="2:11" x14ac:dyDescent="0.25">
      <c r="B5" s="23" t="str">
        <f>C4</f>
        <v>06:30</v>
      </c>
      <c r="C5" s="33" t="s">
        <v>304</v>
      </c>
      <c r="D5" s="29">
        <v>50</v>
      </c>
      <c r="F5" s="11" t="s">
        <v>280</v>
      </c>
      <c r="G5" s="11">
        <f t="shared" si="0"/>
        <v>14</v>
      </c>
      <c r="H5" s="35" t="str">
        <f t="shared" ref="H5:H27" si="1">F5&amp;"="&amp;G5</f>
        <v>Interval2=14</v>
      </c>
      <c r="I5" s="61"/>
      <c r="J5" s="17" t="s">
        <v>310</v>
      </c>
      <c r="K5" s="11">
        <v>1</v>
      </c>
    </row>
    <row r="6" spans="2:11" x14ac:dyDescent="0.25">
      <c r="B6" s="23" t="str">
        <f t="shared" ref="B6:B9" si="2">C5</f>
        <v>07:30</v>
      </c>
      <c r="C6" s="33" t="s">
        <v>306</v>
      </c>
      <c r="D6" s="29">
        <v>6</v>
      </c>
      <c r="F6" s="11" t="s">
        <v>281</v>
      </c>
      <c r="G6" s="11">
        <f t="shared" si="0"/>
        <v>23</v>
      </c>
      <c r="H6" s="35" t="str">
        <f t="shared" si="1"/>
        <v>Interval3=23</v>
      </c>
      <c r="I6" s="61"/>
      <c r="J6" s="17" t="s">
        <v>311</v>
      </c>
      <c r="K6" s="11">
        <v>2</v>
      </c>
    </row>
    <row r="7" spans="2:11" x14ac:dyDescent="0.25">
      <c r="B7" s="23" t="str">
        <f t="shared" si="2"/>
        <v>12:00</v>
      </c>
      <c r="C7" s="33" t="s">
        <v>305</v>
      </c>
      <c r="D7" s="29">
        <v>16</v>
      </c>
      <c r="F7" s="11" t="s">
        <v>282</v>
      </c>
      <c r="G7" s="11">
        <f t="shared" si="0"/>
        <v>25</v>
      </c>
      <c r="H7" s="35" t="str">
        <f t="shared" si="1"/>
        <v>Interval4=25</v>
      </c>
      <c r="I7" s="61"/>
      <c r="J7" s="17" t="s">
        <v>312</v>
      </c>
      <c r="K7" s="11">
        <v>3</v>
      </c>
    </row>
    <row r="8" spans="2:11" x14ac:dyDescent="0.25">
      <c r="B8" s="23" t="str">
        <f t="shared" si="2"/>
        <v>13:00</v>
      </c>
      <c r="C8" s="33" t="s">
        <v>307</v>
      </c>
      <c r="D8" s="29">
        <v>6</v>
      </c>
      <c r="F8" s="11" t="s">
        <v>283</v>
      </c>
      <c r="G8" s="11">
        <f t="shared" si="0"/>
        <v>35</v>
      </c>
      <c r="H8" s="35" t="str">
        <f t="shared" si="1"/>
        <v>Interval5=35</v>
      </c>
      <c r="I8" s="61"/>
      <c r="J8" s="17" t="s">
        <v>314</v>
      </c>
      <c r="K8" s="11">
        <v>4</v>
      </c>
    </row>
    <row r="9" spans="2:11" x14ac:dyDescent="0.25">
      <c r="B9" s="23" t="str">
        <f t="shared" si="2"/>
        <v>18:00</v>
      </c>
      <c r="C9" s="33" t="s">
        <v>308</v>
      </c>
      <c r="D9" s="29">
        <v>20</v>
      </c>
      <c r="F9" s="11" t="s">
        <v>284</v>
      </c>
      <c r="G9" s="11">
        <f t="shared" si="0"/>
        <v>43</v>
      </c>
      <c r="H9" s="35" t="str">
        <f t="shared" si="1"/>
        <v>Interval6=43</v>
      </c>
      <c r="I9" s="61"/>
      <c r="J9" s="17" t="s">
        <v>315</v>
      </c>
      <c r="K9" s="11">
        <v>5</v>
      </c>
    </row>
    <row r="10" spans="2:11" x14ac:dyDescent="0.25">
      <c r="B10" s="73" t="s">
        <v>277</v>
      </c>
      <c r="C10" s="73"/>
      <c r="D10" s="12">
        <f>SUM(D4:D9)</f>
        <v>100</v>
      </c>
      <c r="F10" s="11" t="s">
        <v>285</v>
      </c>
      <c r="G10" s="11">
        <f>VLOOKUP(C13,$J$4:$K$51,2)</f>
        <v>13</v>
      </c>
      <c r="H10" s="35" t="str">
        <f t="shared" si="1"/>
        <v>Interval7=13</v>
      </c>
      <c r="I10" s="61"/>
      <c r="J10" s="17" t="s">
        <v>316</v>
      </c>
      <c r="K10" s="11">
        <v>6</v>
      </c>
    </row>
    <row r="11" spans="2:11" x14ac:dyDescent="0.25">
      <c r="B11" s="74"/>
      <c r="C11" s="75"/>
      <c r="D11" s="76"/>
      <c r="F11" s="11" t="s">
        <v>286</v>
      </c>
      <c r="G11" s="11">
        <f t="shared" ref="G11:G15" si="3">VLOOKUP(C14,$J$4:$K$51,2)</f>
        <v>17</v>
      </c>
      <c r="H11" s="35" t="str">
        <f t="shared" si="1"/>
        <v>Interval8=17</v>
      </c>
      <c r="I11" s="61"/>
      <c r="J11" s="17" t="s">
        <v>317</v>
      </c>
      <c r="K11" s="11">
        <v>7</v>
      </c>
    </row>
    <row r="12" spans="2:11" x14ac:dyDescent="0.25">
      <c r="B12" s="72" t="s">
        <v>275</v>
      </c>
      <c r="C12" s="72"/>
      <c r="D12" s="72"/>
      <c r="F12" s="11" t="s">
        <v>287</v>
      </c>
      <c r="G12" s="11">
        <f t="shared" si="3"/>
        <v>29</v>
      </c>
      <c r="H12" s="35" t="str">
        <f t="shared" si="1"/>
        <v>Interval9=29</v>
      </c>
      <c r="I12" s="61"/>
      <c r="J12" s="17" t="s">
        <v>318</v>
      </c>
      <c r="K12" s="11">
        <v>8</v>
      </c>
    </row>
    <row r="13" spans="2:11" x14ac:dyDescent="0.25">
      <c r="B13" s="23" t="str">
        <f>C18</f>
        <v>23:00</v>
      </c>
      <c r="C13" s="33" t="s">
        <v>321</v>
      </c>
      <c r="D13" s="29">
        <v>3</v>
      </c>
      <c r="F13" s="11" t="s">
        <v>288</v>
      </c>
      <c r="G13" s="11">
        <f t="shared" si="3"/>
        <v>33</v>
      </c>
      <c r="H13" s="35" t="str">
        <f t="shared" si="1"/>
        <v>Interval10=33</v>
      </c>
      <c r="I13" s="61"/>
      <c r="J13" s="17" t="s">
        <v>319</v>
      </c>
      <c r="K13" s="11">
        <v>9</v>
      </c>
    </row>
    <row r="14" spans="2:11" x14ac:dyDescent="0.25">
      <c r="B14" s="23" t="str">
        <f>C13</f>
        <v>07:00</v>
      </c>
      <c r="C14" s="33" t="s">
        <v>324</v>
      </c>
      <c r="D14" s="29">
        <v>14</v>
      </c>
      <c r="F14" s="11" t="s">
        <v>289</v>
      </c>
      <c r="G14" s="11">
        <f t="shared" si="3"/>
        <v>39</v>
      </c>
      <c r="H14" s="35" t="str">
        <f t="shared" si="1"/>
        <v>Interval11=39</v>
      </c>
      <c r="I14" s="61"/>
      <c r="J14" s="17" t="s">
        <v>320</v>
      </c>
      <c r="K14" s="11">
        <v>10</v>
      </c>
    </row>
    <row r="15" spans="2:11" x14ac:dyDescent="0.25">
      <c r="B15" s="23" t="str">
        <f t="shared" ref="B15:B18" si="4">C14</f>
        <v>09:00</v>
      </c>
      <c r="C15" s="33" t="s">
        <v>334</v>
      </c>
      <c r="D15" s="29">
        <v>20</v>
      </c>
      <c r="F15" s="11" t="s">
        <v>290</v>
      </c>
      <c r="G15" s="11">
        <f t="shared" si="3"/>
        <v>45</v>
      </c>
      <c r="H15" s="35" t="str">
        <f t="shared" si="1"/>
        <v>Interval12=45</v>
      </c>
      <c r="I15" s="61"/>
      <c r="J15" s="17" t="s">
        <v>313</v>
      </c>
      <c r="K15" s="11">
        <v>11</v>
      </c>
    </row>
    <row r="16" spans="2:11" x14ac:dyDescent="0.25">
      <c r="B16" s="23" t="str">
        <f t="shared" si="4"/>
        <v>15:00</v>
      </c>
      <c r="C16" s="33" t="s">
        <v>338</v>
      </c>
      <c r="D16" s="29">
        <v>20</v>
      </c>
      <c r="F16" s="11" t="s">
        <v>291</v>
      </c>
      <c r="G16" s="11">
        <f>D4</f>
        <v>2</v>
      </c>
      <c r="H16" s="35" t="str">
        <f t="shared" si="1"/>
        <v>vol1=2</v>
      </c>
      <c r="I16" s="61"/>
      <c r="J16" s="17" t="s">
        <v>303</v>
      </c>
      <c r="K16" s="11">
        <v>12</v>
      </c>
    </row>
    <row r="17" spans="1:11" x14ac:dyDescent="0.25">
      <c r="B17" s="23" t="str">
        <f t="shared" si="4"/>
        <v>17:00</v>
      </c>
      <c r="C17" s="33" t="s">
        <v>343</v>
      </c>
      <c r="D17" s="29">
        <v>38</v>
      </c>
      <c r="F17" s="11" t="s">
        <v>292</v>
      </c>
      <c r="G17" s="11">
        <f t="shared" ref="G17:G21" si="5">D5</f>
        <v>50</v>
      </c>
      <c r="H17" s="35" t="str">
        <f t="shared" si="1"/>
        <v>vol2=50</v>
      </c>
      <c r="I17" s="61"/>
      <c r="J17" s="17" t="s">
        <v>321</v>
      </c>
      <c r="K17" s="11">
        <v>13</v>
      </c>
    </row>
    <row r="18" spans="1:11" x14ac:dyDescent="0.25">
      <c r="B18" s="23" t="str">
        <f t="shared" si="4"/>
        <v>20:00</v>
      </c>
      <c r="C18" s="33" t="s">
        <v>348</v>
      </c>
      <c r="D18" s="29">
        <v>5</v>
      </c>
      <c r="F18" s="11" t="s">
        <v>293</v>
      </c>
      <c r="G18" s="11">
        <f t="shared" si="5"/>
        <v>6</v>
      </c>
      <c r="H18" s="35" t="str">
        <f t="shared" si="1"/>
        <v>vol3=6</v>
      </c>
      <c r="I18" s="61"/>
      <c r="J18" s="17" t="s">
        <v>304</v>
      </c>
      <c r="K18" s="11">
        <v>14</v>
      </c>
    </row>
    <row r="19" spans="1:11" x14ac:dyDescent="0.25">
      <c r="B19" s="73" t="s">
        <v>277</v>
      </c>
      <c r="C19" s="73"/>
      <c r="D19" s="12">
        <f>SUM(D13:D18)</f>
        <v>100</v>
      </c>
      <c r="F19" s="11" t="s">
        <v>294</v>
      </c>
      <c r="G19" s="11">
        <f t="shared" si="5"/>
        <v>16</v>
      </c>
      <c r="H19" s="35" t="str">
        <f t="shared" si="1"/>
        <v>vol4=16</v>
      </c>
      <c r="I19" s="61"/>
      <c r="J19" s="17" t="s">
        <v>322</v>
      </c>
      <c r="K19" s="11">
        <v>15</v>
      </c>
    </row>
    <row r="20" spans="1:11" x14ac:dyDescent="0.25">
      <c r="F20" s="11" t="s">
        <v>295</v>
      </c>
      <c r="G20" s="11">
        <f t="shared" si="5"/>
        <v>6</v>
      </c>
      <c r="H20" s="35" t="str">
        <f t="shared" si="1"/>
        <v>vol5=6</v>
      </c>
      <c r="I20" s="61"/>
      <c r="J20" s="17" t="s">
        <v>323</v>
      </c>
      <c r="K20" s="11">
        <v>16</v>
      </c>
    </row>
    <row r="21" spans="1:11" ht="15.75" thickBot="1" x14ac:dyDescent="0.3">
      <c r="F21" s="11" t="s">
        <v>296</v>
      </c>
      <c r="G21" s="11">
        <f t="shared" si="5"/>
        <v>20</v>
      </c>
      <c r="H21" s="35" t="str">
        <f t="shared" si="1"/>
        <v>vol6=20</v>
      </c>
      <c r="I21" s="61"/>
      <c r="J21" s="17" t="s">
        <v>324</v>
      </c>
      <c r="K21" s="11">
        <v>17</v>
      </c>
    </row>
    <row r="22" spans="1:11" ht="15" customHeight="1" x14ac:dyDescent="0.25">
      <c r="B22" s="77" t="s">
        <v>355</v>
      </c>
      <c r="C22" s="78"/>
      <c r="D22" s="79"/>
      <c r="F22" s="11" t="s">
        <v>297</v>
      </c>
      <c r="G22" s="11">
        <f>D13</f>
        <v>3</v>
      </c>
      <c r="H22" s="35" t="str">
        <f t="shared" si="1"/>
        <v>vol7=3</v>
      </c>
      <c r="I22" s="61"/>
      <c r="J22" s="17" t="s">
        <v>325</v>
      </c>
      <c r="K22" s="11">
        <v>18</v>
      </c>
    </row>
    <row r="23" spans="1:11" x14ac:dyDescent="0.25">
      <c r="A23" s="41"/>
      <c r="B23" s="80"/>
      <c r="C23" s="81"/>
      <c r="D23" s="82"/>
      <c r="F23" s="11" t="s">
        <v>298</v>
      </c>
      <c r="G23" s="11">
        <f t="shared" ref="G23:G27" si="6">D14</f>
        <v>14</v>
      </c>
      <c r="H23" s="35" t="str">
        <f t="shared" si="1"/>
        <v>vol8=14</v>
      </c>
      <c r="I23" s="61"/>
      <c r="J23" s="17" t="s">
        <v>326</v>
      </c>
      <c r="K23" s="11">
        <v>19</v>
      </c>
    </row>
    <row r="24" spans="1:11" x14ac:dyDescent="0.25">
      <c r="A24" s="41"/>
      <c r="B24" s="80"/>
      <c r="C24" s="81"/>
      <c r="D24" s="82"/>
      <c r="F24" s="11" t="s">
        <v>299</v>
      </c>
      <c r="G24" s="11">
        <f t="shared" si="6"/>
        <v>20</v>
      </c>
      <c r="H24" s="35" t="str">
        <f t="shared" si="1"/>
        <v>vol9=20</v>
      </c>
      <c r="I24" s="61"/>
      <c r="J24" s="17" t="s">
        <v>327</v>
      </c>
      <c r="K24" s="11">
        <v>20</v>
      </c>
    </row>
    <row r="25" spans="1:11" x14ac:dyDescent="0.25">
      <c r="A25" s="41"/>
      <c r="B25" s="80"/>
      <c r="C25" s="81"/>
      <c r="D25" s="82"/>
      <c r="F25" s="11" t="s">
        <v>300</v>
      </c>
      <c r="G25" s="11">
        <f t="shared" si="6"/>
        <v>20</v>
      </c>
      <c r="H25" s="35" t="str">
        <f t="shared" si="1"/>
        <v>vol10=20</v>
      </c>
      <c r="I25" s="61"/>
      <c r="J25" s="17" t="s">
        <v>328</v>
      </c>
      <c r="K25" s="11">
        <v>21</v>
      </c>
    </row>
    <row r="26" spans="1:11" x14ac:dyDescent="0.25">
      <c r="A26" s="41"/>
      <c r="B26" s="80"/>
      <c r="C26" s="81"/>
      <c r="D26" s="82"/>
      <c r="F26" s="11" t="s">
        <v>301</v>
      </c>
      <c r="G26" s="11">
        <f t="shared" si="6"/>
        <v>38</v>
      </c>
      <c r="H26" s="35" t="str">
        <f t="shared" si="1"/>
        <v>vol11=38</v>
      </c>
      <c r="I26" s="61"/>
      <c r="J26" s="17" t="s">
        <v>329</v>
      </c>
      <c r="K26" s="11">
        <v>22</v>
      </c>
    </row>
    <row r="27" spans="1:11" x14ac:dyDescent="0.25">
      <c r="A27" s="41"/>
      <c r="B27" s="80"/>
      <c r="C27" s="81"/>
      <c r="D27" s="82"/>
      <c r="F27" s="11" t="s">
        <v>302</v>
      </c>
      <c r="G27" s="11">
        <f t="shared" si="6"/>
        <v>5</v>
      </c>
      <c r="H27" s="35" t="str">
        <f t="shared" si="1"/>
        <v>vol12=5</v>
      </c>
      <c r="I27" s="61"/>
      <c r="J27" s="17" t="s">
        <v>306</v>
      </c>
      <c r="K27" s="11">
        <v>23</v>
      </c>
    </row>
    <row r="28" spans="1:11" x14ac:dyDescent="0.25">
      <c r="A28" s="41"/>
      <c r="B28" s="80"/>
      <c r="C28" s="81"/>
      <c r="D28" s="82"/>
      <c r="H28" s="35" t="s">
        <v>352</v>
      </c>
      <c r="I28" s="61"/>
      <c r="J28" s="17" t="s">
        <v>330</v>
      </c>
      <c r="K28" s="11">
        <v>24</v>
      </c>
    </row>
    <row r="29" spans="1:11" ht="15.75" thickBot="1" x14ac:dyDescent="0.3">
      <c r="A29" s="41"/>
      <c r="B29" s="83"/>
      <c r="C29" s="84"/>
      <c r="D29" s="85"/>
      <c r="H29" s="36" t="s">
        <v>353</v>
      </c>
      <c r="I29" s="62"/>
      <c r="J29" s="17" t="s">
        <v>305</v>
      </c>
      <c r="K29" s="11">
        <v>25</v>
      </c>
    </row>
    <row r="30" spans="1:11" x14ac:dyDescent="0.25">
      <c r="A30" s="41"/>
      <c r="B30" s="41"/>
      <c r="C30" s="41"/>
      <c r="D30" s="41"/>
      <c r="J30" s="17" t="s">
        <v>331</v>
      </c>
      <c r="K30" s="11">
        <v>26</v>
      </c>
    </row>
    <row r="31" spans="1:11" x14ac:dyDescent="0.25">
      <c r="J31" s="17" t="s">
        <v>332</v>
      </c>
      <c r="K31" s="11">
        <v>27</v>
      </c>
    </row>
    <row r="32" spans="1:11" x14ac:dyDescent="0.25">
      <c r="J32" s="17" t="s">
        <v>333</v>
      </c>
      <c r="K32" s="11">
        <v>28</v>
      </c>
    </row>
    <row r="33" spans="10:11" x14ac:dyDescent="0.25">
      <c r="J33" s="17" t="s">
        <v>334</v>
      </c>
      <c r="K33" s="11">
        <v>29</v>
      </c>
    </row>
    <row r="34" spans="10:11" x14ac:dyDescent="0.25">
      <c r="J34" s="17" t="s">
        <v>335</v>
      </c>
      <c r="K34" s="11">
        <v>30</v>
      </c>
    </row>
    <row r="35" spans="10:11" x14ac:dyDescent="0.25">
      <c r="J35" s="17" t="s">
        <v>336</v>
      </c>
      <c r="K35" s="11">
        <v>31</v>
      </c>
    </row>
    <row r="36" spans="10:11" x14ac:dyDescent="0.25">
      <c r="J36" s="17" t="s">
        <v>337</v>
      </c>
      <c r="K36" s="11">
        <v>32</v>
      </c>
    </row>
    <row r="37" spans="10:11" x14ac:dyDescent="0.25">
      <c r="J37" s="17" t="s">
        <v>338</v>
      </c>
      <c r="K37" s="11">
        <v>33</v>
      </c>
    </row>
    <row r="38" spans="10:11" x14ac:dyDescent="0.25">
      <c r="J38" s="17" t="s">
        <v>339</v>
      </c>
      <c r="K38" s="11">
        <v>34</v>
      </c>
    </row>
    <row r="39" spans="10:11" x14ac:dyDescent="0.25">
      <c r="J39" s="17" t="s">
        <v>307</v>
      </c>
      <c r="K39" s="11">
        <v>35</v>
      </c>
    </row>
    <row r="40" spans="10:11" x14ac:dyDescent="0.25">
      <c r="J40" s="17" t="s">
        <v>340</v>
      </c>
      <c r="K40" s="11">
        <v>36</v>
      </c>
    </row>
    <row r="41" spans="10:11" x14ac:dyDescent="0.25">
      <c r="J41" s="17" t="s">
        <v>341</v>
      </c>
      <c r="K41" s="11">
        <v>37</v>
      </c>
    </row>
    <row r="42" spans="10:11" x14ac:dyDescent="0.25">
      <c r="J42" s="17" t="s">
        <v>342</v>
      </c>
      <c r="K42" s="11">
        <v>38</v>
      </c>
    </row>
    <row r="43" spans="10:11" x14ac:dyDescent="0.25">
      <c r="J43" s="17" t="s">
        <v>343</v>
      </c>
      <c r="K43" s="11">
        <v>39</v>
      </c>
    </row>
    <row r="44" spans="10:11" x14ac:dyDescent="0.25">
      <c r="J44" s="17" t="s">
        <v>344</v>
      </c>
      <c r="K44" s="11">
        <v>40</v>
      </c>
    </row>
    <row r="45" spans="10:11" x14ac:dyDescent="0.25">
      <c r="J45" s="17" t="s">
        <v>345</v>
      </c>
      <c r="K45" s="11">
        <v>41</v>
      </c>
    </row>
    <row r="46" spans="10:11" x14ac:dyDescent="0.25">
      <c r="J46" s="17" t="s">
        <v>346</v>
      </c>
      <c r="K46" s="11">
        <v>42</v>
      </c>
    </row>
    <row r="47" spans="10:11" x14ac:dyDescent="0.25">
      <c r="J47" s="17" t="s">
        <v>308</v>
      </c>
      <c r="K47" s="11">
        <v>43</v>
      </c>
    </row>
    <row r="48" spans="10:11" x14ac:dyDescent="0.25">
      <c r="J48" s="17" t="s">
        <v>347</v>
      </c>
      <c r="K48" s="11">
        <v>44</v>
      </c>
    </row>
    <row r="49" spans="10:11" x14ac:dyDescent="0.25">
      <c r="J49" s="17" t="s">
        <v>348</v>
      </c>
      <c r="K49" s="11">
        <v>45</v>
      </c>
    </row>
    <row r="50" spans="10:11" x14ac:dyDescent="0.25">
      <c r="J50" s="17" t="s">
        <v>349</v>
      </c>
      <c r="K50" s="11">
        <v>46</v>
      </c>
    </row>
    <row r="51" spans="10:11" x14ac:dyDescent="0.25">
      <c r="J51" s="17" t="s">
        <v>278</v>
      </c>
      <c r="K51" s="11">
        <v>47</v>
      </c>
    </row>
  </sheetData>
  <sheetProtection algorithmName="SHA-512" hashValue="CDqC44txLtpSDhFpkDdx4XyuvPFwl9dkqKf81AqFnzvA3tm5Avqbawxun2Hg4A8P2QNqKeffqnmdxIXdc56pZw==" saltValue="QEx49fo0EdZIfLx6xxBg8g==" spinCount="100000" sheet="1" objects="1" scenarios="1"/>
  <mergeCells count="8">
    <mergeCell ref="I3:I29"/>
    <mergeCell ref="B3:C3"/>
    <mergeCell ref="B2:D2"/>
    <mergeCell ref="B12:D12"/>
    <mergeCell ref="B10:C10"/>
    <mergeCell ref="B19:C19"/>
    <mergeCell ref="B11:D11"/>
    <mergeCell ref="B22:D29"/>
  </mergeCells>
  <conditionalFormatting sqref="D10">
    <cfRule type="expression" dxfId="3" priority="3">
      <formula>100&lt;&gt;SUM($D$4:$D$9)</formula>
    </cfRule>
    <cfRule type="expression" dxfId="2" priority="4">
      <formula>100=SUM($D$4:$D$9)</formula>
    </cfRule>
  </conditionalFormatting>
  <conditionalFormatting sqref="D19">
    <cfRule type="expression" dxfId="1" priority="1">
      <formula>100&lt;&gt;SUM($D$13:$D$18)</formula>
    </cfRule>
    <cfRule type="expression" dxfId="0" priority="2">
      <formula>100=SUM($D$13:$D$18)</formula>
    </cfRule>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B2:O173"/>
  <sheetViews>
    <sheetView workbookViewId="0">
      <selection activeCell="I23" sqref="I23"/>
    </sheetView>
  </sheetViews>
  <sheetFormatPr baseColWidth="10" defaultRowHeight="15" x14ac:dyDescent="0.25"/>
  <cols>
    <col min="1" max="1" width="11.42578125" style="1"/>
    <col min="2" max="2" width="10.7109375" style="1" customWidth="1"/>
    <col min="3" max="8" width="11.42578125" style="1"/>
    <col min="9" max="9" width="11.42578125" style="11"/>
    <col min="10" max="11" width="11.42578125" style="1"/>
    <col min="12" max="13" width="0" style="1" hidden="1" customWidth="1"/>
    <col min="14" max="16384" width="11.42578125" style="1"/>
  </cols>
  <sheetData>
    <row r="2" spans="2:15" ht="15.75" thickBot="1" x14ac:dyDescent="0.3">
      <c r="B2" s="72" t="s">
        <v>171</v>
      </c>
      <c r="C2" s="72"/>
      <c r="D2" s="72"/>
      <c r="E2" s="72"/>
      <c r="F2" s="72"/>
      <c r="G2" s="72"/>
      <c r="H2" s="72"/>
      <c r="I2" s="72"/>
      <c r="J2" s="72"/>
      <c r="K2" s="11"/>
      <c r="L2" s="11"/>
      <c r="M2" s="11"/>
      <c r="N2" s="11"/>
      <c r="O2" s="11"/>
    </row>
    <row r="3" spans="2:15" x14ac:dyDescent="0.25">
      <c r="B3" s="73"/>
      <c r="C3" s="86" t="s">
        <v>357</v>
      </c>
      <c r="D3" s="86"/>
      <c r="E3" s="86"/>
      <c r="F3" s="86"/>
      <c r="G3" s="86"/>
      <c r="H3" s="86"/>
      <c r="I3" s="86"/>
      <c r="J3" s="86"/>
      <c r="K3" s="11"/>
      <c r="L3" s="11"/>
      <c r="M3" s="11"/>
      <c r="N3" s="34" t="s">
        <v>269</v>
      </c>
      <c r="O3" s="60"/>
    </row>
    <row r="4" spans="2:15" x14ac:dyDescent="0.25">
      <c r="B4" s="73"/>
      <c r="C4" s="25" t="s">
        <v>48</v>
      </c>
      <c r="D4" s="25" t="s">
        <v>49</v>
      </c>
      <c r="E4" s="25" t="s">
        <v>50</v>
      </c>
      <c r="F4" s="25" t="s">
        <v>51</v>
      </c>
      <c r="G4" s="25" t="s">
        <v>52</v>
      </c>
      <c r="H4" s="25" t="s">
        <v>53</v>
      </c>
      <c r="I4" s="25" t="s">
        <v>54</v>
      </c>
      <c r="J4" s="14" t="s">
        <v>273</v>
      </c>
      <c r="K4" s="11"/>
      <c r="L4" s="11">
        <v>0</v>
      </c>
      <c r="M4" s="11">
        <f t="shared" ref="M4:M26" si="0">C5</f>
        <v>0</v>
      </c>
      <c r="N4" s="35" t="str">
        <f t="shared" ref="N4:N26" si="1">CONCATENATE(L4,"=",M4)</f>
        <v>0=0</v>
      </c>
      <c r="O4" s="61"/>
    </row>
    <row r="5" spans="2:15" x14ac:dyDescent="0.25">
      <c r="B5" s="24">
        <v>0</v>
      </c>
      <c r="C5" s="29">
        <v>0</v>
      </c>
      <c r="D5" s="29">
        <v>0</v>
      </c>
      <c r="E5" s="29">
        <v>0</v>
      </c>
      <c r="F5" s="29">
        <v>0</v>
      </c>
      <c r="G5" s="29">
        <v>0</v>
      </c>
      <c r="H5" s="29">
        <v>0</v>
      </c>
      <c r="I5" s="29">
        <v>0</v>
      </c>
      <c r="J5" s="42">
        <f>SUM(C5:I5)</f>
        <v>0</v>
      </c>
      <c r="K5" s="11"/>
      <c r="L5" s="11">
        <v>1</v>
      </c>
      <c r="M5" s="11">
        <f t="shared" si="0"/>
        <v>0</v>
      </c>
      <c r="N5" s="35" t="str">
        <f t="shared" si="1"/>
        <v>1=0</v>
      </c>
      <c r="O5" s="61"/>
    </row>
    <row r="6" spans="2:15" x14ac:dyDescent="0.25">
      <c r="B6" s="24">
        <v>4.1666666666666664E-2</v>
      </c>
      <c r="C6" s="29">
        <v>0</v>
      </c>
      <c r="D6" s="29">
        <v>0</v>
      </c>
      <c r="E6" s="29">
        <v>0</v>
      </c>
      <c r="F6" s="29">
        <v>0</v>
      </c>
      <c r="G6" s="29">
        <v>0</v>
      </c>
      <c r="H6" s="29">
        <v>0</v>
      </c>
      <c r="I6" s="29">
        <v>0</v>
      </c>
      <c r="J6" s="42">
        <f t="shared" ref="J6:J28" si="2">SUM(C6:I6)</f>
        <v>0</v>
      </c>
      <c r="K6" s="11"/>
      <c r="L6" s="11">
        <v>2</v>
      </c>
      <c r="M6" s="11">
        <f t="shared" si="0"/>
        <v>0</v>
      </c>
      <c r="N6" s="35" t="str">
        <f t="shared" si="1"/>
        <v>2=0</v>
      </c>
      <c r="O6" s="61"/>
    </row>
    <row r="7" spans="2:15" x14ac:dyDescent="0.25">
      <c r="B7" s="24">
        <v>8.3333333333333329E-2</v>
      </c>
      <c r="C7" s="29">
        <v>0</v>
      </c>
      <c r="D7" s="29">
        <v>0</v>
      </c>
      <c r="E7" s="29">
        <v>0</v>
      </c>
      <c r="F7" s="29">
        <v>0</v>
      </c>
      <c r="G7" s="29">
        <v>0</v>
      </c>
      <c r="H7" s="29">
        <v>0</v>
      </c>
      <c r="I7" s="29">
        <v>0</v>
      </c>
      <c r="J7" s="42">
        <f t="shared" si="2"/>
        <v>0</v>
      </c>
      <c r="K7" s="11"/>
      <c r="L7" s="11">
        <v>3</v>
      </c>
      <c r="M7" s="11">
        <f t="shared" si="0"/>
        <v>0</v>
      </c>
      <c r="N7" s="35" t="str">
        <f t="shared" si="1"/>
        <v>3=0</v>
      </c>
      <c r="O7" s="61"/>
    </row>
    <row r="8" spans="2:15" x14ac:dyDescent="0.25">
      <c r="B8" s="24">
        <v>0.125</v>
      </c>
      <c r="C8" s="29">
        <v>0</v>
      </c>
      <c r="D8" s="29">
        <v>0</v>
      </c>
      <c r="E8" s="29">
        <v>0</v>
      </c>
      <c r="F8" s="29">
        <v>0</v>
      </c>
      <c r="G8" s="29">
        <v>0</v>
      </c>
      <c r="H8" s="29">
        <v>0</v>
      </c>
      <c r="I8" s="29">
        <v>0</v>
      </c>
      <c r="J8" s="42">
        <f t="shared" si="2"/>
        <v>0</v>
      </c>
      <c r="K8" s="11"/>
      <c r="L8" s="11">
        <v>4</v>
      </c>
      <c r="M8" s="11">
        <f t="shared" si="0"/>
        <v>2.1800000000000002</v>
      </c>
      <c r="N8" s="35" t="str">
        <f t="shared" si="1"/>
        <v>4=2.18</v>
      </c>
      <c r="O8" s="61"/>
    </row>
    <row r="9" spans="2:15" x14ac:dyDescent="0.25">
      <c r="B9" s="24">
        <v>0.16666666666666699</v>
      </c>
      <c r="C9" s="29">
        <v>2.1800000000000002</v>
      </c>
      <c r="D9" s="29">
        <v>2.1800000000000002</v>
      </c>
      <c r="E9" s="29">
        <v>2.1800000000000002</v>
      </c>
      <c r="F9" s="29">
        <v>2.1800000000000002</v>
      </c>
      <c r="G9" s="29">
        <v>2.1800000000000002</v>
      </c>
      <c r="H9" s="29">
        <v>4.3600000000000003</v>
      </c>
      <c r="I9" s="29">
        <v>4.3600000000000003</v>
      </c>
      <c r="J9" s="42">
        <f t="shared" si="2"/>
        <v>19.62</v>
      </c>
      <c r="K9" s="11"/>
      <c r="L9" s="11">
        <v>5</v>
      </c>
      <c r="M9" s="11">
        <f t="shared" si="0"/>
        <v>13.08</v>
      </c>
      <c r="N9" s="35" t="str">
        <f t="shared" si="1"/>
        <v>5=13.08</v>
      </c>
      <c r="O9" s="61"/>
    </row>
    <row r="10" spans="2:15" x14ac:dyDescent="0.25">
      <c r="B10" s="24">
        <v>0.20833333333333301</v>
      </c>
      <c r="C10" s="29">
        <v>13.08</v>
      </c>
      <c r="D10" s="29">
        <v>13.08</v>
      </c>
      <c r="E10" s="29">
        <v>13.08</v>
      </c>
      <c r="F10" s="29">
        <v>13.08</v>
      </c>
      <c r="G10" s="29">
        <v>13.08</v>
      </c>
      <c r="H10" s="29">
        <v>19.63</v>
      </c>
      <c r="I10" s="29">
        <v>19.63</v>
      </c>
      <c r="J10" s="42">
        <f t="shared" si="2"/>
        <v>104.66</v>
      </c>
      <c r="K10" s="11"/>
      <c r="L10" s="11">
        <v>6</v>
      </c>
      <c r="M10" s="11">
        <f t="shared" si="0"/>
        <v>21.81</v>
      </c>
      <c r="N10" s="35" t="str">
        <f t="shared" si="1"/>
        <v>6=21.81</v>
      </c>
      <c r="O10" s="61"/>
    </row>
    <row r="11" spans="2:15" x14ac:dyDescent="0.25">
      <c r="B11" s="24">
        <v>0.25</v>
      </c>
      <c r="C11" s="29">
        <v>21.81</v>
      </c>
      <c r="D11" s="29">
        <v>21.81</v>
      </c>
      <c r="E11" s="29">
        <v>21.81</v>
      </c>
      <c r="F11" s="29">
        <v>21.81</v>
      </c>
      <c r="G11" s="29">
        <v>21.81</v>
      </c>
      <c r="H11" s="29">
        <v>32.71</v>
      </c>
      <c r="I11" s="29">
        <v>32.71</v>
      </c>
      <c r="J11" s="42">
        <f t="shared" si="2"/>
        <v>174.47</v>
      </c>
      <c r="K11" s="11"/>
      <c r="L11" s="11">
        <v>7</v>
      </c>
      <c r="M11" s="11">
        <f t="shared" si="0"/>
        <v>13.08</v>
      </c>
      <c r="N11" s="35" t="str">
        <f t="shared" si="1"/>
        <v>7=13.08</v>
      </c>
      <c r="O11" s="61"/>
    </row>
    <row r="12" spans="2:15" x14ac:dyDescent="0.25">
      <c r="B12" s="24">
        <v>0.29166666666666702</v>
      </c>
      <c r="C12" s="29">
        <v>13.08</v>
      </c>
      <c r="D12" s="29">
        <v>13.08</v>
      </c>
      <c r="E12" s="29">
        <v>13.08</v>
      </c>
      <c r="F12" s="29">
        <v>13.08</v>
      </c>
      <c r="G12" s="29">
        <v>13.08</v>
      </c>
      <c r="H12" s="29">
        <v>19.63</v>
      </c>
      <c r="I12" s="29">
        <v>19.63</v>
      </c>
      <c r="J12" s="42">
        <f t="shared" si="2"/>
        <v>104.66</v>
      </c>
      <c r="K12" s="11"/>
      <c r="L12" s="11">
        <v>8</v>
      </c>
      <c r="M12" s="11">
        <f t="shared" si="0"/>
        <v>2.1800000000000002</v>
      </c>
      <c r="N12" s="35" t="str">
        <f t="shared" si="1"/>
        <v>8=2.18</v>
      </c>
      <c r="O12" s="61"/>
    </row>
    <row r="13" spans="2:15" x14ac:dyDescent="0.25">
      <c r="B13" s="24">
        <v>0.33333333333333298</v>
      </c>
      <c r="C13" s="29">
        <v>2.1800000000000002</v>
      </c>
      <c r="D13" s="29">
        <v>2.1800000000000002</v>
      </c>
      <c r="E13" s="29">
        <v>2.1800000000000002</v>
      </c>
      <c r="F13" s="29">
        <v>2.1800000000000002</v>
      </c>
      <c r="G13" s="29">
        <v>2.1800000000000002</v>
      </c>
      <c r="H13" s="29">
        <v>2.1800000000000002</v>
      </c>
      <c r="I13" s="29">
        <v>2.1800000000000002</v>
      </c>
      <c r="J13" s="42">
        <f t="shared" si="2"/>
        <v>15.26</v>
      </c>
      <c r="K13" s="11"/>
      <c r="L13" s="11">
        <v>9</v>
      </c>
      <c r="M13" s="11">
        <f t="shared" si="0"/>
        <v>2.1800000000000002</v>
      </c>
      <c r="N13" s="35" t="str">
        <f t="shared" si="1"/>
        <v>9=2.18</v>
      </c>
      <c r="O13" s="61"/>
    </row>
    <row r="14" spans="2:15" x14ac:dyDescent="0.25">
      <c r="B14" s="24">
        <v>0.375</v>
      </c>
      <c r="C14" s="29">
        <v>2.1800000000000002</v>
      </c>
      <c r="D14" s="29">
        <v>2.1800000000000002</v>
      </c>
      <c r="E14" s="29">
        <v>2.1800000000000002</v>
      </c>
      <c r="F14" s="29">
        <v>2.1800000000000002</v>
      </c>
      <c r="G14" s="29">
        <v>2.1800000000000002</v>
      </c>
      <c r="H14" s="29">
        <v>2.1800000000000002</v>
      </c>
      <c r="I14" s="29">
        <v>2.1800000000000002</v>
      </c>
      <c r="J14" s="42">
        <f t="shared" si="2"/>
        <v>15.26</v>
      </c>
      <c r="K14" s="11"/>
      <c r="L14" s="11">
        <v>10</v>
      </c>
      <c r="M14" s="11">
        <f t="shared" si="0"/>
        <v>2.1800000000000002</v>
      </c>
      <c r="N14" s="35" t="str">
        <f t="shared" si="1"/>
        <v>10=2.18</v>
      </c>
      <c r="O14" s="61"/>
    </row>
    <row r="15" spans="2:15" x14ac:dyDescent="0.25">
      <c r="B15" s="24">
        <v>0.41666666666666702</v>
      </c>
      <c r="C15" s="29">
        <v>2.1800000000000002</v>
      </c>
      <c r="D15" s="29">
        <v>2.1800000000000002</v>
      </c>
      <c r="E15" s="29">
        <v>2.1800000000000002</v>
      </c>
      <c r="F15" s="29">
        <v>2.1800000000000002</v>
      </c>
      <c r="G15" s="29">
        <v>2.1800000000000002</v>
      </c>
      <c r="H15" s="29">
        <v>2.1800000000000002</v>
      </c>
      <c r="I15" s="29">
        <v>2.1800000000000002</v>
      </c>
      <c r="J15" s="42">
        <f t="shared" si="2"/>
        <v>15.26</v>
      </c>
      <c r="K15" s="11"/>
      <c r="L15" s="11">
        <v>11</v>
      </c>
      <c r="M15" s="11">
        <f t="shared" si="0"/>
        <v>2.1800000000000002</v>
      </c>
      <c r="N15" s="35" t="str">
        <f t="shared" si="1"/>
        <v>11=2.18</v>
      </c>
      <c r="O15" s="61"/>
    </row>
    <row r="16" spans="2:15" x14ac:dyDescent="0.25">
      <c r="B16" s="24">
        <v>0.45833333333333298</v>
      </c>
      <c r="C16" s="29">
        <v>2.1800000000000002</v>
      </c>
      <c r="D16" s="29">
        <v>2.1800000000000002</v>
      </c>
      <c r="E16" s="29">
        <v>2.1800000000000002</v>
      </c>
      <c r="F16" s="29">
        <v>2.1800000000000002</v>
      </c>
      <c r="G16" s="29">
        <v>2.1800000000000002</v>
      </c>
      <c r="H16" s="29">
        <v>2.1800000000000002</v>
      </c>
      <c r="I16" s="29">
        <v>2.1800000000000002</v>
      </c>
      <c r="J16" s="42">
        <f t="shared" si="2"/>
        <v>15.26</v>
      </c>
      <c r="K16" s="11"/>
      <c r="L16" s="11">
        <v>12</v>
      </c>
      <c r="M16" s="11">
        <f t="shared" si="0"/>
        <v>2.1800000000000002</v>
      </c>
      <c r="N16" s="35" t="str">
        <f t="shared" si="1"/>
        <v>12=2.18</v>
      </c>
      <c r="O16" s="61"/>
    </row>
    <row r="17" spans="2:15" x14ac:dyDescent="0.25">
      <c r="B17" s="24">
        <v>0.5</v>
      </c>
      <c r="C17" s="29">
        <v>2.1800000000000002</v>
      </c>
      <c r="D17" s="29">
        <v>2.1800000000000002</v>
      </c>
      <c r="E17" s="29">
        <v>2.1800000000000002</v>
      </c>
      <c r="F17" s="29">
        <v>2.1800000000000002</v>
      </c>
      <c r="G17" s="29">
        <v>2.1800000000000002</v>
      </c>
      <c r="H17" s="29">
        <v>2.1800000000000002</v>
      </c>
      <c r="I17" s="29">
        <v>2.1800000000000002</v>
      </c>
      <c r="J17" s="42">
        <f t="shared" si="2"/>
        <v>15.26</v>
      </c>
      <c r="K17" s="11"/>
      <c r="L17" s="11">
        <v>13</v>
      </c>
      <c r="M17" s="11">
        <f t="shared" si="0"/>
        <v>2.1800000000000002</v>
      </c>
      <c r="N17" s="35" t="str">
        <f t="shared" si="1"/>
        <v>13=2.18</v>
      </c>
      <c r="O17" s="61"/>
    </row>
    <row r="18" spans="2:15" x14ac:dyDescent="0.25">
      <c r="B18" s="24">
        <v>0.54166666666666696</v>
      </c>
      <c r="C18" s="29">
        <v>2.1800000000000002</v>
      </c>
      <c r="D18" s="29">
        <v>2.1800000000000002</v>
      </c>
      <c r="E18" s="29">
        <v>2.1800000000000002</v>
      </c>
      <c r="F18" s="29">
        <v>2.1800000000000002</v>
      </c>
      <c r="G18" s="29">
        <v>2.1800000000000002</v>
      </c>
      <c r="H18" s="29">
        <v>2.1800000000000002</v>
      </c>
      <c r="I18" s="29">
        <v>2.1800000000000002</v>
      </c>
      <c r="J18" s="42">
        <f t="shared" si="2"/>
        <v>15.26</v>
      </c>
      <c r="K18" s="11"/>
      <c r="L18" s="11">
        <v>14</v>
      </c>
      <c r="M18" s="11">
        <f t="shared" si="0"/>
        <v>2.1800000000000002</v>
      </c>
      <c r="N18" s="35" t="str">
        <f t="shared" si="1"/>
        <v>14=2.18</v>
      </c>
      <c r="O18" s="61"/>
    </row>
    <row r="19" spans="2:15" x14ac:dyDescent="0.25">
      <c r="B19" s="24">
        <v>0.58333333333333304</v>
      </c>
      <c r="C19" s="29">
        <v>2.1800000000000002</v>
      </c>
      <c r="D19" s="29">
        <v>2.1800000000000002</v>
      </c>
      <c r="E19" s="29">
        <v>2.1800000000000002</v>
      </c>
      <c r="F19" s="29">
        <v>2.1800000000000002</v>
      </c>
      <c r="G19" s="29">
        <v>2.1800000000000002</v>
      </c>
      <c r="H19" s="29">
        <v>2.1800000000000002</v>
      </c>
      <c r="I19" s="29">
        <v>2.1800000000000002</v>
      </c>
      <c r="J19" s="42">
        <f t="shared" si="2"/>
        <v>15.26</v>
      </c>
      <c r="K19" s="11"/>
      <c r="L19" s="11">
        <v>15</v>
      </c>
      <c r="M19" s="11">
        <f t="shared" si="0"/>
        <v>2.1800000000000002</v>
      </c>
      <c r="N19" s="35" t="str">
        <f t="shared" si="1"/>
        <v>15=2.18</v>
      </c>
      <c r="O19" s="61"/>
    </row>
    <row r="20" spans="2:15" x14ac:dyDescent="0.25">
      <c r="B20" s="24">
        <v>0.625</v>
      </c>
      <c r="C20" s="29">
        <v>2.1800000000000002</v>
      </c>
      <c r="D20" s="29">
        <v>2.1800000000000002</v>
      </c>
      <c r="E20" s="29">
        <v>2.1800000000000002</v>
      </c>
      <c r="F20" s="29">
        <v>2.1800000000000002</v>
      </c>
      <c r="G20" s="29">
        <v>2.1800000000000002</v>
      </c>
      <c r="H20" s="29">
        <v>2.1800000000000002</v>
      </c>
      <c r="I20" s="29">
        <v>2.1800000000000002</v>
      </c>
      <c r="J20" s="42">
        <f t="shared" si="2"/>
        <v>15.26</v>
      </c>
      <c r="K20" s="11"/>
      <c r="L20" s="11">
        <v>16</v>
      </c>
      <c r="M20" s="11">
        <f t="shared" si="0"/>
        <v>2.1800000000000002</v>
      </c>
      <c r="N20" s="35" t="str">
        <f t="shared" si="1"/>
        <v>16=2.18</v>
      </c>
      <c r="O20" s="61"/>
    </row>
    <row r="21" spans="2:15" x14ac:dyDescent="0.25">
      <c r="B21" s="24">
        <v>0.66666666666666696</v>
      </c>
      <c r="C21" s="29">
        <v>2.1800000000000002</v>
      </c>
      <c r="D21" s="29">
        <v>2.1800000000000002</v>
      </c>
      <c r="E21" s="29">
        <v>2.1800000000000002</v>
      </c>
      <c r="F21" s="29">
        <v>2.1800000000000002</v>
      </c>
      <c r="G21" s="29">
        <v>2.1800000000000002</v>
      </c>
      <c r="H21" s="29">
        <v>2.1800000000000002</v>
      </c>
      <c r="I21" s="29">
        <v>2.1800000000000002</v>
      </c>
      <c r="J21" s="42">
        <f t="shared" si="2"/>
        <v>15.26</v>
      </c>
      <c r="K21" s="11"/>
      <c r="L21" s="11">
        <v>17</v>
      </c>
      <c r="M21" s="11">
        <f t="shared" si="0"/>
        <v>2.1800000000000002</v>
      </c>
      <c r="N21" s="35" t="str">
        <f t="shared" si="1"/>
        <v>17=2.18</v>
      </c>
      <c r="O21" s="61"/>
    </row>
    <row r="22" spans="2:15" x14ac:dyDescent="0.25">
      <c r="B22" s="24">
        <v>0.70833333333333304</v>
      </c>
      <c r="C22" s="29">
        <v>2.1800000000000002</v>
      </c>
      <c r="D22" s="29">
        <v>2.1800000000000002</v>
      </c>
      <c r="E22" s="29">
        <v>2.1800000000000002</v>
      </c>
      <c r="F22" s="29">
        <v>2.1800000000000002</v>
      </c>
      <c r="G22" s="29">
        <v>2.1800000000000002</v>
      </c>
      <c r="H22" s="29">
        <v>4.3600000000000003</v>
      </c>
      <c r="I22" s="29">
        <v>4.3600000000000003</v>
      </c>
      <c r="J22" s="42">
        <f t="shared" si="2"/>
        <v>19.62</v>
      </c>
      <c r="K22" s="11"/>
      <c r="L22" s="11">
        <v>18</v>
      </c>
      <c r="M22" s="11">
        <f t="shared" si="0"/>
        <v>6.54</v>
      </c>
      <c r="N22" s="35" t="str">
        <f t="shared" si="1"/>
        <v>18=6.54</v>
      </c>
      <c r="O22" s="61"/>
    </row>
    <row r="23" spans="2:15" x14ac:dyDescent="0.25">
      <c r="B23" s="24">
        <v>0.75</v>
      </c>
      <c r="C23" s="29">
        <v>6.54</v>
      </c>
      <c r="D23" s="29">
        <v>6.54</v>
      </c>
      <c r="E23" s="29">
        <v>6.54</v>
      </c>
      <c r="F23" s="29">
        <v>6.54</v>
      </c>
      <c r="G23" s="29">
        <v>6.54</v>
      </c>
      <c r="H23" s="29">
        <v>10.9</v>
      </c>
      <c r="I23" s="29">
        <v>10.9</v>
      </c>
      <c r="J23" s="42">
        <f t="shared" si="2"/>
        <v>54.5</v>
      </c>
      <c r="K23" s="11"/>
      <c r="L23" s="11">
        <v>19</v>
      </c>
      <c r="M23" s="11">
        <f t="shared" si="0"/>
        <v>6.54</v>
      </c>
      <c r="N23" s="35" t="str">
        <f t="shared" si="1"/>
        <v>19=6.54</v>
      </c>
      <c r="O23" s="61"/>
    </row>
    <row r="24" spans="2:15" x14ac:dyDescent="0.25">
      <c r="B24" s="24">
        <v>0.79166666666666696</v>
      </c>
      <c r="C24" s="29">
        <v>6.54</v>
      </c>
      <c r="D24" s="29">
        <v>6.54</v>
      </c>
      <c r="E24" s="29">
        <v>6.54</v>
      </c>
      <c r="F24" s="29">
        <v>6.54</v>
      </c>
      <c r="G24" s="29">
        <v>6.54</v>
      </c>
      <c r="H24" s="29">
        <v>10.9</v>
      </c>
      <c r="I24" s="29">
        <v>10.9</v>
      </c>
      <c r="J24" s="42">
        <f t="shared" si="2"/>
        <v>54.5</v>
      </c>
      <c r="K24" s="11"/>
      <c r="L24" s="11">
        <v>20</v>
      </c>
      <c r="M24" s="11">
        <f t="shared" si="0"/>
        <v>2.1800000000000002</v>
      </c>
      <c r="N24" s="35" t="str">
        <f t="shared" si="1"/>
        <v>20=2.18</v>
      </c>
      <c r="O24" s="61"/>
    </row>
    <row r="25" spans="2:15" x14ac:dyDescent="0.25">
      <c r="B25" s="24">
        <v>0.83333333333333304</v>
      </c>
      <c r="C25" s="29">
        <v>2.1800000000000002</v>
      </c>
      <c r="D25" s="29">
        <v>2.1800000000000002</v>
      </c>
      <c r="E25" s="29">
        <v>2.1800000000000002</v>
      </c>
      <c r="F25" s="29">
        <v>2.1800000000000002</v>
      </c>
      <c r="G25" s="29">
        <v>2.1800000000000002</v>
      </c>
      <c r="H25" s="29">
        <v>2.1800000000000002</v>
      </c>
      <c r="I25" s="29">
        <v>2.1800000000000002</v>
      </c>
      <c r="J25" s="42">
        <f t="shared" si="2"/>
        <v>15.26</v>
      </c>
      <c r="K25" s="11"/>
      <c r="L25" s="11">
        <v>21</v>
      </c>
      <c r="M25" s="11">
        <f t="shared" si="0"/>
        <v>2.1800000000000002</v>
      </c>
      <c r="N25" s="35" t="str">
        <f t="shared" si="1"/>
        <v>21=2.18</v>
      </c>
      <c r="O25" s="61"/>
    </row>
    <row r="26" spans="2:15" x14ac:dyDescent="0.25">
      <c r="B26" s="24">
        <v>0.875</v>
      </c>
      <c r="C26" s="29">
        <v>2.1800000000000002</v>
      </c>
      <c r="D26" s="29">
        <v>2.1800000000000002</v>
      </c>
      <c r="E26" s="29">
        <v>2.1800000000000002</v>
      </c>
      <c r="F26" s="29">
        <v>2.1800000000000002</v>
      </c>
      <c r="G26" s="29">
        <v>2.1800000000000002</v>
      </c>
      <c r="H26" s="29">
        <v>2.1800000000000002</v>
      </c>
      <c r="I26" s="29">
        <v>2.1800000000000002</v>
      </c>
      <c r="J26" s="42">
        <f t="shared" si="2"/>
        <v>15.26</v>
      </c>
      <c r="K26" s="11"/>
      <c r="L26" s="11">
        <v>22</v>
      </c>
      <c r="M26" s="11">
        <f t="shared" si="0"/>
        <v>0</v>
      </c>
      <c r="N26" s="35" t="str">
        <f t="shared" si="1"/>
        <v>22=0</v>
      </c>
      <c r="O26" s="61"/>
    </row>
    <row r="27" spans="2:15" x14ac:dyDescent="0.25">
      <c r="B27" s="24">
        <v>0.91666666666666696</v>
      </c>
      <c r="C27" s="29">
        <v>0</v>
      </c>
      <c r="D27" s="29">
        <v>0</v>
      </c>
      <c r="E27" s="29">
        <v>0</v>
      </c>
      <c r="F27" s="29">
        <v>0</v>
      </c>
      <c r="G27" s="29">
        <v>0</v>
      </c>
      <c r="H27" s="29">
        <v>0</v>
      </c>
      <c r="I27" s="29">
        <v>0</v>
      </c>
      <c r="J27" s="42">
        <f t="shared" si="2"/>
        <v>0</v>
      </c>
      <c r="K27" s="11"/>
      <c r="L27" s="11"/>
      <c r="M27" s="11"/>
      <c r="N27" s="35" t="str">
        <f t="shared" ref="N27:N58" si="3">CONCATENATE(L28,"=",M28)</f>
        <v>23=0</v>
      </c>
      <c r="O27" s="61"/>
    </row>
    <row r="28" spans="2:15" s="11" customFormat="1" x14ac:dyDescent="0.25">
      <c r="B28" s="24">
        <v>0.95833333333333304</v>
      </c>
      <c r="C28" s="29">
        <v>0</v>
      </c>
      <c r="D28" s="29">
        <v>0</v>
      </c>
      <c r="E28" s="29">
        <v>0</v>
      </c>
      <c r="F28" s="29">
        <v>0</v>
      </c>
      <c r="G28" s="29">
        <v>0</v>
      </c>
      <c r="H28" s="29">
        <v>0</v>
      </c>
      <c r="I28" s="29">
        <v>0</v>
      </c>
      <c r="J28" s="42">
        <f t="shared" si="2"/>
        <v>0</v>
      </c>
      <c r="L28" s="11">
        <v>23</v>
      </c>
      <c r="M28" s="11">
        <f>C28</f>
        <v>0</v>
      </c>
      <c r="N28" s="35" t="str">
        <f t="shared" si="3"/>
        <v>24=0</v>
      </c>
      <c r="O28" s="61"/>
    </row>
    <row r="29" spans="2:15" x14ac:dyDescent="0.25">
      <c r="B29" s="14" t="s">
        <v>273</v>
      </c>
      <c r="C29" s="42">
        <f>SUM(C5:C28)</f>
        <v>89.390000000000043</v>
      </c>
      <c r="D29" s="42">
        <f t="shared" ref="D29:J29" si="4">SUM(D5:D28)</f>
        <v>89.390000000000043</v>
      </c>
      <c r="E29" s="42">
        <f t="shared" si="4"/>
        <v>89.390000000000043</v>
      </c>
      <c r="F29" s="42">
        <f t="shared" si="4"/>
        <v>89.390000000000043</v>
      </c>
      <c r="G29" s="42">
        <f t="shared" si="4"/>
        <v>89.390000000000043</v>
      </c>
      <c r="H29" s="42">
        <f t="shared" si="4"/>
        <v>126.47000000000008</v>
      </c>
      <c r="I29" s="42">
        <f t="shared" si="4"/>
        <v>126.47000000000008</v>
      </c>
      <c r="J29" s="42">
        <f t="shared" si="4"/>
        <v>699.88999999999987</v>
      </c>
      <c r="K29" s="11"/>
      <c r="L29" s="11">
        <v>24</v>
      </c>
      <c r="M29" s="11">
        <f t="shared" ref="M29:M52" si="5">D5</f>
        <v>0</v>
      </c>
      <c r="N29" s="35" t="str">
        <f t="shared" si="3"/>
        <v>25=0</v>
      </c>
      <c r="O29" s="61"/>
    </row>
    <row r="30" spans="2:15" x14ac:dyDescent="0.25">
      <c r="B30" s="7"/>
      <c r="K30" s="11"/>
      <c r="L30" s="11">
        <v>25</v>
      </c>
      <c r="M30" s="11">
        <f t="shared" si="5"/>
        <v>0</v>
      </c>
      <c r="N30" s="35" t="str">
        <f t="shared" si="3"/>
        <v>26=0</v>
      </c>
      <c r="O30" s="61"/>
    </row>
    <row r="31" spans="2:15" x14ac:dyDescent="0.25">
      <c r="B31" s="87" t="s">
        <v>360</v>
      </c>
      <c r="C31" s="88"/>
      <c r="D31" s="88"/>
      <c r="E31" s="88"/>
      <c r="F31" s="88"/>
      <c r="G31" s="88"/>
      <c r="H31" s="88"/>
      <c r="I31" s="88"/>
      <c r="J31" s="89"/>
      <c r="K31" s="11"/>
      <c r="L31" s="11">
        <v>26</v>
      </c>
      <c r="M31" s="11">
        <f t="shared" si="5"/>
        <v>0</v>
      </c>
      <c r="N31" s="35" t="str">
        <f t="shared" si="3"/>
        <v>27=0</v>
      </c>
      <c r="O31" s="61"/>
    </row>
    <row r="32" spans="2:15" x14ac:dyDescent="0.25">
      <c r="B32" s="90"/>
      <c r="C32" s="91"/>
      <c r="D32" s="91"/>
      <c r="E32" s="91"/>
      <c r="F32" s="91"/>
      <c r="G32" s="91"/>
      <c r="H32" s="91"/>
      <c r="I32" s="91"/>
      <c r="J32" s="92"/>
      <c r="K32" s="11"/>
      <c r="L32" s="11">
        <v>27</v>
      </c>
      <c r="M32" s="11">
        <f t="shared" si="5"/>
        <v>0</v>
      </c>
      <c r="N32" s="35" t="str">
        <f t="shared" si="3"/>
        <v>28=2.18</v>
      </c>
      <c r="O32" s="61"/>
    </row>
    <row r="33" spans="2:15" x14ac:dyDescent="0.25">
      <c r="B33" s="90"/>
      <c r="C33" s="91"/>
      <c r="D33" s="91"/>
      <c r="E33" s="91"/>
      <c r="F33" s="91"/>
      <c r="G33" s="91"/>
      <c r="H33" s="91"/>
      <c r="I33" s="91"/>
      <c r="J33" s="92"/>
      <c r="K33" s="11"/>
      <c r="L33" s="11">
        <v>28</v>
      </c>
      <c r="M33" s="11">
        <f t="shared" si="5"/>
        <v>2.1800000000000002</v>
      </c>
      <c r="N33" s="35" t="str">
        <f t="shared" si="3"/>
        <v>29=13.08</v>
      </c>
      <c r="O33" s="61"/>
    </row>
    <row r="34" spans="2:15" x14ac:dyDescent="0.25">
      <c r="B34" s="90"/>
      <c r="C34" s="91"/>
      <c r="D34" s="91"/>
      <c r="E34" s="91"/>
      <c r="F34" s="91"/>
      <c r="G34" s="91"/>
      <c r="H34" s="91"/>
      <c r="I34" s="91"/>
      <c r="J34" s="92"/>
      <c r="K34" s="11"/>
      <c r="L34" s="11">
        <v>29</v>
      </c>
      <c r="M34" s="11">
        <f t="shared" si="5"/>
        <v>13.08</v>
      </c>
      <c r="N34" s="35" t="str">
        <f t="shared" si="3"/>
        <v>30=21.81</v>
      </c>
      <c r="O34" s="61"/>
    </row>
    <row r="35" spans="2:15" x14ac:dyDescent="0.25">
      <c r="B35" s="90"/>
      <c r="C35" s="91"/>
      <c r="D35" s="91"/>
      <c r="E35" s="91"/>
      <c r="F35" s="91"/>
      <c r="G35" s="91"/>
      <c r="H35" s="91"/>
      <c r="I35" s="91"/>
      <c r="J35" s="92"/>
      <c r="K35" s="11"/>
      <c r="L35" s="11">
        <v>30</v>
      </c>
      <c r="M35" s="11">
        <f t="shared" si="5"/>
        <v>21.81</v>
      </c>
      <c r="N35" s="35" t="str">
        <f t="shared" si="3"/>
        <v>31=13.08</v>
      </c>
      <c r="O35" s="61"/>
    </row>
    <row r="36" spans="2:15" x14ac:dyDescent="0.25">
      <c r="B36" s="90"/>
      <c r="C36" s="91"/>
      <c r="D36" s="91"/>
      <c r="E36" s="91"/>
      <c r="F36" s="91"/>
      <c r="G36" s="91"/>
      <c r="H36" s="91"/>
      <c r="I36" s="91"/>
      <c r="J36" s="92"/>
      <c r="K36" s="11"/>
      <c r="L36" s="11">
        <v>31</v>
      </c>
      <c r="M36" s="11">
        <f t="shared" si="5"/>
        <v>13.08</v>
      </c>
      <c r="N36" s="35" t="str">
        <f t="shared" si="3"/>
        <v>32=2.18</v>
      </c>
      <c r="O36" s="61"/>
    </row>
    <row r="37" spans="2:15" x14ac:dyDescent="0.25">
      <c r="B37" s="93"/>
      <c r="C37" s="94"/>
      <c r="D37" s="94"/>
      <c r="E37" s="94"/>
      <c r="F37" s="94"/>
      <c r="G37" s="94"/>
      <c r="H37" s="94"/>
      <c r="I37" s="94"/>
      <c r="J37" s="95"/>
      <c r="K37" s="11"/>
      <c r="L37" s="11">
        <v>32</v>
      </c>
      <c r="M37" s="11">
        <f t="shared" si="5"/>
        <v>2.1800000000000002</v>
      </c>
      <c r="N37" s="35" t="str">
        <f t="shared" si="3"/>
        <v>33=2.18</v>
      </c>
      <c r="O37" s="61"/>
    </row>
    <row r="38" spans="2:15" x14ac:dyDescent="0.25">
      <c r="K38" s="11"/>
      <c r="L38" s="11">
        <v>33</v>
      </c>
      <c r="M38" s="11">
        <f t="shared" si="5"/>
        <v>2.1800000000000002</v>
      </c>
      <c r="N38" s="35" t="str">
        <f t="shared" si="3"/>
        <v>34=2.18</v>
      </c>
      <c r="O38" s="61"/>
    </row>
    <row r="39" spans="2:15" x14ac:dyDescent="0.25">
      <c r="K39" s="11"/>
      <c r="L39" s="11">
        <v>34</v>
      </c>
      <c r="M39" s="11">
        <f t="shared" si="5"/>
        <v>2.1800000000000002</v>
      </c>
      <c r="N39" s="35" t="str">
        <f t="shared" si="3"/>
        <v>35=2.18</v>
      </c>
      <c r="O39" s="61"/>
    </row>
    <row r="40" spans="2:15" x14ac:dyDescent="0.25">
      <c r="K40" s="11"/>
      <c r="L40" s="11">
        <v>35</v>
      </c>
      <c r="M40" s="11">
        <f t="shared" si="5"/>
        <v>2.1800000000000002</v>
      </c>
      <c r="N40" s="35" t="str">
        <f t="shared" si="3"/>
        <v>36=2.18</v>
      </c>
      <c r="O40" s="61"/>
    </row>
    <row r="41" spans="2:15" x14ac:dyDescent="0.25">
      <c r="K41" s="11"/>
      <c r="L41" s="11">
        <v>36</v>
      </c>
      <c r="M41" s="11">
        <f t="shared" si="5"/>
        <v>2.1800000000000002</v>
      </c>
      <c r="N41" s="35" t="str">
        <f t="shared" si="3"/>
        <v>37=2.18</v>
      </c>
      <c r="O41" s="61"/>
    </row>
    <row r="42" spans="2:15" x14ac:dyDescent="0.25">
      <c r="K42" s="11"/>
      <c r="L42" s="11">
        <v>37</v>
      </c>
      <c r="M42" s="11">
        <f t="shared" si="5"/>
        <v>2.1800000000000002</v>
      </c>
      <c r="N42" s="35" t="str">
        <f t="shared" si="3"/>
        <v>38=2.18</v>
      </c>
      <c r="O42" s="61"/>
    </row>
    <row r="43" spans="2:15" x14ac:dyDescent="0.25">
      <c r="K43" s="11"/>
      <c r="L43" s="11">
        <v>38</v>
      </c>
      <c r="M43" s="11">
        <f t="shared" si="5"/>
        <v>2.1800000000000002</v>
      </c>
      <c r="N43" s="35" t="str">
        <f t="shared" si="3"/>
        <v>39=2.18</v>
      </c>
      <c r="O43" s="61"/>
    </row>
    <row r="44" spans="2:15" x14ac:dyDescent="0.25">
      <c r="K44" s="11"/>
      <c r="L44" s="11">
        <v>39</v>
      </c>
      <c r="M44" s="11">
        <f t="shared" si="5"/>
        <v>2.1800000000000002</v>
      </c>
      <c r="N44" s="35" t="str">
        <f t="shared" si="3"/>
        <v>40=2.18</v>
      </c>
      <c r="O44" s="61"/>
    </row>
    <row r="45" spans="2:15" x14ac:dyDescent="0.25">
      <c r="K45" s="11"/>
      <c r="L45" s="11">
        <v>40</v>
      </c>
      <c r="M45" s="11">
        <f t="shared" si="5"/>
        <v>2.1800000000000002</v>
      </c>
      <c r="N45" s="35" t="str">
        <f t="shared" si="3"/>
        <v>41=2.18</v>
      </c>
      <c r="O45" s="61"/>
    </row>
    <row r="46" spans="2:15" x14ac:dyDescent="0.25">
      <c r="K46" s="11"/>
      <c r="L46" s="11">
        <v>41</v>
      </c>
      <c r="M46" s="11">
        <f t="shared" si="5"/>
        <v>2.1800000000000002</v>
      </c>
      <c r="N46" s="35" t="str">
        <f t="shared" si="3"/>
        <v>42=6.54</v>
      </c>
      <c r="O46" s="61"/>
    </row>
    <row r="47" spans="2:15" x14ac:dyDescent="0.25">
      <c r="K47" s="11"/>
      <c r="L47" s="11">
        <v>42</v>
      </c>
      <c r="M47" s="11">
        <f t="shared" si="5"/>
        <v>6.54</v>
      </c>
      <c r="N47" s="35" t="str">
        <f t="shared" si="3"/>
        <v>43=6.54</v>
      </c>
      <c r="O47" s="61"/>
    </row>
    <row r="48" spans="2:15" x14ac:dyDescent="0.25">
      <c r="K48" s="11"/>
      <c r="L48" s="11">
        <v>43</v>
      </c>
      <c r="M48" s="11">
        <f t="shared" si="5"/>
        <v>6.54</v>
      </c>
      <c r="N48" s="35" t="str">
        <f t="shared" si="3"/>
        <v>44=2.18</v>
      </c>
      <c r="O48" s="61"/>
    </row>
    <row r="49" spans="11:15" x14ac:dyDescent="0.25">
      <c r="K49" s="11"/>
      <c r="L49" s="11">
        <v>44</v>
      </c>
      <c r="M49" s="11">
        <f t="shared" si="5"/>
        <v>2.1800000000000002</v>
      </c>
      <c r="N49" s="35" t="str">
        <f t="shared" si="3"/>
        <v>45=2.18</v>
      </c>
      <c r="O49" s="61"/>
    </row>
    <row r="50" spans="11:15" x14ac:dyDescent="0.25">
      <c r="K50" s="11"/>
      <c r="L50" s="11">
        <v>45</v>
      </c>
      <c r="M50" s="11">
        <f t="shared" si="5"/>
        <v>2.1800000000000002</v>
      </c>
      <c r="N50" s="35" t="str">
        <f t="shared" si="3"/>
        <v>46=0</v>
      </c>
      <c r="O50" s="61"/>
    </row>
    <row r="51" spans="11:15" x14ac:dyDescent="0.25">
      <c r="K51" s="11"/>
      <c r="L51" s="11">
        <v>46</v>
      </c>
      <c r="M51" s="11">
        <f t="shared" si="5"/>
        <v>0</v>
      </c>
      <c r="N51" s="35" t="str">
        <f t="shared" si="3"/>
        <v>47=0</v>
      </c>
      <c r="O51" s="61"/>
    </row>
    <row r="52" spans="11:15" x14ac:dyDescent="0.25">
      <c r="K52" s="11"/>
      <c r="L52" s="11">
        <v>47</v>
      </c>
      <c r="M52" s="11">
        <f t="shared" si="5"/>
        <v>0</v>
      </c>
      <c r="N52" s="35" t="str">
        <f t="shared" si="3"/>
        <v>48=0</v>
      </c>
      <c r="O52" s="61"/>
    </row>
    <row r="53" spans="11:15" x14ac:dyDescent="0.25">
      <c r="K53" s="11"/>
      <c r="L53" s="11">
        <v>48</v>
      </c>
      <c r="M53" s="11">
        <f t="shared" ref="M53:M76" si="6">E5</f>
        <v>0</v>
      </c>
      <c r="N53" s="35" t="str">
        <f t="shared" si="3"/>
        <v>49=0</v>
      </c>
      <c r="O53" s="61"/>
    </row>
    <row r="54" spans="11:15" x14ac:dyDescent="0.25">
      <c r="K54" s="11"/>
      <c r="L54" s="11">
        <v>49</v>
      </c>
      <c r="M54" s="11">
        <f t="shared" si="6"/>
        <v>0</v>
      </c>
      <c r="N54" s="35" t="str">
        <f t="shared" si="3"/>
        <v>50=0</v>
      </c>
      <c r="O54" s="61"/>
    </row>
    <row r="55" spans="11:15" x14ac:dyDescent="0.25">
      <c r="K55" s="11"/>
      <c r="L55" s="11">
        <v>50</v>
      </c>
      <c r="M55" s="11">
        <f t="shared" si="6"/>
        <v>0</v>
      </c>
      <c r="N55" s="35" t="str">
        <f t="shared" si="3"/>
        <v>51=0</v>
      </c>
      <c r="O55" s="61"/>
    </row>
    <row r="56" spans="11:15" x14ac:dyDescent="0.25">
      <c r="K56" s="11"/>
      <c r="L56" s="11">
        <v>51</v>
      </c>
      <c r="M56" s="11">
        <f t="shared" si="6"/>
        <v>0</v>
      </c>
      <c r="N56" s="35" t="str">
        <f t="shared" si="3"/>
        <v>52=2.18</v>
      </c>
      <c r="O56" s="61"/>
    </row>
    <row r="57" spans="11:15" x14ac:dyDescent="0.25">
      <c r="K57" s="11"/>
      <c r="L57" s="11">
        <v>52</v>
      </c>
      <c r="M57" s="11">
        <f t="shared" si="6"/>
        <v>2.1800000000000002</v>
      </c>
      <c r="N57" s="35" t="str">
        <f t="shared" si="3"/>
        <v>53=13.08</v>
      </c>
      <c r="O57" s="61"/>
    </row>
    <row r="58" spans="11:15" x14ac:dyDescent="0.25">
      <c r="K58" s="11"/>
      <c r="L58" s="11">
        <v>53</v>
      </c>
      <c r="M58" s="11">
        <f t="shared" si="6"/>
        <v>13.08</v>
      </c>
      <c r="N58" s="35" t="str">
        <f t="shared" si="3"/>
        <v>54=21.81</v>
      </c>
      <c r="O58" s="61"/>
    </row>
    <row r="59" spans="11:15" x14ac:dyDescent="0.25">
      <c r="K59" s="11"/>
      <c r="L59" s="11">
        <v>54</v>
      </c>
      <c r="M59" s="11">
        <f t="shared" si="6"/>
        <v>21.81</v>
      </c>
      <c r="N59" s="35" t="str">
        <f t="shared" ref="N59:N90" si="7">CONCATENATE(L60,"=",M60)</f>
        <v>55=13.08</v>
      </c>
      <c r="O59" s="61"/>
    </row>
    <row r="60" spans="11:15" x14ac:dyDescent="0.25">
      <c r="K60" s="11"/>
      <c r="L60" s="11">
        <v>55</v>
      </c>
      <c r="M60" s="11">
        <f t="shared" si="6"/>
        <v>13.08</v>
      </c>
      <c r="N60" s="35" t="str">
        <f t="shared" si="7"/>
        <v>56=2.18</v>
      </c>
      <c r="O60" s="61"/>
    </row>
    <row r="61" spans="11:15" x14ac:dyDescent="0.25">
      <c r="K61" s="11"/>
      <c r="L61" s="11">
        <v>56</v>
      </c>
      <c r="M61" s="11">
        <f t="shared" si="6"/>
        <v>2.1800000000000002</v>
      </c>
      <c r="N61" s="35" t="str">
        <f t="shared" si="7"/>
        <v>57=2.18</v>
      </c>
      <c r="O61" s="61"/>
    </row>
    <row r="62" spans="11:15" x14ac:dyDescent="0.25">
      <c r="K62" s="11"/>
      <c r="L62" s="11">
        <v>57</v>
      </c>
      <c r="M62" s="11">
        <f t="shared" si="6"/>
        <v>2.1800000000000002</v>
      </c>
      <c r="N62" s="35" t="str">
        <f t="shared" si="7"/>
        <v>58=2.18</v>
      </c>
      <c r="O62" s="61"/>
    </row>
    <row r="63" spans="11:15" x14ac:dyDescent="0.25">
      <c r="K63" s="11"/>
      <c r="L63" s="11">
        <v>58</v>
      </c>
      <c r="M63" s="11">
        <f t="shared" si="6"/>
        <v>2.1800000000000002</v>
      </c>
      <c r="N63" s="35" t="str">
        <f t="shared" si="7"/>
        <v>59=2.18</v>
      </c>
      <c r="O63" s="61"/>
    </row>
    <row r="64" spans="11:15" x14ac:dyDescent="0.25">
      <c r="K64" s="11"/>
      <c r="L64" s="11">
        <v>59</v>
      </c>
      <c r="M64" s="11">
        <f t="shared" si="6"/>
        <v>2.1800000000000002</v>
      </c>
      <c r="N64" s="35" t="str">
        <f t="shared" si="7"/>
        <v>60=2.18</v>
      </c>
      <c r="O64" s="61"/>
    </row>
    <row r="65" spans="11:15" x14ac:dyDescent="0.25">
      <c r="K65" s="11"/>
      <c r="L65" s="11">
        <v>60</v>
      </c>
      <c r="M65" s="11">
        <f t="shared" si="6"/>
        <v>2.1800000000000002</v>
      </c>
      <c r="N65" s="35" t="str">
        <f t="shared" si="7"/>
        <v>61=2.18</v>
      </c>
      <c r="O65" s="61"/>
    </row>
    <row r="66" spans="11:15" x14ac:dyDescent="0.25">
      <c r="K66" s="11"/>
      <c r="L66" s="11">
        <v>61</v>
      </c>
      <c r="M66" s="11">
        <f t="shared" si="6"/>
        <v>2.1800000000000002</v>
      </c>
      <c r="N66" s="35" t="str">
        <f t="shared" si="7"/>
        <v>62=2.18</v>
      </c>
      <c r="O66" s="61"/>
    </row>
    <row r="67" spans="11:15" x14ac:dyDescent="0.25">
      <c r="K67" s="11"/>
      <c r="L67" s="11">
        <v>62</v>
      </c>
      <c r="M67" s="11">
        <f t="shared" si="6"/>
        <v>2.1800000000000002</v>
      </c>
      <c r="N67" s="35" t="str">
        <f t="shared" si="7"/>
        <v>63=2.18</v>
      </c>
      <c r="O67" s="61"/>
    </row>
    <row r="68" spans="11:15" x14ac:dyDescent="0.25">
      <c r="K68" s="11"/>
      <c r="L68" s="11">
        <v>63</v>
      </c>
      <c r="M68" s="11">
        <f t="shared" si="6"/>
        <v>2.1800000000000002</v>
      </c>
      <c r="N68" s="35" t="str">
        <f t="shared" si="7"/>
        <v>64=2.18</v>
      </c>
      <c r="O68" s="61"/>
    </row>
    <row r="69" spans="11:15" x14ac:dyDescent="0.25">
      <c r="K69" s="11"/>
      <c r="L69" s="11">
        <v>64</v>
      </c>
      <c r="M69" s="11">
        <f t="shared" si="6"/>
        <v>2.1800000000000002</v>
      </c>
      <c r="N69" s="35" t="str">
        <f t="shared" si="7"/>
        <v>65=2.18</v>
      </c>
      <c r="O69" s="61"/>
    </row>
    <row r="70" spans="11:15" x14ac:dyDescent="0.25">
      <c r="K70" s="11"/>
      <c r="L70" s="11">
        <v>65</v>
      </c>
      <c r="M70" s="11">
        <f t="shared" si="6"/>
        <v>2.1800000000000002</v>
      </c>
      <c r="N70" s="35" t="str">
        <f t="shared" si="7"/>
        <v>66=6.54</v>
      </c>
      <c r="O70" s="61"/>
    </row>
    <row r="71" spans="11:15" x14ac:dyDescent="0.25">
      <c r="K71" s="11"/>
      <c r="L71" s="11">
        <v>66</v>
      </c>
      <c r="M71" s="11">
        <f t="shared" si="6"/>
        <v>6.54</v>
      </c>
      <c r="N71" s="35" t="str">
        <f t="shared" si="7"/>
        <v>67=6.54</v>
      </c>
      <c r="O71" s="61"/>
    </row>
    <row r="72" spans="11:15" x14ac:dyDescent="0.25">
      <c r="K72" s="11"/>
      <c r="L72" s="11">
        <v>67</v>
      </c>
      <c r="M72" s="11">
        <f t="shared" si="6"/>
        <v>6.54</v>
      </c>
      <c r="N72" s="35" t="str">
        <f t="shared" si="7"/>
        <v>68=2.18</v>
      </c>
      <c r="O72" s="61"/>
    </row>
    <row r="73" spans="11:15" x14ac:dyDescent="0.25">
      <c r="K73" s="11"/>
      <c r="L73" s="11">
        <v>68</v>
      </c>
      <c r="M73" s="11">
        <f t="shared" si="6"/>
        <v>2.1800000000000002</v>
      </c>
      <c r="N73" s="35" t="str">
        <f t="shared" si="7"/>
        <v>69=2.18</v>
      </c>
      <c r="O73" s="61"/>
    </row>
    <row r="74" spans="11:15" x14ac:dyDescent="0.25">
      <c r="K74" s="11"/>
      <c r="L74" s="11">
        <v>69</v>
      </c>
      <c r="M74" s="11">
        <f t="shared" si="6"/>
        <v>2.1800000000000002</v>
      </c>
      <c r="N74" s="35" t="str">
        <f t="shared" si="7"/>
        <v>70=0</v>
      </c>
      <c r="O74" s="61"/>
    </row>
    <row r="75" spans="11:15" x14ac:dyDescent="0.25">
      <c r="K75" s="11"/>
      <c r="L75" s="11">
        <v>70</v>
      </c>
      <c r="M75" s="11">
        <f t="shared" si="6"/>
        <v>0</v>
      </c>
      <c r="N75" s="35" t="str">
        <f t="shared" si="7"/>
        <v>71=0</v>
      </c>
      <c r="O75" s="61"/>
    </row>
    <row r="76" spans="11:15" x14ac:dyDescent="0.25">
      <c r="K76" s="11"/>
      <c r="L76" s="11">
        <v>71</v>
      </c>
      <c r="M76" s="11">
        <f t="shared" si="6"/>
        <v>0</v>
      </c>
      <c r="N76" s="35" t="str">
        <f t="shared" si="7"/>
        <v>72=0</v>
      </c>
      <c r="O76" s="61"/>
    </row>
    <row r="77" spans="11:15" x14ac:dyDescent="0.25">
      <c r="K77" s="11"/>
      <c r="L77" s="11">
        <v>72</v>
      </c>
      <c r="M77" s="11">
        <f t="shared" ref="M77:M100" si="8">F5</f>
        <v>0</v>
      </c>
      <c r="N77" s="35" t="str">
        <f t="shared" si="7"/>
        <v>73=0</v>
      </c>
      <c r="O77" s="61"/>
    </row>
    <row r="78" spans="11:15" x14ac:dyDescent="0.25">
      <c r="K78" s="11"/>
      <c r="L78" s="11">
        <v>73</v>
      </c>
      <c r="M78" s="11">
        <f t="shared" si="8"/>
        <v>0</v>
      </c>
      <c r="N78" s="35" t="str">
        <f t="shared" si="7"/>
        <v>74=0</v>
      </c>
      <c r="O78" s="61"/>
    </row>
    <row r="79" spans="11:15" x14ac:dyDescent="0.25">
      <c r="K79" s="11"/>
      <c r="L79" s="11">
        <v>74</v>
      </c>
      <c r="M79" s="11">
        <f t="shared" si="8"/>
        <v>0</v>
      </c>
      <c r="N79" s="35" t="str">
        <f t="shared" si="7"/>
        <v>75=0</v>
      </c>
      <c r="O79" s="61"/>
    </row>
    <row r="80" spans="11:15" x14ac:dyDescent="0.25">
      <c r="K80" s="11"/>
      <c r="L80" s="11">
        <v>75</v>
      </c>
      <c r="M80" s="11">
        <f t="shared" si="8"/>
        <v>0</v>
      </c>
      <c r="N80" s="35" t="str">
        <f t="shared" si="7"/>
        <v>76=2.18</v>
      </c>
      <c r="O80" s="61"/>
    </row>
    <row r="81" spans="11:15" x14ac:dyDescent="0.25">
      <c r="K81" s="11"/>
      <c r="L81" s="11">
        <v>76</v>
      </c>
      <c r="M81" s="11">
        <f t="shared" si="8"/>
        <v>2.1800000000000002</v>
      </c>
      <c r="N81" s="35" t="str">
        <f t="shared" si="7"/>
        <v>77=13.08</v>
      </c>
      <c r="O81" s="61"/>
    </row>
    <row r="82" spans="11:15" x14ac:dyDescent="0.25">
      <c r="K82" s="11"/>
      <c r="L82" s="11">
        <v>77</v>
      </c>
      <c r="M82" s="11">
        <f t="shared" si="8"/>
        <v>13.08</v>
      </c>
      <c r="N82" s="35" t="str">
        <f t="shared" si="7"/>
        <v>78=21.81</v>
      </c>
      <c r="O82" s="61"/>
    </row>
    <row r="83" spans="11:15" x14ac:dyDescent="0.25">
      <c r="K83" s="11"/>
      <c r="L83" s="11">
        <v>78</v>
      </c>
      <c r="M83" s="11">
        <f t="shared" si="8"/>
        <v>21.81</v>
      </c>
      <c r="N83" s="35" t="str">
        <f t="shared" si="7"/>
        <v>79=13.08</v>
      </c>
      <c r="O83" s="61"/>
    </row>
    <row r="84" spans="11:15" x14ac:dyDescent="0.25">
      <c r="K84" s="11"/>
      <c r="L84" s="11">
        <v>79</v>
      </c>
      <c r="M84" s="11">
        <f t="shared" si="8"/>
        <v>13.08</v>
      </c>
      <c r="N84" s="35" t="str">
        <f t="shared" si="7"/>
        <v>80=2.18</v>
      </c>
      <c r="O84" s="61"/>
    </row>
    <row r="85" spans="11:15" x14ac:dyDescent="0.25">
      <c r="K85" s="11"/>
      <c r="L85" s="11">
        <v>80</v>
      </c>
      <c r="M85" s="11">
        <f t="shared" si="8"/>
        <v>2.1800000000000002</v>
      </c>
      <c r="N85" s="35" t="str">
        <f t="shared" si="7"/>
        <v>81=2.18</v>
      </c>
      <c r="O85" s="61"/>
    </row>
    <row r="86" spans="11:15" x14ac:dyDescent="0.25">
      <c r="K86" s="11"/>
      <c r="L86" s="11">
        <v>81</v>
      </c>
      <c r="M86" s="11">
        <f t="shared" si="8"/>
        <v>2.1800000000000002</v>
      </c>
      <c r="N86" s="35" t="str">
        <f t="shared" si="7"/>
        <v>82=2.18</v>
      </c>
      <c r="O86" s="61"/>
    </row>
    <row r="87" spans="11:15" x14ac:dyDescent="0.25">
      <c r="K87" s="11"/>
      <c r="L87" s="11">
        <v>82</v>
      </c>
      <c r="M87" s="11">
        <f t="shared" si="8"/>
        <v>2.1800000000000002</v>
      </c>
      <c r="N87" s="35" t="str">
        <f t="shared" si="7"/>
        <v>83=2.18</v>
      </c>
      <c r="O87" s="61"/>
    </row>
    <row r="88" spans="11:15" x14ac:dyDescent="0.25">
      <c r="K88" s="11"/>
      <c r="L88" s="11">
        <v>83</v>
      </c>
      <c r="M88" s="11">
        <f t="shared" si="8"/>
        <v>2.1800000000000002</v>
      </c>
      <c r="N88" s="35" t="str">
        <f t="shared" si="7"/>
        <v>84=2.18</v>
      </c>
      <c r="O88" s="61"/>
    </row>
    <row r="89" spans="11:15" x14ac:dyDescent="0.25">
      <c r="K89" s="11"/>
      <c r="L89" s="11">
        <v>84</v>
      </c>
      <c r="M89" s="11">
        <f t="shared" si="8"/>
        <v>2.1800000000000002</v>
      </c>
      <c r="N89" s="35" t="str">
        <f t="shared" si="7"/>
        <v>85=2.18</v>
      </c>
      <c r="O89" s="61"/>
    </row>
    <row r="90" spans="11:15" x14ac:dyDescent="0.25">
      <c r="K90" s="11"/>
      <c r="L90" s="11">
        <v>85</v>
      </c>
      <c r="M90" s="11">
        <f t="shared" si="8"/>
        <v>2.1800000000000002</v>
      </c>
      <c r="N90" s="35" t="str">
        <f t="shared" si="7"/>
        <v>86=2.18</v>
      </c>
      <c r="O90" s="61"/>
    </row>
    <row r="91" spans="11:15" x14ac:dyDescent="0.25">
      <c r="K91" s="11"/>
      <c r="L91" s="11">
        <v>86</v>
      </c>
      <c r="M91" s="11">
        <f t="shared" si="8"/>
        <v>2.1800000000000002</v>
      </c>
      <c r="N91" s="35" t="str">
        <f t="shared" ref="N91:N122" si="9">CONCATENATE(L92,"=",M92)</f>
        <v>87=2.18</v>
      </c>
      <c r="O91" s="61"/>
    </row>
    <row r="92" spans="11:15" x14ac:dyDescent="0.25">
      <c r="K92" s="11"/>
      <c r="L92" s="11">
        <v>87</v>
      </c>
      <c r="M92" s="11">
        <f t="shared" si="8"/>
        <v>2.1800000000000002</v>
      </c>
      <c r="N92" s="35" t="str">
        <f t="shared" si="9"/>
        <v>88=2.18</v>
      </c>
      <c r="O92" s="61"/>
    </row>
    <row r="93" spans="11:15" x14ac:dyDescent="0.25">
      <c r="K93" s="11"/>
      <c r="L93" s="11">
        <v>88</v>
      </c>
      <c r="M93" s="11">
        <f t="shared" si="8"/>
        <v>2.1800000000000002</v>
      </c>
      <c r="N93" s="35" t="str">
        <f t="shared" si="9"/>
        <v>89=2.18</v>
      </c>
      <c r="O93" s="61"/>
    </row>
    <row r="94" spans="11:15" x14ac:dyDescent="0.25">
      <c r="K94" s="11"/>
      <c r="L94" s="11">
        <v>89</v>
      </c>
      <c r="M94" s="11">
        <f t="shared" si="8"/>
        <v>2.1800000000000002</v>
      </c>
      <c r="N94" s="35" t="str">
        <f t="shared" si="9"/>
        <v>90=6.54</v>
      </c>
      <c r="O94" s="61"/>
    </row>
    <row r="95" spans="11:15" x14ac:dyDescent="0.25">
      <c r="K95" s="11"/>
      <c r="L95" s="11">
        <v>90</v>
      </c>
      <c r="M95" s="11">
        <f t="shared" si="8"/>
        <v>6.54</v>
      </c>
      <c r="N95" s="35" t="str">
        <f t="shared" si="9"/>
        <v>91=6.54</v>
      </c>
      <c r="O95" s="61"/>
    </row>
    <row r="96" spans="11:15" x14ac:dyDescent="0.25">
      <c r="K96" s="11"/>
      <c r="L96" s="11">
        <v>91</v>
      </c>
      <c r="M96" s="11">
        <f t="shared" si="8"/>
        <v>6.54</v>
      </c>
      <c r="N96" s="35" t="str">
        <f t="shared" si="9"/>
        <v>92=2.18</v>
      </c>
      <c r="O96" s="61"/>
    </row>
    <row r="97" spans="11:15" x14ac:dyDescent="0.25">
      <c r="K97" s="11"/>
      <c r="L97" s="11">
        <v>92</v>
      </c>
      <c r="M97" s="11">
        <f t="shared" si="8"/>
        <v>2.1800000000000002</v>
      </c>
      <c r="N97" s="35" t="str">
        <f t="shared" si="9"/>
        <v>93=2.18</v>
      </c>
      <c r="O97" s="61"/>
    </row>
    <row r="98" spans="11:15" x14ac:dyDescent="0.25">
      <c r="K98" s="11"/>
      <c r="L98" s="11">
        <v>93</v>
      </c>
      <c r="M98" s="11">
        <f t="shared" si="8"/>
        <v>2.1800000000000002</v>
      </c>
      <c r="N98" s="35" t="str">
        <f t="shared" si="9"/>
        <v>94=0</v>
      </c>
      <c r="O98" s="61"/>
    </row>
    <row r="99" spans="11:15" x14ac:dyDescent="0.25">
      <c r="K99" s="11"/>
      <c r="L99" s="11">
        <v>94</v>
      </c>
      <c r="M99" s="11">
        <f t="shared" si="8"/>
        <v>0</v>
      </c>
      <c r="N99" s="35" t="str">
        <f t="shared" si="9"/>
        <v>95=0</v>
      </c>
      <c r="O99" s="61"/>
    </row>
    <row r="100" spans="11:15" x14ac:dyDescent="0.25">
      <c r="K100" s="11"/>
      <c r="L100" s="11">
        <v>95</v>
      </c>
      <c r="M100" s="11">
        <f t="shared" si="8"/>
        <v>0</v>
      </c>
      <c r="N100" s="35" t="str">
        <f t="shared" si="9"/>
        <v>96=0</v>
      </c>
      <c r="O100" s="61"/>
    </row>
    <row r="101" spans="11:15" x14ac:dyDescent="0.25">
      <c r="K101" s="11"/>
      <c r="L101" s="11">
        <v>96</v>
      </c>
      <c r="M101" s="11">
        <f t="shared" ref="M101:M124" si="10">G5</f>
        <v>0</v>
      </c>
      <c r="N101" s="35" t="str">
        <f t="shared" si="9"/>
        <v>97=0</v>
      </c>
      <c r="O101" s="61"/>
    </row>
    <row r="102" spans="11:15" x14ac:dyDescent="0.25">
      <c r="K102" s="11"/>
      <c r="L102" s="11">
        <v>97</v>
      </c>
      <c r="M102" s="11">
        <f t="shared" si="10"/>
        <v>0</v>
      </c>
      <c r="N102" s="35" t="str">
        <f t="shared" si="9"/>
        <v>98=0</v>
      </c>
      <c r="O102" s="61"/>
    </row>
    <row r="103" spans="11:15" x14ac:dyDescent="0.25">
      <c r="K103" s="11"/>
      <c r="L103" s="11">
        <v>98</v>
      </c>
      <c r="M103" s="11">
        <f t="shared" si="10"/>
        <v>0</v>
      </c>
      <c r="N103" s="35" t="str">
        <f t="shared" si="9"/>
        <v>99=0</v>
      </c>
      <c r="O103" s="61"/>
    </row>
    <row r="104" spans="11:15" x14ac:dyDescent="0.25">
      <c r="K104" s="11"/>
      <c r="L104" s="11">
        <v>99</v>
      </c>
      <c r="M104" s="11">
        <f t="shared" si="10"/>
        <v>0</v>
      </c>
      <c r="N104" s="35" t="str">
        <f t="shared" si="9"/>
        <v>100=2.18</v>
      </c>
      <c r="O104" s="61"/>
    </row>
    <row r="105" spans="11:15" x14ac:dyDescent="0.25">
      <c r="K105" s="11"/>
      <c r="L105" s="11">
        <v>100</v>
      </c>
      <c r="M105" s="11">
        <f t="shared" si="10"/>
        <v>2.1800000000000002</v>
      </c>
      <c r="N105" s="35" t="str">
        <f t="shared" si="9"/>
        <v>101=13.08</v>
      </c>
      <c r="O105" s="61"/>
    </row>
    <row r="106" spans="11:15" x14ac:dyDescent="0.25">
      <c r="K106" s="11"/>
      <c r="L106" s="11">
        <v>101</v>
      </c>
      <c r="M106" s="11">
        <f t="shared" si="10"/>
        <v>13.08</v>
      </c>
      <c r="N106" s="35" t="str">
        <f t="shared" si="9"/>
        <v>102=21.81</v>
      </c>
      <c r="O106" s="61"/>
    </row>
    <row r="107" spans="11:15" x14ac:dyDescent="0.25">
      <c r="K107" s="11"/>
      <c r="L107" s="11">
        <v>102</v>
      </c>
      <c r="M107" s="11">
        <f t="shared" si="10"/>
        <v>21.81</v>
      </c>
      <c r="N107" s="35" t="str">
        <f t="shared" si="9"/>
        <v>103=13.08</v>
      </c>
      <c r="O107" s="61"/>
    </row>
    <row r="108" spans="11:15" x14ac:dyDescent="0.25">
      <c r="K108" s="11"/>
      <c r="L108" s="11">
        <v>103</v>
      </c>
      <c r="M108" s="11">
        <f t="shared" si="10"/>
        <v>13.08</v>
      </c>
      <c r="N108" s="35" t="str">
        <f t="shared" si="9"/>
        <v>104=2.18</v>
      </c>
      <c r="O108" s="61"/>
    </row>
    <row r="109" spans="11:15" x14ac:dyDescent="0.25">
      <c r="K109" s="11"/>
      <c r="L109" s="11">
        <v>104</v>
      </c>
      <c r="M109" s="11">
        <f t="shared" si="10"/>
        <v>2.1800000000000002</v>
      </c>
      <c r="N109" s="35" t="str">
        <f t="shared" si="9"/>
        <v>105=2.18</v>
      </c>
      <c r="O109" s="61"/>
    </row>
    <row r="110" spans="11:15" x14ac:dyDescent="0.25">
      <c r="K110" s="11"/>
      <c r="L110" s="11">
        <v>105</v>
      </c>
      <c r="M110" s="11">
        <f t="shared" si="10"/>
        <v>2.1800000000000002</v>
      </c>
      <c r="N110" s="35" t="str">
        <f t="shared" si="9"/>
        <v>106=2.18</v>
      </c>
      <c r="O110" s="61"/>
    </row>
    <row r="111" spans="11:15" x14ac:dyDescent="0.25">
      <c r="K111" s="11"/>
      <c r="L111" s="11">
        <v>106</v>
      </c>
      <c r="M111" s="11">
        <f t="shared" si="10"/>
        <v>2.1800000000000002</v>
      </c>
      <c r="N111" s="35" t="str">
        <f t="shared" si="9"/>
        <v>107=2.18</v>
      </c>
      <c r="O111" s="61"/>
    </row>
    <row r="112" spans="11:15" x14ac:dyDescent="0.25">
      <c r="K112" s="11"/>
      <c r="L112" s="11">
        <v>107</v>
      </c>
      <c r="M112" s="11">
        <f t="shared" si="10"/>
        <v>2.1800000000000002</v>
      </c>
      <c r="N112" s="35" t="str">
        <f t="shared" si="9"/>
        <v>108=2.18</v>
      </c>
      <c r="O112" s="61"/>
    </row>
    <row r="113" spans="11:15" x14ac:dyDescent="0.25">
      <c r="K113" s="11"/>
      <c r="L113" s="11">
        <v>108</v>
      </c>
      <c r="M113" s="11">
        <f t="shared" si="10"/>
        <v>2.1800000000000002</v>
      </c>
      <c r="N113" s="35" t="str">
        <f t="shared" si="9"/>
        <v>109=2.18</v>
      </c>
      <c r="O113" s="61"/>
    </row>
    <row r="114" spans="11:15" x14ac:dyDescent="0.25">
      <c r="K114" s="11"/>
      <c r="L114" s="11">
        <v>109</v>
      </c>
      <c r="M114" s="11">
        <f t="shared" si="10"/>
        <v>2.1800000000000002</v>
      </c>
      <c r="N114" s="35" t="str">
        <f t="shared" si="9"/>
        <v>110=2.18</v>
      </c>
      <c r="O114" s="61"/>
    </row>
    <row r="115" spans="11:15" x14ac:dyDescent="0.25">
      <c r="K115" s="11"/>
      <c r="L115" s="11">
        <v>110</v>
      </c>
      <c r="M115" s="11">
        <f t="shared" si="10"/>
        <v>2.1800000000000002</v>
      </c>
      <c r="N115" s="35" t="str">
        <f t="shared" si="9"/>
        <v>111=2.18</v>
      </c>
      <c r="O115" s="61"/>
    </row>
    <row r="116" spans="11:15" x14ac:dyDescent="0.25">
      <c r="K116" s="11"/>
      <c r="L116" s="11">
        <v>111</v>
      </c>
      <c r="M116" s="11">
        <f t="shared" si="10"/>
        <v>2.1800000000000002</v>
      </c>
      <c r="N116" s="35" t="str">
        <f t="shared" si="9"/>
        <v>112=2.18</v>
      </c>
      <c r="O116" s="61"/>
    </row>
    <row r="117" spans="11:15" x14ac:dyDescent="0.25">
      <c r="K117" s="11"/>
      <c r="L117" s="11">
        <v>112</v>
      </c>
      <c r="M117" s="11">
        <f t="shared" si="10"/>
        <v>2.1800000000000002</v>
      </c>
      <c r="N117" s="35" t="str">
        <f t="shared" si="9"/>
        <v>113=2.18</v>
      </c>
      <c r="O117" s="61"/>
    </row>
    <row r="118" spans="11:15" x14ac:dyDescent="0.25">
      <c r="K118" s="11"/>
      <c r="L118" s="11">
        <v>113</v>
      </c>
      <c r="M118" s="11">
        <f t="shared" si="10"/>
        <v>2.1800000000000002</v>
      </c>
      <c r="N118" s="35" t="str">
        <f t="shared" si="9"/>
        <v>114=6.54</v>
      </c>
      <c r="O118" s="61"/>
    </row>
    <row r="119" spans="11:15" x14ac:dyDescent="0.25">
      <c r="K119" s="11"/>
      <c r="L119" s="11">
        <v>114</v>
      </c>
      <c r="M119" s="11">
        <f t="shared" si="10"/>
        <v>6.54</v>
      </c>
      <c r="N119" s="35" t="str">
        <f t="shared" si="9"/>
        <v>115=6.54</v>
      </c>
      <c r="O119" s="61"/>
    </row>
    <row r="120" spans="11:15" x14ac:dyDescent="0.25">
      <c r="K120" s="11"/>
      <c r="L120" s="11">
        <v>115</v>
      </c>
      <c r="M120" s="11">
        <f t="shared" si="10"/>
        <v>6.54</v>
      </c>
      <c r="N120" s="35" t="str">
        <f t="shared" si="9"/>
        <v>116=2.18</v>
      </c>
      <c r="O120" s="61"/>
    </row>
    <row r="121" spans="11:15" x14ac:dyDescent="0.25">
      <c r="K121" s="11"/>
      <c r="L121" s="11">
        <v>116</v>
      </c>
      <c r="M121" s="11">
        <f t="shared" si="10"/>
        <v>2.1800000000000002</v>
      </c>
      <c r="N121" s="35" t="str">
        <f t="shared" si="9"/>
        <v>117=2.18</v>
      </c>
      <c r="O121" s="61"/>
    </row>
    <row r="122" spans="11:15" x14ac:dyDescent="0.25">
      <c r="K122" s="11"/>
      <c r="L122" s="11">
        <v>117</v>
      </c>
      <c r="M122" s="11">
        <f t="shared" si="10"/>
        <v>2.1800000000000002</v>
      </c>
      <c r="N122" s="35" t="str">
        <f t="shared" si="9"/>
        <v>118=0</v>
      </c>
      <c r="O122" s="61"/>
    </row>
    <row r="123" spans="11:15" x14ac:dyDescent="0.25">
      <c r="K123" s="11"/>
      <c r="L123" s="11">
        <v>118</v>
      </c>
      <c r="M123" s="11">
        <f t="shared" si="10"/>
        <v>0</v>
      </c>
      <c r="N123" s="35" t="str">
        <f t="shared" ref="N123:N154" si="11">CONCATENATE(L124,"=",M124)</f>
        <v>119=0</v>
      </c>
      <c r="O123" s="61"/>
    </row>
    <row r="124" spans="11:15" x14ac:dyDescent="0.25">
      <c r="K124" s="11"/>
      <c r="L124" s="11">
        <v>119</v>
      </c>
      <c r="M124" s="11">
        <f t="shared" si="10"/>
        <v>0</v>
      </c>
      <c r="N124" s="35" t="str">
        <f t="shared" si="11"/>
        <v>120=0</v>
      </c>
      <c r="O124" s="61"/>
    </row>
    <row r="125" spans="11:15" x14ac:dyDescent="0.25">
      <c r="K125" s="11"/>
      <c r="L125" s="11">
        <v>120</v>
      </c>
      <c r="M125" s="11">
        <f t="shared" ref="M125:M148" si="12">H5</f>
        <v>0</v>
      </c>
      <c r="N125" s="35" t="str">
        <f t="shared" si="11"/>
        <v>121=0</v>
      </c>
      <c r="O125" s="61"/>
    </row>
    <row r="126" spans="11:15" x14ac:dyDescent="0.25">
      <c r="K126" s="11"/>
      <c r="L126" s="11">
        <v>121</v>
      </c>
      <c r="M126" s="11">
        <f t="shared" si="12"/>
        <v>0</v>
      </c>
      <c r="N126" s="35" t="str">
        <f t="shared" si="11"/>
        <v>122=0</v>
      </c>
      <c r="O126" s="61"/>
    </row>
    <row r="127" spans="11:15" x14ac:dyDescent="0.25">
      <c r="K127" s="11"/>
      <c r="L127" s="11">
        <v>122</v>
      </c>
      <c r="M127" s="11">
        <f t="shared" si="12"/>
        <v>0</v>
      </c>
      <c r="N127" s="35" t="str">
        <f t="shared" si="11"/>
        <v>123=0</v>
      </c>
      <c r="O127" s="61"/>
    </row>
    <row r="128" spans="11:15" x14ac:dyDescent="0.25">
      <c r="K128" s="11"/>
      <c r="L128" s="11">
        <v>123</v>
      </c>
      <c r="M128" s="11">
        <f t="shared" si="12"/>
        <v>0</v>
      </c>
      <c r="N128" s="35" t="str">
        <f t="shared" si="11"/>
        <v>124=4.36</v>
      </c>
      <c r="O128" s="61"/>
    </row>
    <row r="129" spans="11:15" x14ac:dyDescent="0.25">
      <c r="K129" s="11"/>
      <c r="L129" s="11">
        <v>124</v>
      </c>
      <c r="M129" s="11">
        <f t="shared" si="12"/>
        <v>4.3600000000000003</v>
      </c>
      <c r="N129" s="35" t="str">
        <f t="shared" si="11"/>
        <v>125=19.63</v>
      </c>
      <c r="O129" s="61"/>
    </row>
    <row r="130" spans="11:15" x14ac:dyDescent="0.25">
      <c r="K130" s="11"/>
      <c r="L130" s="11">
        <v>125</v>
      </c>
      <c r="M130" s="11">
        <f t="shared" si="12"/>
        <v>19.63</v>
      </c>
      <c r="N130" s="35" t="str">
        <f t="shared" si="11"/>
        <v>126=32.71</v>
      </c>
      <c r="O130" s="61"/>
    </row>
    <row r="131" spans="11:15" x14ac:dyDescent="0.25">
      <c r="K131" s="11"/>
      <c r="L131" s="11">
        <v>126</v>
      </c>
      <c r="M131" s="11">
        <f t="shared" si="12"/>
        <v>32.71</v>
      </c>
      <c r="N131" s="35" t="str">
        <f t="shared" si="11"/>
        <v>127=19.63</v>
      </c>
      <c r="O131" s="61"/>
    </row>
    <row r="132" spans="11:15" x14ac:dyDescent="0.25">
      <c r="K132" s="11"/>
      <c r="L132" s="11">
        <v>127</v>
      </c>
      <c r="M132" s="11">
        <f t="shared" si="12"/>
        <v>19.63</v>
      </c>
      <c r="N132" s="35" t="str">
        <f t="shared" si="11"/>
        <v>128=2.18</v>
      </c>
      <c r="O132" s="61"/>
    </row>
    <row r="133" spans="11:15" x14ac:dyDescent="0.25">
      <c r="K133" s="11"/>
      <c r="L133" s="11">
        <v>128</v>
      </c>
      <c r="M133" s="11">
        <f t="shared" si="12"/>
        <v>2.1800000000000002</v>
      </c>
      <c r="N133" s="35" t="str">
        <f t="shared" si="11"/>
        <v>129=2.18</v>
      </c>
      <c r="O133" s="61"/>
    </row>
    <row r="134" spans="11:15" x14ac:dyDescent="0.25">
      <c r="K134" s="11"/>
      <c r="L134" s="11">
        <v>129</v>
      </c>
      <c r="M134" s="11">
        <f t="shared" si="12"/>
        <v>2.1800000000000002</v>
      </c>
      <c r="N134" s="35" t="str">
        <f t="shared" si="11"/>
        <v>130=2.18</v>
      </c>
      <c r="O134" s="61"/>
    </row>
    <row r="135" spans="11:15" x14ac:dyDescent="0.25">
      <c r="K135" s="11"/>
      <c r="L135" s="11">
        <v>130</v>
      </c>
      <c r="M135" s="11">
        <f t="shared" si="12"/>
        <v>2.1800000000000002</v>
      </c>
      <c r="N135" s="35" t="str">
        <f t="shared" si="11"/>
        <v>131=2.18</v>
      </c>
      <c r="O135" s="61"/>
    </row>
    <row r="136" spans="11:15" x14ac:dyDescent="0.25">
      <c r="K136" s="11"/>
      <c r="L136" s="11">
        <v>131</v>
      </c>
      <c r="M136" s="11">
        <f t="shared" si="12"/>
        <v>2.1800000000000002</v>
      </c>
      <c r="N136" s="35" t="str">
        <f t="shared" si="11"/>
        <v>132=2.18</v>
      </c>
      <c r="O136" s="61"/>
    </row>
    <row r="137" spans="11:15" x14ac:dyDescent="0.25">
      <c r="K137" s="11"/>
      <c r="L137" s="11">
        <v>132</v>
      </c>
      <c r="M137" s="11">
        <f t="shared" si="12"/>
        <v>2.1800000000000002</v>
      </c>
      <c r="N137" s="35" t="str">
        <f t="shared" si="11"/>
        <v>133=2.18</v>
      </c>
      <c r="O137" s="61"/>
    </row>
    <row r="138" spans="11:15" x14ac:dyDescent="0.25">
      <c r="K138" s="11"/>
      <c r="L138" s="11">
        <v>133</v>
      </c>
      <c r="M138" s="11">
        <f t="shared" si="12"/>
        <v>2.1800000000000002</v>
      </c>
      <c r="N138" s="35" t="str">
        <f t="shared" si="11"/>
        <v>134=2.18</v>
      </c>
      <c r="O138" s="61"/>
    </row>
    <row r="139" spans="11:15" x14ac:dyDescent="0.25">
      <c r="K139" s="11"/>
      <c r="L139" s="11">
        <v>134</v>
      </c>
      <c r="M139" s="11">
        <f t="shared" si="12"/>
        <v>2.1800000000000002</v>
      </c>
      <c r="N139" s="35" t="str">
        <f t="shared" si="11"/>
        <v>135=2.18</v>
      </c>
      <c r="O139" s="61"/>
    </row>
    <row r="140" spans="11:15" x14ac:dyDescent="0.25">
      <c r="K140" s="11"/>
      <c r="L140" s="11">
        <v>135</v>
      </c>
      <c r="M140" s="11">
        <f t="shared" si="12"/>
        <v>2.1800000000000002</v>
      </c>
      <c r="N140" s="35" t="str">
        <f t="shared" si="11"/>
        <v>136=2.18</v>
      </c>
      <c r="O140" s="61"/>
    </row>
    <row r="141" spans="11:15" x14ac:dyDescent="0.25">
      <c r="K141" s="11"/>
      <c r="L141" s="11">
        <v>136</v>
      </c>
      <c r="M141" s="11">
        <f t="shared" si="12"/>
        <v>2.1800000000000002</v>
      </c>
      <c r="N141" s="35" t="str">
        <f t="shared" si="11"/>
        <v>137=4.36</v>
      </c>
      <c r="O141" s="61"/>
    </row>
    <row r="142" spans="11:15" x14ac:dyDescent="0.25">
      <c r="K142" s="11"/>
      <c r="L142" s="11">
        <v>137</v>
      </c>
      <c r="M142" s="11">
        <f t="shared" si="12"/>
        <v>4.3600000000000003</v>
      </c>
      <c r="N142" s="35" t="str">
        <f t="shared" si="11"/>
        <v>138=10.9</v>
      </c>
      <c r="O142" s="61"/>
    </row>
    <row r="143" spans="11:15" x14ac:dyDescent="0.25">
      <c r="K143" s="11"/>
      <c r="L143" s="11">
        <v>138</v>
      </c>
      <c r="M143" s="11">
        <f t="shared" si="12"/>
        <v>10.9</v>
      </c>
      <c r="N143" s="35" t="str">
        <f t="shared" si="11"/>
        <v>139=10.9</v>
      </c>
      <c r="O143" s="61"/>
    </row>
    <row r="144" spans="11:15" x14ac:dyDescent="0.25">
      <c r="K144" s="11"/>
      <c r="L144" s="11">
        <v>139</v>
      </c>
      <c r="M144" s="11">
        <f t="shared" si="12"/>
        <v>10.9</v>
      </c>
      <c r="N144" s="35" t="str">
        <f t="shared" si="11"/>
        <v>140=2.18</v>
      </c>
      <c r="O144" s="61"/>
    </row>
    <row r="145" spans="11:15" x14ac:dyDescent="0.25">
      <c r="K145" s="11"/>
      <c r="L145" s="11">
        <v>140</v>
      </c>
      <c r="M145" s="11">
        <f t="shared" si="12"/>
        <v>2.1800000000000002</v>
      </c>
      <c r="N145" s="35" t="str">
        <f t="shared" si="11"/>
        <v>141=2.18</v>
      </c>
      <c r="O145" s="61"/>
    </row>
    <row r="146" spans="11:15" x14ac:dyDescent="0.25">
      <c r="K146" s="11"/>
      <c r="L146" s="11">
        <v>141</v>
      </c>
      <c r="M146" s="11">
        <f t="shared" si="12"/>
        <v>2.1800000000000002</v>
      </c>
      <c r="N146" s="35" t="str">
        <f t="shared" si="11"/>
        <v>142=0</v>
      </c>
      <c r="O146" s="61"/>
    </row>
    <row r="147" spans="11:15" x14ac:dyDescent="0.25">
      <c r="K147" s="11"/>
      <c r="L147" s="11">
        <v>142</v>
      </c>
      <c r="M147" s="11">
        <f t="shared" si="12"/>
        <v>0</v>
      </c>
      <c r="N147" s="35" t="str">
        <f t="shared" si="11"/>
        <v>143=0</v>
      </c>
      <c r="O147" s="61"/>
    </row>
    <row r="148" spans="11:15" x14ac:dyDescent="0.25">
      <c r="K148" s="11"/>
      <c r="L148" s="11">
        <v>143</v>
      </c>
      <c r="M148" s="11">
        <f t="shared" si="12"/>
        <v>0</v>
      </c>
      <c r="N148" s="35" t="str">
        <f t="shared" si="11"/>
        <v>144=0</v>
      </c>
      <c r="O148" s="61"/>
    </row>
    <row r="149" spans="11:15" x14ac:dyDescent="0.25">
      <c r="K149" s="11"/>
      <c r="L149" s="11">
        <v>144</v>
      </c>
      <c r="M149" s="11">
        <f t="shared" ref="M149:M171" si="13">I5</f>
        <v>0</v>
      </c>
      <c r="N149" s="35" t="str">
        <f t="shared" si="11"/>
        <v>145=0</v>
      </c>
      <c r="O149" s="61"/>
    </row>
    <row r="150" spans="11:15" x14ac:dyDescent="0.25">
      <c r="K150" s="11"/>
      <c r="L150" s="11">
        <v>145</v>
      </c>
      <c r="M150" s="11">
        <f t="shared" si="13"/>
        <v>0</v>
      </c>
      <c r="N150" s="35" t="str">
        <f t="shared" si="11"/>
        <v>146=0</v>
      </c>
      <c r="O150" s="61"/>
    </row>
    <row r="151" spans="11:15" x14ac:dyDescent="0.25">
      <c r="K151" s="11"/>
      <c r="L151" s="11">
        <v>146</v>
      </c>
      <c r="M151" s="11">
        <f t="shared" si="13"/>
        <v>0</v>
      </c>
      <c r="N151" s="35" t="str">
        <f t="shared" si="11"/>
        <v>147=0</v>
      </c>
      <c r="O151" s="61"/>
    </row>
    <row r="152" spans="11:15" x14ac:dyDescent="0.25">
      <c r="K152" s="11"/>
      <c r="L152" s="11">
        <v>147</v>
      </c>
      <c r="M152" s="11">
        <f t="shared" si="13"/>
        <v>0</v>
      </c>
      <c r="N152" s="35" t="str">
        <f t="shared" si="11"/>
        <v>148=4.36</v>
      </c>
      <c r="O152" s="61"/>
    </row>
    <row r="153" spans="11:15" x14ac:dyDescent="0.25">
      <c r="K153" s="11"/>
      <c r="L153" s="11">
        <v>148</v>
      </c>
      <c r="M153" s="11">
        <f t="shared" si="13"/>
        <v>4.3600000000000003</v>
      </c>
      <c r="N153" s="35" t="str">
        <f t="shared" si="11"/>
        <v>149=19.63</v>
      </c>
      <c r="O153" s="61"/>
    </row>
    <row r="154" spans="11:15" x14ac:dyDescent="0.25">
      <c r="K154" s="11"/>
      <c r="L154" s="11">
        <v>149</v>
      </c>
      <c r="M154" s="11">
        <f t="shared" si="13"/>
        <v>19.63</v>
      </c>
      <c r="N154" s="35" t="str">
        <f t="shared" si="11"/>
        <v>150=32.71</v>
      </c>
      <c r="O154" s="61"/>
    </row>
    <row r="155" spans="11:15" x14ac:dyDescent="0.25">
      <c r="K155" s="11"/>
      <c r="L155" s="11">
        <v>150</v>
      </c>
      <c r="M155" s="11">
        <f t="shared" si="13"/>
        <v>32.71</v>
      </c>
      <c r="N155" s="35" t="str">
        <f t="shared" ref="N155:N170" si="14">CONCATENATE(L156,"=",M156)</f>
        <v>151=19.63</v>
      </c>
      <c r="O155" s="61"/>
    </row>
    <row r="156" spans="11:15" x14ac:dyDescent="0.25">
      <c r="K156" s="11"/>
      <c r="L156" s="11">
        <v>151</v>
      </c>
      <c r="M156" s="11">
        <f t="shared" si="13"/>
        <v>19.63</v>
      </c>
      <c r="N156" s="35" t="str">
        <f t="shared" si="14"/>
        <v>152=2.18</v>
      </c>
      <c r="O156" s="61"/>
    </row>
    <row r="157" spans="11:15" x14ac:dyDescent="0.25">
      <c r="K157" s="11"/>
      <c r="L157" s="11">
        <v>152</v>
      </c>
      <c r="M157" s="11">
        <f t="shared" si="13"/>
        <v>2.1800000000000002</v>
      </c>
      <c r="N157" s="35" t="str">
        <f t="shared" si="14"/>
        <v>153=2.18</v>
      </c>
      <c r="O157" s="61"/>
    </row>
    <row r="158" spans="11:15" x14ac:dyDescent="0.25">
      <c r="K158" s="11"/>
      <c r="L158" s="11">
        <v>153</v>
      </c>
      <c r="M158" s="11">
        <f t="shared" si="13"/>
        <v>2.1800000000000002</v>
      </c>
      <c r="N158" s="35" t="str">
        <f t="shared" si="14"/>
        <v>154=2.18</v>
      </c>
      <c r="O158" s="61"/>
    </row>
    <row r="159" spans="11:15" x14ac:dyDescent="0.25">
      <c r="K159" s="11"/>
      <c r="L159" s="11">
        <v>154</v>
      </c>
      <c r="M159" s="11">
        <f t="shared" si="13"/>
        <v>2.1800000000000002</v>
      </c>
      <c r="N159" s="35" t="str">
        <f t="shared" si="14"/>
        <v>155=2.18</v>
      </c>
      <c r="O159" s="61"/>
    </row>
    <row r="160" spans="11:15" x14ac:dyDescent="0.25">
      <c r="K160" s="11"/>
      <c r="L160" s="11">
        <v>155</v>
      </c>
      <c r="M160" s="11">
        <f t="shared" si="13"/>
        <v>2.1800000000000002</v>
      </c>
      <c r="N160" s="35" t="str">
        <f t="shared" si="14"/>
        <v>156=2.18</v>
      </c>
      <c r="O160" s="61"/>
    </row>
    <row r="161" spans="11:15" x14ac:dyDescent="0.25">
      <c r="K161" s="11"/>
      <c r="L161" s="11">
        <v>156</v>
      </c>
      <c r="M161" s="11">
        <f t="shared" si="13"/>
        <v>2.1800000000000002</v>
      </c>
      <c r="N161" s="35" t="str">
        <f t="shared" si="14"/>
        <v>157=2.18</v>
      </c>
      <c r="O161" s="61"/>
    </row>
    <row r="162" spans="11:15" x14ac:dyDescent="0.25">
      <c r="K162" s="11"/>
      <c r="L162" s="11">
        <v>157</v>
      </c>
      <c r="M162" s="11">
        <f t="shared" si="13"/>
        <v>2.1800000000000002</v>
      </c>
      <c r="N162" s="35" t="str">
        <f t="shared" si="14"/>
        <v>158=2.18</v>
      </c>
      <c r="O162" s="61"/>
    </row>
    <row r="163" spans="11:15" x14ac:dyDescent="0.25">
      <c r="K163" s="11"/>
      <c r="L163" s="11">
        <v>158</v>
      </c>
      <c r="M163" s="11">
        <f t="shared" si="13"/>
        <v>2.1800000000000002</v>
      </c>
      <c r="N163" s="35" t="str">
        <f t="shared" si="14"/>
        <v>159=2.18</v>
      </c>
      <c r="O163" s="61"/>
    </row>
    <row r="164" spans="11:15" x14ac:dyDescent="0.25">
      <c r="K164" s="11"/>
      <c r="L164" s="11">
        <v>159</v>
      </c>
      <c r="M164" s="11">
        <f t="shared" si="13"/>
        <v>2.1800000000000002</v>
      </c>
      <c r="N164" s="35" t="str">
        <f t="shared" si="14"/>
        <v>160=2.18</v>
      </c>
      <c r="O164" s="61"/>
    </row>
    <row r="165" spans="11:15" x14ac:dyDescent="0.25">
      <c r="K165" s="11"/>
      <c r="L165" s="11">
        <v>160</v>
      </c>
      <c r="M165" s="11">
        <f t="shared" si="13"/>
        <v>2.1800000000000002</v>
      </c>
      <c r="N165" s="35" t="str">
        <f t="shared" si="14"/>
        <v>161=4.36</v>
      </c>
      <c r="O165" s="61"/>
    </row>
    <row r="166" spans="11:15" x14ac:dyDescent="0.25">
      <c r="K166" s="11"/>
      <c r="L166" s="11">
        <v>161</v>
      </c>
      <c r="M166" s="11">
        <f t="shared" si="13"/>
        <v>4.3600000000000003</v>
      </c>
      <c r="N166" s="35" t="str">
        <f t="shared" si="14"/>
        <v>162=10.9</v>
      </c>
      <c r="O166" s="61"/>
    </row>
    <row r="167" spans="11:15" x14ac:dyDescent="0.25">
      <c r="K167" s="11"/>
      <c r="L167" s="11">
        <v>162</v>
      </c>
      <c r="M167" s="11">
        <f t="shared" si="13"/>
        <v>10.9</v>
      </c>
      <c r="N167" s="35" t="str">
        <f t="shared" si="14"/>
        <v>163=10.9</v>
      </c>
      <c r="O167" s="61"/>
    </row>
    <row r="168" spans="11:15" x14ac:dyDescent="0.25">
      <c r="K168" s="11"/>
      <c r="L168" s="11">
        <v>163</v>
      </c>
      <c r="M168" s="11">
        <f t="shared" si="13"/>
        <v>10.9</v>
      </c>
      <c r="N168" s="35" t="str">
        <f t="shared" si="14"/>
        <v>164=2.18</v>
      </c>
      <c r="O168" s="61"/>
    </row>
    <row r="169" spans="11:15" x14ac:dyDescent="0.25">
      <c r="K169" s="11"/>
      <c r="L169" s="11">
        <v>164</v>
      </c>
      <c r="M169" s="11">
        <f t="shared" si="13"/>
        <v>2.1800000000000002</v>
      </c>
      <c r="N169" s="35" t="str">
        <f t="shared" si="14"/>
        <v>165=2.18</v>
      </c>
      <c r="O169" s="61"/>
    </row>
    <row r="170" spans="11:15" x14ac:dyDescent="0.25">
      <c r="K170" s="11"/>
      <c r="L170" s="11">
        <v>165</v>
      </c>
      <c r="M170" s="11">
        <f t="shared" si="13"/>
        <v>2.1800000000000002</v>
      </c>
      <c r="N170" s="35" t="str">
        <f t="shared" si="14"/>
        <v>166=0</v>
      </c>
      <c r="O170" s="61"/>
    </row>
    <row r="171" spans="11:15" ht="15.75" thickBot="1" x14ac:dyDescent="0.3">
      <c r="K171" s="11"/>
      <c r="L171" s="11">
        <v>166</v>
      </c>
      <c r="M171" s="11">
        <f t="shared" si="13"/>
        <v>0</v>
      </c>
      <c r="N171" s="36" t="str">
        <f>CONCATENATE(L173,"=",M173)</f>
        <v>167=0</v>
      </c>
      <c r="O171" s="62"/>
    </row>
    <row r="173" spans="11:15" x14ac:dyDescent="0.25">
      <c r="L173" s="1">
        <v>167</v>
      </c>
      <c r="M173" s="1">
        <f>I28</f>
        <v>0</v>
      </c>
    </row>
  </sheetData>
  <sheetProtection algorithmName="SHA-512" hashValue="y4l4Wjj7BnttwJKTQPE16jALTRCZ3Cjq6KKlnNoKaBYeaZPiz2o7Ee3KS662TPktL00t/GbhHVDPNkn+g1kGGw==" saltValue="FOP9TlqZcvHVU7HvVv/Kdw==" spinCount="100000" sheet="1" objects="1" scenarios="1"/>
  <mergeCells count="5">
    <mergeCell ref="C3:J3"/>
    <mergeCell ref="B3:B4"/>
    <mergeCell ref="B2:J2"/>
    <mergeCell ref="O3:O171"/>
    <mergeCell ref="B31:J37"/>
  </mergeCells>
  <pageMargins left="0.7" right="0.7" top="0.78740157499999996" bottom="0.78740157499999996" header="0.3" footer="0.3"/>
  <pageSetup paperSize="9" orientation="portrait" r:id="rId1"/>
  <ignoredErrors>
    <ignoredError sqref="J5:J28"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B2:G15"/>
  <sheetViews>
    <sheetView workbookViewId="0">
      <selection activeCell="C6" sqref="C6"/>
    </sheetView>
  </sheetViews>
  <sheetFormatPr baseColWidth="10" defaultRowHeight="15" x14ac:dyDescent="0.25"/>
  <cols>
    <col min="1" max="2" width="11.42578125" style="1"/>
    <col min="3" max="3" width="24.85546875" style="1" bestFit="1" customWidth="1"/>
    <col min="4" max="4" width="11.42578125" style="1"/>
    <col min="5" max="5" width="0" style="1" hidden="1" customWidth="1"/>
    <col min="6" max="16384" width="11.42578125" style="1"/>
  </cols>
  <sheetData>
    <row r="2" spans="2:7" ht="15.75" thickBot="1" x14ac:dyDescent="0.3">
      <c r="B2" s="96" t="s">
        <v>170</v>
      </c>
      <c r="C2" s="96"/>
      <c r="D2" s="11"/>
      <c r="E2" s="11"/>
      <c r="F2" s="11"/>
      <c r="G2" s="11"/>
    </row>
    <row r="3" spans="2:7" x14ac:dyDescent="0.25">
      <c r="B3" s="6" t="s">
        <v>88</v>
      </c>
      <c r="C3" s="6" t="s">
        <v>89</v>
      </c>
      <c r="D3" s="11"/>
      <c r="E3" s="11"/>
      <c r="F3" s="34" t="s">
        <v>172</v>
      </c>
      <c r="G3" s="60"/>
    </row>
    <row r="4" spans="2:7" x14ac:dyDescent="0.25">
      <c r="B4" s="5" t="s">
        <v>76</v>
      </c>
      <c r="C4" s="29">
        <v>100</v>
      </c>
      <c r="D4" s="11"/>
      <c r="E4" s="11" t="s">
        <v>90</v>
      </c>
      <c r="F4" s="35" t="str">
        <f t="shared" ref="F4:F15" si="0">E4&amp;"="&amp;C4</f>
        <v>Scroll1=100</v>
      </c>
      <c r="G4" s="61"/>
    </row>
    <row r="5" spans="2:7" x14ac:dyDescent="0.25">
      <c r="B5" s="5" t="s">
        <v>77</v>
      </c>
      <c r="C5" s="29">
        <v>100</v>
      </c>
      <c r="D5" s="11"/>
      <c r="E5" s="11" t="s">
        <v>91</v>
      </c>
      <c r="F5" s="35" t="str">
        <f t="shared" si="0"/>
        <v>Scroll2=100</v>
      </c>
      <c r="G5" s="61"/>
    </row>
    <row r="6" spans="2:7" x14ac:dyDescent="0.25">
      <c r="B6" s="5" t="s">
        <v>78</v>
      </c>
      <c r="C6" s="29">
        <v>100</v>
      </c>
      <c r="D6" s="11"/>
      <c r="E6" s="11" t="s">
        <v>92</v>
      </c>
      <c r="F6" s="35" t="str">
        <f t="shared" si="0"/>
        <v>Scroll3=100</v>
      </c>
      <c r="G6" s="61"/>
    </row>
    <row r="7" spans="2:7" x14ac:dyDescent="0.25">
      <c r="B7" s="5" t="s">
        <v>79</v>
      </c>
      <c r="C7" s="29">
        <v>100</v>
      </c>
      <c r="D7" s="11"/>
      <c r="E7" s="11" t="s">
        <v>93</v>
      </c>
      <c r="F7" s="35" t="str">
        <f t="shared" si="0"/>
        <v>Scroll4=100</v>
      </c>
      <c r="G7" s="61"/>
    </row>
    <row r="8" spans="2:7" x14ac:dyDescent="0.25">
      <c r="B8" s="5" t="s">
        <v>80</v>
      </c>
      <c r="C8" s="29">
        <v>100</v>
      </c>
      <c r="D8" s="11"/>
      <c r="E8" s="11" t="s">
        <v>94</v>
      </c>
      <c r="F8" s="35" t="str">
        <f t="shared" si="0"/>
        <v>Scroll5=100</v>
      </c>
      <c r="G8" s="61"/>
    </row>
    <row r="9" spans="2:7" x14ac:dyDescent="0.25">
      <c r="B9" s="5" t="s">
        <v>81</v>
      </c>
      <c r="C9" s="29">
        <v>100</v>
      </c>
      <c r="D9" s="11"/>
      <c r="E9" s="11" t="s">
        <v>95</v>
      </c>
      <c r="F9" s="35" t="str">
        <f t="shared" si="0"/>
        <v>Scroll6=100</v>
      </c>
      <c r="G9" s="61"/>
    </row>
    <row r="10" spans="2:7" x14ac:dyDescent="0.25">
      <c r="B10" s="5" t="s">
        <v>82</v>
      </c>
      <c r="C10" s="29">
        <v>100</v>
      </c>
      <c r="D10" s="11"/>
      <c r="E10" s="11" t="s">
        <v>96</v>
      </c>
      <c r="F10" s="35" t="str">
        <f t="shared" si="0"/>
        <v>Scroll7=100</v>
      </c>
      <c r="G10" s="61"/>
    </row>
    <row r="11" spans="2:7" x14ac:dyDescent="0.25">
      <c r="B11" s="5" t="s">
        <v>83</v>
      </c>
      <c r="C11" s="29">
        <v>100</v>
      </c>
      <c r="D11" s="11"/>
      <c r="E11" s="11" t="s">
        <v>97</v>
      </c>
      <c r="F11" s="35" t="str">
        <f t="shared" si="0"/>
        <v>Scroll8=100</v>
      </c>
      <c r="G11" s="61"/>
    </row>
    <row r="12" spans="2:7" x14ac:dyDescent="0.25">
      <c r="B12" s="5" t="s">
        <v>84</v>
      </c>
      <c r="C12" s="29">
        <v>100</v>
      </c>
      <c r="D12" s="11"/>
      <c r="E12" s="11" t="s">
        <v>98</v>
      </c>
      <c r="F12" s="35" t="str">
        <f t="shared" si="0"/>
        <v>Scroll9=100</v>
      </c>
      <c r="G12" s="61"/>
    </row>
    <row r="13" spans="2:7" x14ac:dyDescent="0.25">
      <c r="B13" s="5" t="s">
        <v>85</v>
      </c>
      <c r="C13" s="29">
        <v>100</v>
      </c>
      <c r="D13" s="11"/>
      <c r="E13" s="11" t="s">
        <v>99</v>
      </c>
      <c r="F13" s="35" t="str">
        <f t="shared" si="0"/>
        <v>Scroll10=100</v>
      </c>
      <c r="G13" s="61"/>
    </row>
    <row r="14" spans="2:7" x14ac:dyDescent="0.25">
      <c r="B14" s="5" t="s">
        <v>86</v>
      </c>
      <c r="C14" s="29">
        <v>100</v>
      </c>
      <c r="D14" s="11"/>
      <c r="E14" s="11" t="s">
        <v>100</v>
      </c>
      <c r="F14" s="35" t="str">
        <f t="shared" si="0"/>
        <v>Scroll11=100</v>
      </c>
      <c r="G14" s="61"/>
    </row>
    <row r="15" spans="2:7" ht="15.75" thickBot="1" x14ac:dyDescent="0.3">
      <c r="B15" s="5" t="s">
        <v>87</v>
      </c>
      <c r="C15" s="29">
        <v>100</v>
      </c>
      <c r="D15" s="11"/>
      <c r="E15" s="11" t="s">
        <v>101</v>
      </c>
      <c r="F15" s="36" t="str">
        <f t="shared" si="0"/>
        <v>Scroll12=100</v>
      </c>
      <c r="G15" s="62"/>
    </row>
  </sheetData>
  <sheetProtection algorithmName="SHA-512" hashValue="ZZiKD55txlkuhnTeMqlQe0VuBLwpMBs2ZjJM5x8Othgp8s6UuEsMaIX7BXFHafL0IIEndRlHptGrCA5E/z2/Mw==" saltValue="iazzsm2UAXmXKxZMupS4pQ==" spinCount="100000" sheet="1" objects="1" scenarios="1"/>
  <mergeCells count="2">
    <mergeCell ref="B2:C2"/>
    <mergeCell ref="G3:G15"/>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B2:H32"/>
  <sheetViews>
    <sheetView workbookViewId="0">
      <selection activeCell="C15" sqref="C15"/>
    </sheetView>
  </sheetViews>
  <sheetFormatPr baseColWidth="10" defaultRowHeight="15" x14ac:dyDescent="0.25"/>
  <cols>
    <col min="1" max="1" width="11.42578125" style="1"/>
    <col min="2" max="2" width="26.42578125" style="1" bestFit="1" customWidth="1"/>
    <col min="3" max="3" width="11.42578125" style="1"/>
    <col min="4" max="4" width="41.85546875" style="1" customWidth="1"/>
    <col min="5" max="5" width="11.28515625" style="1" customWidth="1"/>
    <col min="6" max="6" width="0" style="1" hidden="1" customWidth="1"/>
    <col min="7" max="7" width="13" style="1" customWidth="1"/>
    <col min="8" max="16384" width="11.42578125" style="1"/>
  </cols>
  <sheetData>
    <row r="2" spans="2:8" ht="15.75" thickBot="1" x14ac:dyDescent="0.3">
      <c r="B2" s="96" t="s">
        <v>169</v>
      </c>
      <c r="C2" s="96"/>
      <c r="D2" s="96"/>
    </row>
    <row r="3" spans="2:8" x14ac:dyDescent="0.25">
      <c r="B3" s="66" t="s">
        <v>117</v>
      </c>
      <c r="C3" s="66"/>
      <c r="D3" s="66"/>
      <c r="G3" s="34" t="s">
        <v>141</v>
      </c>
      <c r="H3" s="60"/>
    </row>
    <row r="4" spans="2:8" x14ac:dyDescent="0.25">
      <c r="B4" s="12" t="s">
        <v>105</v>
      </c>
      <c r="C4" s="29">
        <v>480</v>
      </c>
      <c r="D4" s="12" t="s">
        <v>115</v>
      </c>
      <c r="F4" s="1" t="s">
        <v>110</v>
      </c>
      <c r="G4" s="35" t="str">
        <f>F4&amp;"="&amp;C4</f>
        <v>mean=480</v>
      </c>
      <c r="H4" s="61"/>
    </row>
    <row r="5" spans="2:8" x14ac:dyDescent="0.25">
      <c r="B5" s="12" t="s">
        <v>106</v>
      </c>
      <c r="C5" s="29">
        <v>1</v>
      </c>
      <c r="D5" s="12" t="s">
        <v>116</v>
      </c>
      <c r="F5" s="1" t="s">
        <v>111</v>
      </c>
      <c r="G5" s="35" t="str">
        <f t="shared" ref="G5:G32" si="0">F5&amp;"="&amp;C5</f>
        <v>dur=1</v>
      </c>
      <c r="H5" s="61"/>
    </row>
    <row r="6" spans="2:8" x14ac:dyDescent="0.25">
      <c r="B6" s="12" t="s">
        <v>107</v>
      </c>
      <c r="C6" s="29">
        <v>120</v>
      </c>
      <c r="D6" s="12" t="s">
        <v>115</v>
      </c>
      <c r="F6" s="1" t="s">
        <v>112</v>
      </c>
      <c r="G6" s="35" t="str">
        <f t="shared" si="0"/>
        <v>sigma=120</v>
      </c>
      <c r="H6" s="61"/>
    </row>
    <row r="7" spans="2:8" x14ac:dyDescent="0.25">
      <c r="B7" s="12" t="s">
        <v>108</v>
      </c>
      <c r="C7" s="29">
        <v>6</v>
      </c>
      <c r="D7" s="12" t="s">
        <v>115</v>
      </c>
      <c r="F7" s="1" t="s">
        <v>113</v>
      </c>
      <c r="G7" s="35" t="str">
        <f t="shared" si="0"/>
        <v>min=6</v>
      </c>
      <c r="H7" s="61"/>
    </row>
    <row r="8" spans="2:8" x14ac:dyDescent="0.25">
      <c r="B8" s="12" t="s">
        <v>109</v>
      </c>
      <c r="C8" s="29">
        <v>1200</v>
      </c>
      <c r="D8" s="12" t="s">
        <v>115</v>
      </c>
      <c r="F8" s="1" t="s">
        <v>114</v>
      </c>
      <c r="G8" s="35" t="str">
        <f t="shared" si="0"/>
        <v>max=1200</v>
      </c>
      <c r="H8" s="61"/>
    </row>
    <row r="9" spans="2:8" x14ac:dyDescent="0.25">
      <c r="B9" s="70"/>
      <c r="C9" s="71"/>
      <c r="D9" s="97"/>
      <c r="G9" s="35"/>
      <c r="H9" s="61"/>
    </row>
    <row r="10" spans="2:8" x14ac:dyDescent="0.25">
      <c r="B10" s="66" t="s">
        <v>118</v>
      </c>
      <c r="C10" s="66"/>
      <c r="D10" s="66"/>
      <c r="G10" s="35" t="s">
        <v>142</v>
      </c>
      <c r="H10" s="61"/>
    </row>
    <row r="11" spans="2:8" x14ac:dyDescent="0.25">
      <c r="B11" s="26" t="s">
        <v>108</v>
      </c>
      <c r="C11" s="29">
        <v>1</v>
      </c>
      <c r="D11" s="12" t="s">
        <v>115</v>
      </c>
      <c r="F11" s="1" t="s">
        <v>113</v>
      </c>
      <c r="G11" s="35" t="str">
        <f t="shared" si="0"/>
        <v>min=1</v>
      </c>
      <c r="H11" s="61"/>
    </row>
    <row r="12" spans="2:8" x14ac:dyDescent="0.25">
      <c r="B12" s="26" t="s">
        <v>109</v>
      </c>
      <c r="C12" s="29">
        <v>1200</v>
      </c>
      <c r="D12" s="12" t="s">
        <v>115</v>
      </c>
      <c r="F12" s="1" t="s">
        <v>114</v>
      </c>
      <c r="G12" s="35" t="str">
        <f t="shared" si="0"/>
        <v>max=1200</v>
      </c>
      <c r="H12" s="61"/>
    </row>
    <row r="13" spans="2:8" x14ac:dyDescent="0.25">
      <c r="B13" s="66" t="s">
        <v>119</v>
      </c>
      <c r="C13" s="66"/>
      <c r="D13" s="66"/>
      <c r="G13" s="35"/>
      <c r="H13" s="61"/>
    </row>
    <row r="14" spans="2:8" x14ac:dyDescent="0.25">
      <c r="B14" s="12" t="s">
        <v>105</v>
      </c>
      <c r="C14" s="29">
        <v>60</v>
      </c>
      <c r="D14" s="12" t="s">
        <v>115</v>
      </c>
      <c r="F14" s="1" t="s">
        <v>125</v>
      </c>
      <c r="G14" s="35" t="str">
        <f t="shared" si="0"/>
        <v>mean1=60</v>
      </c>
      <c r="H14" s="61"/>
    </row>
    <row r="15" spans="2:8" x14ac:dyDescent="0.25">
      <c r="B15" s="12" t="s">
        <v>106</v>
      </c>
      <c r="C15" s="29">
        <v>1</v>
      </c>
      <c r="D15" s="12" t="s">
        <v>116</v>
      </c>
      <c r="F15" s="1" t="s">
        <v>126</v>
      </c>
      <c r="G15" s="35" t="str">
        <f t="shared" si="0"/>
        <v>dur1=1</v>
      </c>
      <c r="H15" s="61"/>
    </row>
    <row r="16" spans="2:8" x14ac:dyDescent="0.25">
      <c r="B16" s="12" t="s">
        <v>120</v>
      </c>
      <c r="C16" s="29">
        <v>14</v>
      </c>
      <c r="D16" s="12" t="s">
        <v>124</v>
      </c>
      <c r="F16" s="1" t="s">
        <v>127</v>
      </c>
      <c r="G16" s="35" t="str">
        <f t="shared" si="0"/>
        <v>portion1=14</v>
      </c>
      <c r="H16" s="61"/>
    </row>
    <row r="17" spans="2:8" x14ac:dyDescent="0.25">
      <c r="B17" s="12" t="s">
        <v>107</v>
      </c>
      <c r="C17" s="29">
        <v>120</v>
      </c>
      <c r="D17" s="12" t="s">
        <v>115</v>
      </c>
      <c r="F17" s="1" t="s">
        <v>128</v>
      </c>
      <c r="G17" s="35" t="str">
        <f t="shared" si="0"/>
        <v>sigma1=120</v>
      </c>
      <c r="H17" s="61"/>
    </row>
    <row r="18" spans="2:8" x14ac:dyDescent="0.25">
      <c r="B18" s="66" t="s">
        <v>121</v>
      </c>
      <c r="C18" s="66"/>
      <c r="D18" s="66"/>
      <c r="G18" s="35"/>
      <c r="H18" s="61"/>
    </row>
    <row r="19" spans="2:8" x14ac:dyDescent="0.25">
      <c r="B19" s="12" t="s">
        <v>105</v>
      </c>
      <c r="C19" s="29">
        <v>360</v>
      </c>
      <c r="D19" s="12" t="s">
        <v>115</v>
      </c>
      <c r="F19" s="1" t="s">
        <v>129</v>
      </c>
      <c r="G19" s="35" t="str">
        <f t="shared" si="0"/>
        <v>mean2=360</v>
      </c>
      <c r="H19" s="61"/>
    </row>
    <row r="20" spans="2:8" x14ac:dyDescent="0.25">
      <c r="B20" s="12" t="s">
        <v>106</v>
      </c>
      <c r="C20" s="29">
        <v>1</v>
      </c>
      <c r="D20" s="12" t="s">
        <v>116</v>
      </c>
      <c r="F20" s="1" t="s">
        <v>130</v>
      </c>
      <c r="G20" s="35" t="str">
        <f t="shared" si="0"/>
        <v>dur2=1</v>
      </c>
      <c r="H20" s="61"/>
    </row>
    <row r="21" spans="2:8" x14ac:dyDescent="0.25">
      <c r="B21" s="12" t="s">
        <v>120</v>
      </c>
      <c r="C21" s="29">
        <v>36</v>
      </c>
      <c r="D21" s="12" t="s">
        <v>124</v>
      </c>
      <c r="F21" s="1" t="s">
        <v>131</v>
      </c>
      <c r="G21" s="35" t="str">
        <f t="shared" si="0"/>
        <v>portion2=36</v>
      </c>
      <c r="H21" s="61"/>
    </row>
    <row r="22" spans="2:8" x14ac:dyDescent="0.25">
      <c r="B22" s="12" t="s">
        <v>107</v>
      </c>
      <c r="C22" s="29">
        <v>120</v>
      </c>
      <c r="D22" s="12" t="s">
        <v>115</v>
      </c>
      <c r="F22" s="1" t="s">
        <v>132</v>
      </c>
      <c r="G22" s="35" t="str">
        <f t="shared" si="0"/>
        <v>sigma2=120</v>
      </c>
      <c r="H22" s="61"/>
    </row>
    <row r="23" spans="2:8" x14ac:dyDescent="0.25">
      <c r="B23" s="66" t="s">
        <v>123</v>
      </c>
      <c r="C23" s="66"/>
      <c r="D23" s="66"/>
      <c r="G23" s="35"/>
      <c r="H23" s="61"/>
    </row>
    <row r="24" spans="2:8" x14ac:dyDescent="0.25">
      <c r="B24" s="12" t="s">
        <v>105</v>
      </c>
      <c r="C24" s="29">
        <v>840</v>
      </c>
      <c r="D24" s="12" t="s">
        <v>115</v>
      </c>
      <c r="F24" s="1" t="s">
        <v>133</v>
      </c>
      <c r="G24" s="35" t="str">
        <f t="shared" si="0"/>
        <v>mean3=840</v>
      </c>
      <c r="H24" s="61"/>
    </row>
    <row r="25" spans="2:8" x14ac:dyDescent="0.25">
      <c r="B25" s="12" t="s">
        <v>106</v>
      </c>
      <c r="C25" s="29">
        <v>10</v>
      </c>
      <c r="D25" s="12" t="s">
        <v>116</v>
      </c>
      <c r="F25" s="1" t="s">
        <v>134</v>
      </c>
      <c r="G25" s="35" t="str">
        <f t="shared" si="0"/>
        <v>dur3=10</v>
      </c>
      <c r="H25" s="61"/>
    </row>
    <row r="26" spans="2:8" x14ac:dyDescent="0.25">
      <c r="B26" s="12" t="s">
        <v>120</v>
      </c>
      <c r="C26" s="29">
        <v>10</v>
      </c>
      <c r="D26" s="12" t="s">
        <v>124</v>
      </c>
      <c r="F26" s="1" t="s">
        <v>135</v>
      </c>
      <c r="G26" s="35" t="str">
        <f t="shared" si="0"/>
        <v>portion3=10</v>
      </c>
      <c r="H26" s="61"/>
    </row>
    <row r="27" spans="2:8" x14ac:dyDescent="0.25">
      <c r="B27" s="12" t="s">
        <v>107</v>
      </c>
      <c r="C27" s="29">
        <v>12</v>
      </c>
      <c r="D27" s="12" t="s">
        <v>115</v>
      </c>
      <c r="F27" s="1" t="s">
        <v>136</v>
      </c>
      <c r="G27" s="35" t="str">
        <f t="shared" si="0"/>
        <v>sigma3=12</v>
      </c>
      <c r="H27" s="61"/>
    </row>
    <row r="28" spans="2:8" x14ac:dyDescent="0.25">
      <c r="B28" s="66" t="s">
        <v>122</v>
      </c>
      <c r="C28" s="66"/>
      <c r="D28" s="66"/>
      <c r="G28" s="35"/>
      <c r="H28" s="61"/>
    </row>
    <row r="29" spans="2:8" x14ac:dyDescent="0.25">
      <c r="B29" s="12" t="s">
        <v>105</v>
      </c>
      <c r="C29" s="29">
        <v>480</v>
      </c>
      <c r="D29" s="12" t="s">
        <v>115</v>
      </c>
      <c r="F29" s="1" t="s">
        <v>137</v>
      </c>
      <c r="G29" s="35" t="str">
        <f t="shared" si="0"/>
        <v>mean4=480</v>
      </c>
      <c r="H29" s="61"/>
    </row>
    <row r="30" spans="2:8" x14ac:dyDescent="0.25">
      <c r="B30" s="12" t="s">
        <v>106</v>
      </c>
      <c r="C30" s="29">
        <v>5</v>
      </c>
      <c r="D30" s="12" t="s">
        <v>116</v>
      </c>
      <c r="F30" s="1" t="s">
        <v>138</v>
      </c>
      <c r="G30" s="35" t="str">
        <f t="shared" si="0"/>
        <v>dur4=5</v>
      </c>
      <c r="H30" s="61"/>
    </row>
    <row r="31" spans="2:8" x14ac:dyDescent="0.25">
      <c r="B31" s="12" t="s">
        <v>120</v>
      </c>
      <c r="C31" s="29">
        <v>40</v>
      </c>
      <c r="D31" s="12" t="s">
        <v>124</v>
      </c>
      <c r="F31" s="1" t="s">
        <v>139</v>
      </c>
      <c r="G31" s="35" t="str">
        <f t="shared" si="0"/>
        <v>portion4=40</v>
      </c>
      <c r="H31" s="61"/>
    </row>
    <row r="32" spans="2:8" ht="15.75" thickBot="1" x14ac:dyDescent="0.3">
      <c r="B32" s="12" t="s">
        <v>107</v>
      </c>
      <c r="C32" s="29">
        <v>24</v>
      </c>
      <c r="D32" s="12" t="s">
        <v>115</v>
      </c>
      <c r="F32" s="1" t="s">
        <v>140</v>
      </c>
      <c r="G32" s="36" t="str">
        <f t="shared" si="0"/>
        <v>sigma4=24</v>
      </c>
      <c r="H32" s="62"/>
    </row>
  </sheetData>
  <sheetProtection algorithmName="SHA-512" hashValue="r17GhanBmNjQuIhjLhG4SOXacVutWEQOi4nCHCFfdRR+R3wBuSoI8EEfZ7ZdqfxgXE7GkDCeOazTXPwdVurDLg==" saltValue="W0WCF6a0Ac+fpY4/iSfFeA==" spinCount="100000" sheet="1" objects="1" scenarios="1"/>
  <mergeCells count="9">
    <mergeCell ref="H3:H32"/>
    <mergeCell ref="B10:D10"/>
    <mergeCell ref="B3:D3"/>
    <mergeCell ref="B2:D2"/>
    <mergeCell ref="B13:D13"/>
    <mergeCell ref="B18:D18"/>
    <mergeCell ref="B23:D23"/>
    <mergeCell ref="B28:D28"/>
    <mergeCell ref="B9:D9"/>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B2:I15"/>
  <sheetViews>
    <sheetView workbookViewId="0">
      <selection activeCell="I22" sqref="I22"/>
    </sheetView>
  </sheetViews>
  <sheetFormatPr baseColWidth="10" defaultRowHeight="15" x14ac:dyDescent="0.25"/>
  <cols>
    <col min="1" max="1" width="11.42578125" style="1"/>
    <col min="2" max="2" width="21.7109375" style="1" bestFit="1" customWidth="1"/>
    <col min="3" max="3" width="11.42578125" style="1"/>
    <col min="4" max="4" width="56" style="1" bestFit="1" customWidth="1"/>
    <col min="5" max="5" width="11" style="1" customWidth="1"/>
    <col min="6" max="6" width="11.28515625" style="1" hidden="1" customWidth="1"/>
    <col min="7" max="7" width="5.7109375" style="1" hidden="1" customWidth="1"/>
    <col min="8" max="8" width="15.5703125" style="1" customWidth="1"/>
    <col min="9" max="16384" width="11.42578125" style="1"/>
  </cols>
  <sheetData>
    <row r="2" spans="2:9" ht="15.75" thickBot="1" x14ac:dyDescent="0.3">
      <c r="B2" s="72" t="s">
        <v>168</v>
      </c>
      <c r="C2" s="72"/>
      <c r="D2" s="72"/>
    </row>
    <row r="3" spans="2:9" x14ac:dyDescent="0.25">
      <c r="B3" s="12" t="s">
        <v>154</v>
      </c>
      <c r="C3" s="29">
        <v>1</v>
      </c>
      <c r="D3" s="12" t="s">
        <v>155</v>
      </c>
      <c r="H3" s="34" t="s">
        <v>173</v>
      </c>
      <c r="I3" s="60"/>
    </row>
    <row r="4" spans="2:9" x14ac:dyDescent="0.25">
      <c r="B4" s="66" t="s">
        <v>270</v>
      </c>
      <c r="C4" s="66"/>
      <c r="D4" s="66"/>
      <c r="F4" s="1" t="s">
        <v>156</v>
      </c>
      <c r="G4" s="1">
        <f>IF(C3=1,1,0)</f>
        <v>1</v>
      </c>
      <c r="H4" s="35" t="str">
        <f>F4&amp;G4</f>
        <v>MeanVol=1</v>
      </c>
      <c r="I4" s="61"/>
    </row>
    <row r="5" spans="2:9" x14ac:dyDescent="0.25">
      <c r="B5" s="12" t="s">
        <v>144</v>
      </c>
      <c r="C5" s="29">
        <v>195</v>
      </c>
      <c r="D5" s="12" t="s">
        <v>153</v>
      </c>
      <c r="F5" s="1" t="s">
        <v>157</v>
      </c>
      <c r="G5" s="1">
        <f>C5</f>
        <v>195</v>
      </c>
      <c r="H5" s="35" t="str">
        <f>F7&amp;G5</f>
        <v>VolMin=195</v>
      </c>
      <c r="I5" s="61"/>
    </row>
    <row r="6" spans="2:9" x14ac:dyDescent="0.25">
      <c r="B6" s="12" t="s">
        <v>145</v>
      </c>
      <c r="C6" s="29">
        <v>205</v>
      </c>
      <c r="D6" s="12" t="s">
        <v>153</v>
      </c>
      <c r="F6" s="1" t="s">
        <v>158</v>
      </c>
      <c r="G6" s="1">
        <f>C6</f>
        <v>205</v>
      </c>
      <c r="H6" s="35" t="str">
        <f>F8&amp;G6</f>
        <v>VolMax=205</v>
      </c>
      <c r="I6" s="61"/>
    </row>
    <row r="7" spans="2:9" x14ac:dyDescent="0.25">
      <c r="B7" s="12" t="s">
        <v>146</v>
      </c>
      <c r="C7" s="29">
        <v>2</v>
      </c>
      <c r="D7" s="12" t="s">
        <v>153</v>
      </c>
      <c r="F7" s="1" t="s">
        <v>159</v>
      </c>
      <c r="G7" s="1">
        <f>C7</f>
        <v>2</v>
      </c>
      <c r="H7" s="35" t="str">
        <f>F9&amp;G7</f>
        <v>VolStep=2</v>
      </c>
      <c r="I7" s="61"/>
    </row>
    <row r="8" spans="2:9" x14ac:dyDescent="0.25">
      <c r="B8" s="66" t="s">
        <v>271</v>
      </c>
      <c r="C8" s="66"/>
      <c r="D8" s="66"/>
      <c r="F8" s="1" t="s">
        <v>160</v>
      </c>
      <c r="G8" s="1">
        <f>IF(C3=2,1,0)</f>
        <v>0</v>
      </c>
      <c r="H8" s="35" t="str">
        <f>F5&amp;G8</f>
        <v>MaxFlow=0</v>
      </c>
      <c r="I8" s="61"/>
    </row>
    <row r="9" spans="2:9" x14ac:dyDescent="0.25">
      <c r="B9" s="12" t="s">
        <v>149</v>
      </c>
      <c r="C9" s="29">
        <v>1000</v>
      </c>
      <c r="D9" s="12" t="s">
        <v>115</v>
      </c>
      <c r="F9" s="1" t="s">
        <v>161</v>
      </c>
      <c r="G9" s="1">
        <f>C9</f>
        <v>1000</v>
      </c>
      <c r="H9" s="35" t="str">
        <f>F10&amp;G9</f>
        <v>MaxFirst=1000</v>
      </c>
      <c r="I9" s="61"/>
    </row>
    <row r="10" spans="2:9" x14ac:dyDescent="0.25">
      <c r="B10" s="12" t="s">
        <v>150</v>
      </c>
      <c r="C10" s="29">
        <v>1400</v>
      </c>
      <c r="D10" s="12" t="s">
        <v>115</v>
      </c>
      <c r="F10" s="1" t="s">
        <v>162</v>
      </c>
      <c r="G10" s="1">
        <f>C10</f>
        <v>1400</v>
      </c>
      <c r="H10" s="35" t="str">
        <f>F11&amp;G10</f>
        <v>MaxLast=1400</v>
      </c>
      <c r="I10" s="61"/>
    </row>
    <row r="11" spans="2:9" x14ac:dyDescent="0.25">
      <c r="B11" s="12" t="s">
        <v>151</v>
      </c>
      <c r="C11" s="29">
        <v>100</v>
      </c>
      <c r="D11" s="12" t="s">
        <v>115</v>
      </c>
      <c r="F11" s="1" t="s">
        <v>163</v>
      </c>
      <c r="G11" s="1">
        <f>C11</f>
        <v>100</v>
      </c>
      <c r="H11" s="35" t="str">
        <f>F12&amp;G11</f>
        <v>MaxStep=100</v>
      </c>
      <c r="I11" s="61"/>
    </row>
    <row r="12" spans="2:9" x14ac:dyDescent="0.25">
      <c r="B12" s="66" t="s">
        <v>272</v>
      </c>
      <c r="C12" s="66"/>
      <c r="D12" s="66"/>
      <c r="F12" s="1" t="s">
        <v>164</v>
      </c>
      <c r="G12" s="1">
        <f>IF(C3=3,1,0)</f>
        <v>0</v>
      </c>
      <c r="H12" s="35" t="str">
        <f>F6&amp;G12</f>
        <v>MeanFlow=0</v>
      </c>
      <c r="I12" s="61"/>
    </row>
    <row r="13" spans="2:9" x14ac:dyDescent="0.25">
      <c r="B13" s="12" t="s">
        <v>147</v>
      </c>
      <c r="C13" s="29">
        <v>300</v>
      </c>
      <c r="D13" s="12" t="s">
        <v>115</v>
      </c>
      <c r="F13" s="1" t="s">
        <v>165</v>
      </c>
      <c r="G13" s="1">
        <f>C13</f>
        <v>300</v>
      </c>
      <c r="H13" s="35" t="str">
        <f t="shared" ref="H13:H15" si="0">F13&amp;G13</f>
        <v>FlowMin=300</v>
      </c>
      <c r="I13" s="61"/>
    </row>
    <row r="14" spans="2:9" x14ac:dyDescent="0.25">
      <c r="B14" s="12" t="s">
        <v>148</v>
      </c>
      <c r="C14" s="29">
        <v>500</v>
      </c>
      <c r="D14" s="12" t="s">
        <v>115</v>
      </c>
      <c r="F14" s="1" t="s">
        <v>166</v>
      </c>
      <c r="G14" s="1">
        <f t="shared" ref="G14:G15" si="1">C14</f>
        <v>500</v>
      </c>
      <c r="H14" s="35" t="str">
        <f t="shared" si="0"/>
        <v>FlowMax=500</v>
      </c>
      <c r="I14" s="61"/>
    </row>
    <row r="15" spans="2:9" ht="15.75" thickBot="1" x14ac:dyDescent="0.3">
      <c r="B15" s="12" t="s">
        <v>152</v>
      </c>
      <c r="C15" s="29">
        <v>50</v>
      </c>
      <c r="D15" s="12" t="s">
        <v>115</v>
      </c>
      <c r="F15" s="1" t="s">
        <v>167</v>
      </c>
      <c r="G15" s="1">
        <f t="shared" si="1"/>
        <v>50</v>
      </c>
      <c r="H15" s="36" t="str">
        <f t="shared" si="0"/>
        <v>FlowStep=50</v>
      </c>
      <c r="I15" s="62"/>
    </row>
  </sheetData>
  <sheetProtection algorithmName="SHA-512" hashValue="c34LbyFTwSikcoATZRoSzQNjWowJCheaui9Xf9ym6ONcvT1FRrh89xu2PGyCd1tBq2FcyV5lHLFFtarV/RWmJg==" saltValue="m6za7cqmDKX2KaiQ6VtUZw==" spinCount="100000" sheet="1" objects="1" scenarios="1"/>
  <mergeCells count="5">
    <mergeCell ref="B2:D2"/>
    <mergeCell ref="B4:D4"/>
    <mergeCell ref="B8:D8"/>
    <mergeCell ref="B12:D12"/>
    <mergeCell ref="I3:I15"/>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D1:F385"/>
  <sheetViews>
    <sheetView workbookViewId="0">
      <selection activeCell="D11" sqref="D11"/>
    </sheetView>
  </sheetViews>
  <sheetFormatPr baseColWidth="10" defaultRowHeight="15" x14ac:dyDescent="0.25"/>
  <cols>
    <col min="1" max="3" width="11.42578125" style="11"/>
    <col min="4" max="4" width="31.85546875" style="11" customWidth="1"/>
    <col min="5" max="16384" width="11.42578125" style="11"/>
  </cols>
  <sheetData>
    <row r="1" spans="4:6" ht="15.75" thickBot="1" x14ac:dyDescent="0.3"/>
    <row r="2" spans="4:6" x14ac:dyDescent="0.25">
      <c r="D2" s="34" t="str">
        <f>Main!H2</f>
        <v>[Main]</v>
      </c>
      <c r="E2" s="60"/>
    </row>
    <row r="3" spans="4:6" x14ac:dyDescent="0.25">
      <c r="D3" s="35" t="str">
        <f>Main!H3</f>
        <v>SingleMulti=0</v>
      </c>
      <c r="E3" s="61"/>
      <c r="F3" s="11" t="s">
        <v>354</v>
      </c>
    </row>
    <row r="4" spans="4:6" x14ac:dyDescent="0.25">
      <c r="D4" s="35" t="str">
        <f>Main!H4</f>
        <v>NoHH=1</v>
      </c>
      <c r="E4" s="61"/>
    </row>
    <row r="5" spans="4:6" x14ac:dyDescent="0.25">
      <c r="D5" s="35" t="str">
        <f>Main!H5</f>
        <v>BoxCateg=0</v>
      </c>
      <c r="E5" s="61"/>
    </row>
    <row r="6" spans="4:6" x14ac:dyDescent="0.25">
      <c r="D6" s="35" t="str">
        <f>Main!H6</f>
        <v>StepBox=0</v>
      </c>
      <c r="E6" s="61"/>
    </row>
    <row r="7" spans="4:6" x14ac:dyDescent="0.25">
      <c r="D7" s="35" t="str">
        <f>Main!H7</f>
        <v>StartDay=1</v>
      </c>
      <c r="E7" s="61"/>
    </row>
    <row r="8" spans="4:6" x14ac:dyDescent="0.25">
      <c r="D8" s="35" t="str">
        <f>Main!H8</f>
        <v>NrDays=10</v>
      </c>
      <c r="E8" s="61"/>
    </row>
    <row r="9" spans="4:6" x14ac:dyDescent="0.25">
      <c r="D9" s="35" t="str">
        <f>Main!H9</f>
        <v>Vol=200.0</v>
      </c>
      <c r="E9" s="61"/>
    </row>
    <row r="10" spans="4:6" x14ac:dyDescent="0.25">
      <c r="D10" s="35" t="str">
        <f>Main!H10</f>
        <v>Dls=0</v>
      </c>
      <c r="E10" s="61"/>
    </row>
    <row r="11" spans="4:6" x14ac:dyDescent="0.25">
      <c r="D11" s="35" t="str">
        <f>Main!H11</f>
        <v>FileName=DHW0001</v>
      </c>
      <c r="E11" s="61"/>
    </row>
    <row r="12" spans="4:6" x14ac:dyDescent="0.25">
      <c r="D12" s="35"/>
      <c r="E12" s="61"/>
    </row>
    <row r="13" spans="4:6" x14ac:dyDescent="0.25">
      <c r="D13" s="35" t="str">
        <f>ProbYear!F3</f>
        <v>[Probyear]</v>
      </c>
      <c r="E13" s="61"/>
    </row>
    <row r="14" spans="4:6" x14ac:dyDescent="0.25">
      <c r="D14" s="35" t="str">
        <f>ProbYear!F4</f>
        <v>Scroll1=100</v>
      </c>
      <c r="E14" s="61"/>
    </row>
    <row r="15" spans="4:6" x14ac:dyDescent="0.25">
      <c r="D15" s="35" t="str">
        <f>ProbYear!F5</f>
        <v>Scroll2=100</v>
      </c>
      <c r="E15" s="61"/>
    </row>
    <row r="16" spans="4:6" x14ac:dyDescent="0.25">
      <c r="D16" s="35" t="str">
        <f>ProbYear!F6</f>
        <v>Scroll3=100</v>
      </c>
      <c r="E16" s="61"/>
    </row>
    <row r="17" spans="4:5" x14ac:dyDescent="0.25">
      <c r="D17" s="35" t="str">
        <f>ProbYear!F7</f>
        <v>Scroll4=100</v>
      </c>
      <c r="E17" s="61"/>
    </row>
    <row r="18" spans="4:5" x14ac:dyDescent="0.25">
      <c r="D18" s="35" t="str">
        <f>ProbYear!F8</f>
        <v>Scroll5=100</v>
      </c>
      <c r="E18" s="61"/>
    </row>
    <row r="19" spans="4:5" x14ac:dyDescent="0.25">
      <c r="D19" s="35" t="str">
        <f>ProbYear!F9</f>
        <v>Scroll6=100</v>
      </c>
      <c r="E19" s="61"/>
    </row>
    <row r="20" spans="4:5" x14ac:dyDescent="0.25">
      <c r="D20" s="35" t="str">
        <f>ProbYear!F10</f>
        <v>Scroll7=100</v>
      </c>
      <c r="E20" s="61"/>
    </row>
    <row r="21" spans="4:5" x14ac:dyDescent="0.25">
      <c r="D21" s="35" t="str">
        <f>ProbYear!F11</f>
        <v>Scroll8=100</v>
      </c>
      <c r="E21" s="61"/>
    </row>
    <row r="22" spans="4:5" x14ac:dyDescent="0.25">
      <c r="D22" s="35" t="str">
        <f>ProbYear!F12</f>
        <v>Scroll9=100</v>
      </c>
      <c r="E22" s="61"/>
    </row>
    <row r="23" spans="4:5" x14ac:dyDescent="0.25">
      <c r="D23" s="35" t="str">
        <f>ProbYear!F13</f>
        <v>Scroll10=100</v>
      </c>
      <c r="E23" s="61"/>
    </row>
    <row r="24" spans="4:5" x14ac:dyDescent="0.25">
      <c r="D24" s="35" t="str">
        <f>ProbYear!F14</f>
        <v>Scroll11=100</v>
      </c>
      <c r="E24" s="61"/>
    </row>
    <row r="25" spans="4:5" x14ac:dyDescent="0.25">
      <c r="D25" s="35" t="str">
        <f>ProbYear!F15</f>
        <v>Scroll12=100</v>
      </c>
      <c r="E25" s="61"/>
    </row>
    <row r="26" spans="4:5" x14ac:dyDescent="0.25">
      <c r="D26" s="35"/>
      <c r="E26" s="61"/>
    </row>
    <row r="27" spans="4:5" x14ac:dyDescent="0.25">
      <c r="D27" s="35" t="str">
        <f>Flow!G3</f>
        <v>[Flow1]</v>
      </c>
      <c r="E27" s="61"/>
    </row>
    <row r="28" spans="4:5" x14ac:dyDescent="0.25">
      <c r="D28" s="35" t="str">
        <f>Flow!G4</f>
        <v>mean=480</v>
      </c>
      <c r="E28" s="61"/>
    </row>
    <row r="29" spans="4:5" x14ac:dyDescent="0.25">
      <c r="D29" s="35" t="str">
        <f>Flow!G5</f>
        <v>dur=1</v>
      </c>
      <c r="E29" s="61"/>
    </row>
    <row r="30" spans="4:5" x14ac:dyDescent="0.25">
      <c r="D30" s="35" t="str">
        <f>Flow!G6</f>
        <v>sigma=120</v>
      </c>
      <c r="E30" s="61"/>
    </row>
    <row r="31" spans="4:5" x14ac:dyDescent="0.25">
      <c r="D31" s="35" t="str">
        <f>Flow!G7</f>
        <v>min=6</v>
      </c>
      <c r="E31" s="61"/>
    </row>
    <row r="32" spans="4:5" x14ac:dyDescent="0.25">
      <c r="D32" s="35" t="str">
        <f>Flow!G8</f>
        <v>max=1200</v>
      </c>
      <c r="E32" s="61"/>
    </row>
    <row r="33" spans="4:5" x14ac:dyDescent="0.25">
      <c r="D33" s="35"/>
      <c r="E33" s="61"/>
    </row>
    <row r="34" spans="4:5" x14ac:dyDescent="0.25">
      <c r="D34" s="35" t="str">
        <f>Flow!G10</f>
        <v>[Flow4]</v>
      </c>
      <c r="E34" s="61"/>
    </row>
    <row r="35" spans="4:5" x14ac:dyDescent="0.25">
      <c r="D35" s="35" t="str">
        <f>Flow!G11</f>
        <v>min=1</v>
      </c>
      <c r="E35" s="61"/>
    </row>
    <row r="36" spans="4:5" x14ac:dyDescent="0.25">
      <c r="D36" s="35" t="str">
        <f>Flow!G12</f>
        <v>max=1200</v>
      </c>
      <c r="E36" s="61"/>
    </row>
    <row r="37" spans="4:5" x14ac:dyDescent="0.25">
      <c r="D37" s="35"/>
      <c r="E37" s="61"/>
    </row>
    <row r="38" spans="4:5" x14ac:dyDescent="0.25">
      <c r="D38" s="35" t="str">
        <f>Flow!G14</f>
        <v>mean1=60</v>
      </c>
      <c r="E38" s="61"/>
    </row>
    <row r="39" spans="4:5" x14ac:dyDescent="0.25">
      <c r="D39" s="35" t="str">
        <f>Flow!G15</f>
        <v>dur1=1</v>
      </c>
      <c r="E39" s="61"/>
    </row>
    <row r="40" spans="4:5" x14ac:dyDescent="0.25">
      <c r="D40" s="35" t="str">
        <f>Flow!G16</f>
        <v>portion1=14</v>
      </c>
      <c r="E40" s="61"/>
    </row>
    <row r="41" spans="4:5" x14ac:dyDescent="0.25">
      <c r="D41" s="35" t="str">
        <f>Flow!G17</f>
        <v>sigma1=120</v>
      </c>
      <c r="E41" s="61"/>
    </row>
    <row r="42" spans="4:5" x14ac:dyDescent="0.25">
      <c r="D42" s="35"/>
      <c r="E42" s="61"/>
    </row>
    <row r="43" spans="4:5" x14ac:dyDescent="0.25">
      <c r="D43" s="35" t="str">
        <f>Flow!G19</f>
        <v>mean2=360</v>
      </c>
      <c r="E43" s="61"/>
    </row>
    <row r="44" spans="4:5" x14ac:dyDescent="0.25">
      <c r="D44" s="35" t="str">
        <f>Flow!G20</f>
        <v>dur2=1</v>
      </c>
      <c r="E44" s="61"/>
    </row>
    <row r="45" spans="4:5" x14ac:dyDescent="0.25">
      <c r="D45" s="35" t="str">
        <f>Flow!G21</f>
        <v>portion2=36</v>
      </c>
      <c r="E45" s="61"/>
    </row>
    <row r="46" spans="4:5" x14ac:dyDescent="0.25">
      <c r="D46" s="35" t="str">
        <f>Flow!G22</f>
        <v>sigma2=120</v>
      </c>
      <c r="E46" s="61"/>
    </row>
    <row r="47" spans="4:5" x14ac:dyDescent="0.25">
      <c r="D47" s="35"/>
      <c r="E47" s="61"/>
    </row>
    <row r="48" spans="4:5" x14ac:dyDescent="0.25">
      <c r="D48" s="35" t="str">
        <f>Flow!G24</f>
        <v>mean3=840</v>
      </c>
      <c r="E48" s="61"/>
    </row>
    <row r="49" spans="4:5" x14ac:dyDescent="0.25">
      <c r="D49" s="35" t="str">
        <f>Flow!G25</f>
        <v>dur3=10</v>
      </c>
      <c r="E49" s="61"/>
    </row>
    <row r="50" spans="4:5" x14ac:dyDescent="0.25">
      <c r="D50" s="35" t="str">
        <f>Flow!G26</f>
        <v>portion3=10</v>
      </c>
      <c r="E50" s="61"/>
    </row>
    <row r="51" spans="4:5" x14ac:dyDescent="0.25">
      <c r="D51" s="35" t="str">
        <f>Flow!G27</f>
        <v>sigma3=12</v>
      </c>
      <c r="E51" s="61"/>
    </row>
    <row r="52" spans="4:5" x14ac:dyDescent="0.25">
      <c r="D52" s="35"/>
      <c r="E52" s="61"/>
    </row>
    <row r="53" spans="4:5" x14ac:dyDescent="0.25">
      <c r="D53" s="35" t="str">
        <f>Flow!G29</f>
        <v>mean4=480</v>
      </c>
      <c r="E53" s="61"/>
    </row>
    <row r="54" spans="4:5" x14ac:dyDescent="0.25">
      <c r="D54" s="35" t="str">
        <f>Flow!G30</f>
        <v>dur4=5</v>
      </c>
      <c r="E54" s="61"/>
    </row>
    <row r="55" spans="4:5" x14ac:dyDescent="0.25">
      <c r="D55" s="35" t="str">
        <f>Flow!G31</f>
        <v>portion4=40</v>
      </c>
      <c r="E55" s="61"/>
    </row>
    <row r="56" spans="4:5" x14ac:dyDescent="0.25">
      <c r="D56" s="35" t="str">
        <f>Flow!G32</f>
        <v>sigma4=24</v>
      </c>
      <c r="E56" s="61"/>
    </row>
    <row r="57" spans="4:5" x14ac:dyDescent="0.25">
      <c r="D57" s="35"/>
      <c r="E57" s="61"/>
    </row>
    <row r="58" spans="4:5" x14ac:dyDescent="0.25">
      <c r="D58" s="35" t="str">
        <f>ParVar!H3</f>
        <v>[Par]</v>
      </c>
      <c r="E58" s="61"/>
    </row>
    <row r="59" spans="4:5" x14ac:dyDescent="0.25">
      <c r="D59" s="35" t="str">
        <f>ParVar!H4</f>
        <v>MeanVol=1</v>
      </c>
      <c r="E59" s="61"/>
    </row>
    <row r="60" spans="4:5" x14ac:dyDescent="0.25">
      <c r="D60" s="35" t="str">
        <f>ParVar!H8</f>
        <v>MaxFlow=0</v>
      </c>
      <c r="E60" s="61"/>
    </row>
    <row r="61" spans="4:5" x14ac:dyDescent="0.25">
      <c r="D61" s="35" t="str">
        <f>ParVar!H12</f>
        <v>MeanFlow=0</v>
      </c>
      <c r="E61" s="61"/>
    </row>
    <row r="62" spans="4:5" x14ac:dyDescent="0.25">
      <c r="D62" s="35" t="str">
        <f>ParVar!H5</f>
        <v>VolMin=195</v>
      </c>
      <c r="E62" s="61"/>
    </row>
    <row r="63" spans="4:5" x14ac:dyDescent="0.25">
      <c r="D63" s="35" t="str">
        <f>ParVar!H6</f>
        <v>VolMax=205</v>
      </c>
      <c r="E63" s="61"/>
    </row>
    <row r="64" spans="4:5" x14ac:dyDescent="0.25">
      <c r="D64" s="35" t="str">
        <f>ParVar!H7</f>
        <v>VolStep=2</v>
      </c>
      <c r="E64" s="61"/>
    </row>
    <row r="65" spans="4:5" x14ac:dyDescent="0.25">
      <c r="D65" s="35" t="str">
        <f>ParVar!H9</f>
        <v>MaxFirst=1000</v>
      </c>
      <c r="E65" s="61"/>
    </row>
    <row r="66" spans="4:5" x14ac:dyDescent="0.25">
      <c r="D66" s="35" t="str">
        <f>ParVar!H10</f>
        <v>MaxLast=1400</v>
      </c>
      <c r="E66" s="61"/>
    </row>
    <row r="67" spans="4:5" x14ac:dyDescent="0.25">
      <c r="D67" s="35" t="str">
        <f>ParVar!H11</f>
        <v>MaxStep=100</v>
      </c>
      <c r="E67" s="61"/>
    </row>
    <row r="68" spans="4:5" x14ac:dyDescent="0.25">
      <c r="D68" s="35" t="str">
        <f>ParVar!H13</f>
        <v>FlowMin=300</v>
      </c>
      <c r="E68" s="61"/>
    </row>
    <row r="69" spans="4:5" x14ac:dyDescent="0.25">
      <c r="D69" s="35" t="str">
        <f>ParVar!H14</f>
        <v>FlowMax=500</v>
      </c>
      <c r="E69" s="61"/>
    </row>
    <row r="70" spans="4:5" x14ac:dyDescent="0.25">
      <c r="D70" s="35" t="str">
        <f>ParVar!H15</f>
        <v>FlowStep=50</v>
      </c>
      <c r="E70" s="61"/>
    </row>
    <row r="71" spans="4:5" x14ac:dyDescent="0.25">
      <c r="D71" s="35"/>
      <c r="E71" s="61"/>
    </row>
    <row r="72" spans="4:5" x14ac:dyDescent="0.25">
      <c r="D72" s="35" t="str">
        <f>ProbDay!H3</f>
        <v>[ProbDay]</v>
      </c>
      <c r="E72" s="61"/>
    </row>
    <row r="73" spans="4:5" x14ac:dyDescent="0.25">
      <c r="D73" s="35" t="str">
        <f>ProbDay!H4</f>
        <v>Interval1=12</v>
      </c>
      <c r="E73" s="61"/>
    </row>
    <row r="74" spans="4:5" x14ac:dyDescent="0.25">
      <c r="D74" s="35" t="str">
        <f>ProbDay!H5</f>
        <v>Interval2=14</v>
      </c>
      <c r="E74" s="61"/>
    </row>
    <row r="75" spans="4:5" x14ac:dyDescent="0.25">
      <c r="D75" s="35" t="str">
        <f>ProbDay!H6</f>
        <v>Interval3=23</v>
      </c>
      <c r="E75" s="61"/>
    </row>
    <row r="76" spans="4:5" x14ac:dyDescent="0.25">
      <c r="D76" s="35" t="str">
        <f>ProbDay!H7</f>
        <v>Interval4=25</v>
      </c>
      <c r="E76" s="61"/>
    </row>
    <row r="77" spans="4:5" x14ac:dyDescent="0.25">
      <c r="D77" s="35" t="str">
        <f>ProbDay!H8</f>
        <v>Interval5=35</v>
      </c>
      <c r="E77" s="61"/>
    </row>
    <row r="78" spans="4:5" x14ac:dyDescent="0.25">
      <c r="D78" s="35" t="str">
        <f>ProbDay!H9</f>
        <v>Interval6=43</v>
      </c>
      <c r="E78" s="61"/>
    </row>
    <row r="79" spans="4:5" x14ac:dyDescent="0.25">
      <c r="D79" s="35" t="str">
        <f>ProbDay!H10</f>
        <v>Interval7=13</v>
      </c>
      <c r="E79" s="61"/>
    </row>
    <row r="80" spans="4:5" x14ac:dyDescent="0.25">
      <c r="D80" s="35" t="str">
        <f>ProbDay!H11</f>
        <v>Interval8=17</v>
      </c>
      <c r="E80" s="61"/>
    </row>
    <row r="81" spans="4:5" x14ac:dyDescent="0.25">
      <c r="D81" s="35" t="str">
        <f>ProbDay!H12</f>
        <v>Interval9=29</v>
      </c>
      <c r="E81" s="61"/>
    </row>
    <row r="82" spans="4:5" x14ac:dyDescent="0.25">
      <c r="D82" s="35" t="str">
        <f>ProbDay!H13</f>
        <v>Interval10=33</v>
      </c>
      <c r="E82" s="61"/>
    </row>
    <row r="83" spans="4:5" x14ac:dyDescent="0.25">
      <c r="D83" s="35" t="str">
        <f>ProbDay!H14</f>
        <v>Interval11=39</v>
      </c>
      <c r="E83" s="61"/>
    </row>
    <row r="84" spans="4:5" x14ac:dyDescent="0.25">
      <c r="D84" s="35" t="str">
        <f>ProbDay!H15</f>
        <v>Interval12=45</v>
      </c>
      <c r="E84" s="61"/>
    </row>
    <row r="85" spans="4:5" x14ac:dyDescent="0.25">
      <c r="D85" s="35" t="str">
        <f>ProbDay!H16</f>
        <v>vol1=2</v>
      </c>
      <c r="E85" s="61"/>
    </row>
    <row r="86" spans="4:5" x14ac:dyDescent="0.25">
      <c r="D86" s="35" t="str">
        <f>ProbDay!H17</f>
        <v>vol2=50</v>
      </c>
      <c r="E86" s="61"/>
    </row>
    <row r="87" spans="4:5" x14ac:dyDescent="0.25">
      <c r="D87" s="35" t="str">
        <f>ProbDay!H18</f>
        <v>vol3=6</v>
      </c>
      <c r="E87" s="61"/>
    </row>
    <row r="88" spans="4:5" x14ac:dyDescent="0.25">
      <c r="D88" s="35" t="str">
        <f>ProbDay!H19</f>
        <v>vol4=16</v>
      </c>
      <c r="E88" s="61"/>
    </row>
    <row r="89" spans="4:5" x14ac:dyDescent="0.25">
      <c r="D89" s="35" t="str">
        <f>ProbDay!H20</f>
        <v>vol5=6</v>
      </c>
      <c r="E89" s="61"/>
    </row>
    <row r="90" spans="4:5" x14ac:dyDescent="0.25">
      <c r="D90" s="35" t="str">
        <f>ProbDay!H21</f>
        <v>vol6=20</v>
      </c>
      <c r="E90" s="61"/>
    </row>
    <row r="91" spans="4:5" x14ac:dyDescent="0.25">
      <c r="D91" s="35" t="str">
        <f>ProbDay!H22</f>
        <v>vol7=3</v>
      </c>
      <c r="E91" s="61"/>
    </row>
    <row r="92" spans="4:5" x14ac:dyDescent="0.25">
      <c r="D92" s="35" t="str">
        <f>ProbDay!H23</f>
        <v>vol8=14</v>
      </c>
      <c r="E92" s="61"/>
    </row>
    <row r="93" spans="4:5" x14ac:dyDescent="0.25">
      <c r="D93" s="35" t="str">
        <f>ProbDay!H24</f>
        <v>vol9=20</v>
      </c>
      <c r="E93" s="61"/>
    </row>
    <row r="94" spans="4:5" x14ac:dyDescent="0.25">
      <c r="D94" s="35" t="str">
        <f>ProbDay!H25</f>
        <v>vol10=20</v>
      </c>
      <c r="E94" s="61"/>
    </row>
    <row r="95" spans="4:5" x14ac:dyDescent="0.25">
      <c r="D95" s="35" t="str">
        <f>ProbDay!H26</f>
        <v>vol11=38</v>
      </c>
      <c r="E95" s="61"/>
    </row>
    <row r="96" spans="4:5" x14ac:dyDescent="0.25">
      <c r="D96" s="35" t="str">
        <f>ProbDay!H27</f>
        <v>vol12=5</v>
      </c>
      <c r="E96" s="61"/>
    </row>
    <row r="97" spans="4:5" x14ac:dyDescent="0.25">
      <c r="D97" s="35" t="str">
        <f>ProbDay!H28</f>
        <v>Scroll=0</v>
      </c>
      <c r="E97" s="61"/>
    </row>
    <row r="98" spans="4:5" x14ac:dyDescent="0.25">
      <c r="D98" s="35" t="str">
        <f>ProbDay!H29</f>
        <v>Numb=1</v>
      </c>
      <c r="E98" s="61"/>
    </row>
    <row r="99" spans="4:5" x14ac:dyDescent="0.25">
      <c r="D99" s="35"/>
      <c r="E99" s="61"/>
    </row>
    <row r="100" spans="4:5" x14ac:dyDescent="0.25">
      <c r="D100" s="35" t="str">
        <f>ProbTab!N3</f>
        <v>[ProbTab]</v>
      </c>
      <c r="E100" s="61"/>
    </row>
    <row r="101" spans="4:5" x14ac:dyDescent="0.25">
      <c r="D101" s="35" t="str">
        <f>ProbTab!N4</f>
        <v>0=0</v>
      </c>
      <c r="E101" s="61"/>
    </row>
    <row r="102" spans="4:5" x14ac:dyDescent="0.25">
      <c r="D102" s="35" t="str">
        <f>ProbTab!N5</f>
        <v>1=0</v>
      </c>
      <c r="E102" s="61"/>
    </row>
    <row r="103" spans="4:5" x14ac:dyDescent="0.25">
      <c r="D103" s="35" t="str">
        <f>ProbTab!N6</f>
        <v>2=0</v>
      </c>
      <c r="E103" s="61"/>
    </row>
    <row r="104" spans="4:5" x14ac:dyDescent="0.25">
      <c r="D104" s="35" t="str">
        <f>ProbTab!N7</f>
        <v>3=0</v>
      </c>
      <c r="E104" s="61"/>
    </row>
    <row r="105" spans="4:5" x14ac:dyDescent="0.25">
      <c r="D105" s="35" t="str">
        <f>ProbTab!N8</f>
        <v>4=2.18</v>
      </c>
      <c r="E105" s="61"/>
    </row>
    <row r="106" spans="4:5" x14ac:dyDescent="0.25">
      <c r="D106" s="35" t="str">
        <f>ProbTab!N9</f>
        <v>5=13.08</v>
      </c>
      <c r="E106" s="61"/>
    </row>
    <row r="107" spans="4:5" x14ac:dyDescent="0.25">
      <c r="D107" s="35" t="str">
        <f>ProbTab!N10</f>
        <v>6=21.81</v>
      </c>
      <c r="E107" s="61"/>
    </row>
    <row r="108" spans="4:5" x14ac:dyDescent="0.25">
      <c r="D108" s="35" t="str">
        <f>ProbTab!N11</f>
        <v>7=13.08</v>
      </c>
      <c r="E108" s="61"/>
    </row>
    <row r="109" spans="4:5" x14ac:dyDescent="0.25">
      <c r="D109" s="35" t="str">
        <f>ProbTab!N12</f>
        <v>8=2.18</v>
      </c>
      <c r="E109" s="61"/>
    </row>
    <row r="110" spans="4:5" x14ac:dyDescent="0.25">
      <c r="D110" s="35" t="str">
        <f>ProbTab!N13</f>
        <v>9=2.18</v>
      </c>
      <c r="E110" s="61"/>
    </row>
    <row r="111" spans="4:5" x14ac:dyDescent="0.25">
      <c r="D111" s="35" t="str">
        <f>ProbTab!N14</f>
        <v>10=2.18</v>
      </c>
      <c r="E111" s="61"/>
    </row>
    <row r="112" spans="4:5" x14ac:dyDescent="0.25">
      <c r="D112" s="35" t="str">
        <f>ProbTab!N15</f>
        <v>11=2.18</v>
      </c>
      <c r="E112" s="61"/>
    </row>
    <row r="113" spans="4:5" x14ac:dyDescent="0.25">
      <c r="D113" s="35" t="str">
        <f>ProbTab!N16</f>
        <v>12=2.18</v>
      </c>
      <c r="E113" s="61"/>
    </row>
    <row r="114" spans="4:5" x14ac:dyDescent="0.25">
      <c r="D114" s="35" t="str">
        <f>ProbTab!N17</f>
        <v>13=2.18</v>
      </c>
      <c r="E114" s="61"/>
    </row>
    <row r="115" spans="4:5" x14ac:dyDescent="0.25">
      <c r="D115" s="35" t="str">
        <f>ProbTab!N18</f>
        <v>14=2.18</v>
      </c>
      <c r="E115" s="61"/>
    </row>
    <row r="116" spans="4:5" x14ac:dyDescent="0.25">
      <c r="D116" s="35" t="str">
        <f>ProbTab!N19</f>
        <v>15=2.18</v>
      </c>
      <c r="E116" s="61"/>
    </row>
    <row r="117" spans="4:5" x14ac:dyDescent="0.25">
      <c r="D117" s="35" t="str">
        <f>ProbTab!N20</f>
        <v>16=2.18</v>
      </c>
      <c r="E117" s="61"/>
    </row>
    <row r="118" spans="4:5" x14ac:dyDescent="0.25">
      <c r="D118" s="35" t="str">
        <f>ProbTab!N21</f>
        <v>17=2.18</v>
      </c>
      <c r="E118" s="61"/>
    </row>
    <row r="119" spans="4:5" x14ac:dyDescent="0.25">
      <c r="D119" s="35" t="str">
        <f>ProbTab!N22</f>
        <v>18=6.54</v>
      </c>
      <c r="E119" s="61"/>
    </row>
    <row r="120" spans="4:5" x14ac:dyDescent="0.25">
      <c r="D120" s="35" t="str">
        <f>ProbTab!N23</f>
        <v>19=6.54</v>
      </c>
      <c r="E120" s="61"/>
    </row>
    <row r="121" spans="4:5" x14ac:dyDescent="0.25">
      <c r="D121" s="35" t="str">
        <f>ProbTab!N24</f>
        <v>20=2.18</v>
      </c>
      <c r="E121" s="61"/>
    </row>
    <row r="122" spans="4:5" x14ac:dyDescent="0.25">
      <c r="D122" s="35" t="str">
        <f>ProbTab!N25</f>
        <v>21=2.18</v>
      </c>
      <c r="E122" s="61"/>
    </row>
    <row r="123" spans="4:5" x14ac:dyDescent="0.25">
      <c r="D123" s="35" t="str">
        <f>ProbTab!N26</f>
        <v>22=0</v>
      </c>
      <c r="E123" s="61"/>
    </row>
    <row r="124" spans="4:5" x14ac:dyDescent="0.25">
      <c r="D124" s="35" t="str">
        <f>ProbTab!N27</f>
        <v>23=0</v>
      </c>
      <c r="E124" s="61"/>
    </row>
    <row r="125" spans="4:5" x14ac:dyDescent="0.25">
      <c r="D125" s="35" t="str">
        <f>ProbTab!N28</f>
        <v>24=0</v>
      </c>
      <c r="E125" s="61"/>
    </row>
    <row r="126" spans="4:5" x14ac:dyDescent="0.25">
      <c r="D126" s="35" t="str">
        <f>ProbTab!N29</f>
        <v>25=0</v>
      </c>
      <c r="E126" s="61"/>
    </row>
    <row r="127" spans="4:5" x14ac:dyDescent="0.25">
      <c r="D127" s="35" t="str">
        <f>ProbTab!N30</f>
        <v>26=0</v>
      </c>
      <c r="E127" s="61"/>
    </row>
    <row r="128" spans="4:5" x14ac:dyDescent="0.25">
      <c r="D128" s="35" t="str">
        <f>ProbTab!N31</f>
        <v>27=0</v>
      </c>
      <c r="E128" s="61"/>
    </row>
    <row r="129" spans="4:5" x14ac:dyDescent="0.25">
      <c r="D129" s="35" t="str">
        <f>ProbTab!N32</f>
        <v>28=2.18</v>
      </c>
      <c r="E129" s="61"/>
    </row>
    <row r="130" spans="4:5" x14ac:dyDescent="0.25">
      <c r="D130" s="35" t="str">
        <f>ProbTab!N33</f>
        <v>29=13.08</v>
      </c>
      <c r="E130" s="61"/>
    </row>
    <row r="131" spans="4:5" x14ac:dyDescent="0.25">
      <c r="D131" s="35" t="str">
        <f>ProbTab!N34</f>
        <v>30=21.81</v>
      </c>
      <c r="E131" s="61"/>
    </row>
    <row r="132" spans="4:5" x14ac:dyDescent="0.25">
      <c r="D132" s="35" t="str">
        <f>ProbTab!N35</f>
        <v>31=13.08</v>
      </c>
      <c r="E132" s="61"/>
    </row>
    <row r="133" spans="4:5" x14ac:dyDescent="0.25">
      <c r="D133" s="35" t="str">
        <f>ProbTab!N36</f>
        <v>32=2.18</v>
      </c>
      <c r="E133" s="61"/>
    </row>
    <row r="134" spans="4:5" x14ac:dyDescent="0.25">
      <c r="D134" s="35" t="str">
        <f>ProbTab!N37</f>
        <v>33=2.18</v>
      </c>
      <c r="E134" s="61"/>
    </row>
    <row r="135" spans="4:5" x14ac:dyDescent="0.25">
      <c r="D135" s="35" t="str">
        <f>ProbTab!N38</f>
        <v>34=2.18</v>
      </c>
      <c r="E135" s="61"/>
    </row>
    <row r="136" spans="4:5" x14ac:dyDescent="0.25">
      <c r="D136" s="35" t="str">
        <f>ProbTab!N39</f>
        <v>35=2.18</v>
      </c>
      <c r="E136" s="61"/>
    </row>
    <row r="137" spans="4:5" x14ac:dyDescent="0.25">
      <c r="D137" s="35" t="str">
        <f>ProbTab!N40</f>
        <v>36=2.18</v>
      </c>
      <c r="E137" s="61"/>
    </row>
    <row r="138" spans="4:5" x14ac:dyDescent="0.25">
      <c r="D138" s="35" t="str">
        <f>ProbTab!N41</f>
        <v>37=2.18</v>
      </c>
      <c r="E138" s="61"/>
    </row>
    <row r="139" spans="4:5" x14ac:dyDescent="0.25">
      <c r="D139" s="35" t="str">
        <f>ProbTab!N42</f>
        <v>38=2.18</v>
      </c>
      <c r="E139" s="61"/>
    </row>
    <row r="140" spans="4:5" x14ac:dyDescent="0.25">
      <c r="D140" s="35" t="str">
        <f>ProbTab!N43</f>
        <v>39=2.18</v>
      </c>
      <c r="E140" s="61"/>
    </row>
    <row r="141" spans="4:5" x14ac:dyDescent="0.25">
      <c r="D141" s="35" t="str">
        <f>ProbTab!N44</f>
        <v>40=2.18</v>
      </c>
      <c r="E141" s="61"/>
    </row>
    <row r="142" spans="4:5" x14ac:dyDescent="0.25">
      <c r="D142" s="35" t="str">
        <f>ProbTab!N45</f>
        <v>41=2.18</v>
      </c>
      <c r="E142" s="61"/>
    </row>
    <row r="143" spans="4:5" x14ac:dyDescent="0.25">
      <c r="D143" s="35" t="str">
        <f>ProbTab!N46</f>
        <v>42=6.54</v>
      </c>
      <c r="E143" s="61"/>
    </row>
    <row r="144" spans="4:5" x14ac:dyDescent="0.25">
      <c r="D144" s="35" t="str">
        <f>ProbTab!N47</f>
        <v>43=6.54</v>
      </c>
      <c r="E144" s="61"/>
    </row>
    <row r="145" spans="4:5" x14ac:dyDescent="0.25">
      <c r="D145" s="35" t="str">
        <f>ProbTab!N48</f>
        <v>44=2.18</v>
      </c>
      <c r="E145" s="61"/>
    </row>
    <row r="146" spans="4:5" x14ac:dyDescent="0.25">
      <c r="D146" s="35" t="str">
        <f>ProbTab!N49</f>
        <v>45=2.18</v>
      </c>
      <c r="E146" s="61"/>
    </row>
    <row r="147" spans="4:5" x14ac:dyDescent="0.25">
      <c r="D147" s="35" t="str">
        <f>ProbTab!N50</f>
        <v>46=0</v>
      </c>
      <c r="E147" s="61"/>
    </row>
    <row r="148" spans="4:5" x14ac:dyDescent="0.25">
      <c r="D148" s="35" t="str">
        <f>ProbTab!N51</f>
        <v>47=0</v>
      </c>
      <c r="E148" s="61"/>
    </row>
    <row r="149" spans="4:5" x14ac:dyDescent="0.25">
      <c r="D149" s="35" t="str">
        <f>ProbTab!N52</f>
        <v>48=0</v>
      </c>
      <c r="E149" s="61"/>
    </row>
    <row r="150" spans="4:5" x14ac:dyDescent="0.25">
      <c r="D150" s="35" t="str">
        <f>ProbTab!N53</f>
        <v>49=0</v>
      </c>
      <c r="E150" s="61"/>
    </row>
    <row r="151" spans="4:5" x14ac:dyDescent="0.25">
      <c r="D151" s="35" t="str">
        <f>ProbTab!N54</f>
        <v>50=0</v>
      </c>
      <c r="E151" s="61"/>
    </row>
    <row r="152" spans="4:5" x14ac:dyDescent="0.25">
      <c r="D152" s="35" t="str">
        <f>ProbTab!N55</f>
        <v>51=0</v>
      </c>
      <c r="E152" s="61"/>
    </row>
    <row r="153" spans="4:5" x14ac:dyDescent="0.25">
      <c r="D153" s="35" t="str">
        <f>ProbTab!N56</f>
        <v>52=2.18</v>
      </c>
      <c r="E153" s="61"/>
    </row>
    <row r="154" spans="4:5" x14ac:dyDescent="0.25">
      <c r="D154" s="35" t="str">
        <f>ProbTab!N57</f>
        <v>53=13.08</v>
      </c>
      <c r="E154" s="61"/>
    </row>
    <row r="155" spans="4:5" x14ac:dyDescent="0.25">
      <c r="D155" s="35" t="str">
        <f>ProbTab!N58</f>
        <v>54=21.81</v>
      </c>
      <c r="E155" s="61"/>
    </row>
    <row r="156" spans="4:5" x14ac:dyDescent="0.25">
      <c r="D156" s="35" t="str">
        <f>ProbTab!N59</f>
        <v>55=13.08</v>
      </c>
      <c r="E156" s="61"/>
    </row>
    <row r="157" spans="4:5" x14ac:dyDescent="0.25">
      <c r="D157" s="35" t="str">
        <f>ProbTab!N60</f>
        <v>56=2.18</v>
      </c>
      <c r="E157" s="61"/>
    </row>
    <row r="158" spans="4:5" x14ac:dyDescent="0.25">
      <c r="D158" s="35" t="str">
        <f>ProbTab!N61</f>
        <v>57=2.18</v>
      </c>
      <c r="E158" s="61"/>
    </row>
    <row r="159" spans="4:5" x14ac:dyDescent="0.25">
      <c r="D159" s="35" t="str">
        <f>ProbTab!N62</f>
        <v>58=2.18</v>
      </c>
      <c r="E159" s="61"/>
    </row>
    <row r="160" spans="4:5" x14ac:dyDescent="0.25">
      <c r="D160" s="35" t="str">
        <f>ProbTab!N63</f>
        <v>59=2.18</v>
      </c>
      <c r="E160" s="61"/>
    </row>
    <row r="161" spans="4:5" x14ac:dyDescent="0.25">
      <c r="D161" s="35" t="str">
        <f>ProbTab!N64</f>
        <v>60=2.18</v>
      </c>
      <c r="E161" s="61"/>
    </row>
    <row r="162" spans="4:5" x14ac:dyDescent="0.25">
      <c r="D162" s="35" t="str">
        <f>ProbTab!N65</f>
        <v>61=2.18</v>
      </c>
      <c r="E162" s="61"/>
    </row>
    <row r="163" spans="4:5" x14ac:dyDescent="0.25">
      <c r="D163" s="35" t="str">
        <f>ProbTab!N66</f>
        <v>62=2.18</v>
      </c>
      <c r="E163" s="61"/>
    </row>
    <row r="164" spans="4:5" x14ac:dyDescent="0.25">
      <c r="D164" s="35" t="str">
        <f>ProbTab!N67</f>
        <v>63=2.18</v>
      </c>
      <c r="E164" s="61"/>
    </row>
    <row r="165" spans="4:5" x14ac:dyDescent="0.25">
      <c r="D165" s="35" t="str">
        <f>ProbTab!N68</f>
        <v>64=2.18</v>
      </c>
      <c r="E165" s="61"/>
    </row>
    <row r="166" spans="4:5" x14ac:dyDescent="0.25">
      <c r="D166" s="35" t="str">
        <f>ProbTab!N69</f>
        <v>65=2.18</v>
      </c>
      <c r="E166" s="61"/>
    </row>
    <row r="167" spans="4:5" x14ac:dyDescent="0.25">
      <c r="D167" s="35" t="str">
        <f>ProbTab!N70</f>
        <v>66=6.54</v>
      </c>
      <c r="E167" s="61"/>
    </row>
    <row r="168" spans="4:5" x14ac:dyDescent="0.25">
      <c r="D168" s="35" t="str">
        <f>ProbTab!N71</f>
        <v>67=6.54</v>
      </c>
      <c r="E168" s="61"/>
    </row>
    <row r="169" spans="4:5" x14ac:dyDescent="0.25">
      <c r="D169" s="35" t="str">
        <f>ProbTab!N72</f>
        <v>68=2.18</v>
      </c>
      <c r="E169" s="61"/>
    </row>
    <row r="170" spans="4:5" x14ac:dyDescent="0.25">
      <c r="D170" s="35" t="str">
        <f>ProbTab!N73</f>
        <v>69=2.18</v>
      </c>
      <c r="E170" s="61"/>
    </row>
    <row r="171" spans="4:5" x14ac:dyDescent="0.25">
      <c r="D171" s="35" t="str">
        <f>ProbTab!N74</f>
        <v>70=0</v>
      </c>
      <c r="E171" s="61"/>
    </row>
    <row r="172" spans="4:5" x14ac:dyDescent="0.25">
      <c r="D172" s="35" t="str">
        <f>ProbTab!N75</f>
        <v>71=0</v>
      </c>
      <c r="E172" s="61"/>
    </row>
    <row r="173" spans="4:5" x14ac:dyDescent="0.25">
      <c r="D173" s="35" t="str">
        <f>ProbTab!N76</f>
        <v>72=0</v>
      </c>
      <c r="E173" s="61"/>
    </row>
    <row r="174" spans="4:5" x14ac:dyDescent="0.25">
      <c r="D174" s="35" t="str">
        <f>ProbTab!N77</f>
        <v>73=0</v>
      </c>
      <c r="E174" s="61"/>
    </row>
    <row r="175" spans="4:5" x14ac:dyDescent="0.25">
      <c r="D175" s="35" t="str">
        <f>ProbTab!N78</f>
        <v>74=0</v>
      </c>
      <c r="E175" s="61"/>
    </row>
    <row r="176" spans="4:5" x14ac:dyDescent="0.25">
      <c r="D176" s="35" t="str">
        <f>ProbTab!N79</f>
        <v>75=0</v>
      </c>
      <c r="E176" s="61"/>
    </row>
    <row r="177" spans="4:5" x14ac:dyDescent="0.25">
      <c r="D177" s="35" t="str">
        <f>ProbTab!N80</f>
        <v>76=2.18</v>
      </c>
      <c r="E177" s="61"/>
    </row>
    <row r="178" spans="4:5" x14ac:dyDescent="0.25">
      <c r="D178" s="35" t="str">
        <f>ProbTab!N81</f>
        <v>77=13.08</v>
      </c>
      <c r="E178" s="61"/>
    </row>
    <row r="179" spans="4:5" x14ac:dyDescent="0.25">
      <c r="D179" s="35" t="str">
        <f>ProbTab!N82</f>
        <v>78=21.81</v>
      </c>
      <c r="E179" s="61"/>
    </row>
    <row r="180" spans="4:5" x14ac:dyDescent="0.25">
      <c r="D180" s="35" t="str">
        <f>ProbTab!N83</f>
        <v>79=13.08</v>
      </c>
      <c r="E180" s="61"/>
    </row>
    <row r="181" spans="4:5" x14ac:dyDescent="0.25">
      <c r="D181" s="35" t="str">
        <f>ProbTab!N84</f>
        <v>80=2.18</v>
      </c>
      <c r="E181" s="61"/>
    </row>
    <row r="182" spans="4:5" x14ac:dyDescent="0.25">
      <c r="D182" s="35" t="str">
        <f>ProbTab!N85</f>
        <v>81=2.18</v>
      </c>
      <c r="E182" s="61"/>
    </row>
    <row r="183" spans="4:5" x14ac:dyDescent="0.25">
      <c r="D183" s="35" t="str">
        <f>ProbTab!N86</f>
        <v>82=2.18</v>
      </c>
      <c r="E183" s="61"/>
    </row>
    <row r="184" spans="4:5" x14ac:dyDescent="0.25">
      <c r="D184" s="35" t="str">
        <f>ProbTab!N87</f>
        <v>83=2.18</v>
      </c>
      <c r="E184" s="61"/>
    </row>
    <row r="185" spans="4:5" x14ac:dyDescent="0.25">
      <c r="D185" s="35" t="str">
        <f>ProbTab!N88</f>
        <v>84=2.18</v>
      </c>
      <c r="E185" s="61"/>
    </row>
    <row r="186" spans="4:5" x14ac:dyDescent="0.25">
      <c r="D186" s="35" t="str">
        <f>ProbTab!N89</f>
        <v>85=2.18</v>
      </c>
      <c r="E186" s="61"/>
    </row>
    <row r="187" spans="4:5" x14ac:dyDescent="0.25">
      <c r="D187" s="35" t="str">
        <f>ProbTab!N90</f>
        <v>86=2.18</v>
      </c>
      <c r="E187" s="61"/>
    </row>
    <row r="188" spans="4:5" x14ac:dyDescent="0.25">
      <c r="D188" s="35" t="str">
        <f>ProbTab!N91</f>
        <v>87=2.18</v>
      </c>
      <c r="E188" s="61"/>
    </row>
    <row r="189" spans="4:5" x14ac:dyDescent="0.25">
      <c r="D189" s="35" t="str">
        <f>ProbTab!N92</f>
        <v>88=2.18</v>
      </c>
      <c r="E189" s="61"/>
    </row>
    <row r="190" spans="4:5" x14ac:dyDescent="0.25">
      <c r="D190" s="35" t="str">
        <f>ProbTab!N93</f>
        <v>89=2.18</v>
      </c>
      <c r="E190" s="61"/>
    </row>
    <row r="191" spans="4:5" x14ac:dyDescent="0.25">
      <c r="D191" s="35" t="str">
        <f>ProbTab!N94</f>
        <v>90=6.54</v>
      </c>
      <c r="E191" s="61"/>
    </row>
    <row r="192" spans="4:5" x14ac:dyDescent="0.25">
      <c r="D192" s="35" t="str">
        <f>ProbTab!N95</f>
        <v>91=6.54</v>
      </c>
      <c r="E192" s="61"/>
    </row>
    <row r="193" spans="4:5" x14ac:dyDescent="0.25">
      <c r="D193" s="35" t="str">
        <f>ProbTab!N96</f>
        <v>92=2.18</v>
      </c>
      <c r="E193" s="61"/>
    </row>
    <row r="194" spans="4:5" x14ac:dyDescent="0.25">
      <c r="D194" s="35" t="str">
        <f>ProbTab!N97</f>
        <v>93=2.18</v>
      </c>
      <c r="E194" s="61"/>
    </row>
    <row r="195" spans="4:5" x14ac:dyDescent="0.25">
      <c r="D195" s="35" t="str">
        <f>ProbTab!N98</f>
        <v>94=0</v>
      </c>
      <c r="E195" s="61"/>
    </row>
    <row r="196" spans="4:5" x14ac:dyDescent="0.25">
      <c r="D196" s="35" t="str">
        <f>ProbTab!N99</f>
        <v>95=0</v>
      </c>
      <c r="E196" s="61"/>
    </row>
    <row r="197" spans="4:5" x14ac:dyDescent="0.25">
      <c r="D197" s="35" t="str">
        <f>ProbTab!N100</f>
        <v>96=0</v>
      </c>
      <c r="E197" s="61"/>
    </row>
    <row r="198" spans="4:5" x14ac:dyDescent="0.25">
      <c r="D198" s="35" t="str">
        <f>ProbTab!N101</f>
        <v>97=0</v>
      </c>
      <c r="E198" s="61"/>
    </row>
    <row r="199" spans="4:5" x14ac:dyDescent="0.25">
      <c r="D199" s="35" t="str">
        <f>ProbTab!N102</f>
        <v>98=0</v>
      </c>
      <c r="E199" s="61"/>
    </row>
    <row r="200" spans="4:5" x14ac:dyDescent="0.25">
      <c r="D200" s="35" t="str">
        <f>ProbTab!N103</f>
        <v>99=0</v>
      </c>
      <c r="E200" s="61"/>
    </row>
    <row r="201" spans="4:5" x14ac:dyDescent="0.25">
      <c r="D201" s="35" t="str">
        <f>ProbTab!N104</f>
        <v>100=2.18</v>
      </c>
      <c r="E201" s="61"/>
    </row>
    <row r="202" spans="4:5" x14ac:dyDescent="0.25">
      <c r="D202" s="35" t="str">
        <f>ProbTab!N105</f>
        <v>101=13.08</v>
      </c>
      <c r="E202" s="61"/>
    </row>
    <row r="203" spans="4:5" x14ac:dyDescent="0.25">
      <c r="D203" s="35" t="str">
        <f>ProbTab!N106</f>
        <v>102=21.81</v>
      </c>
      <c r="E203" s="61"/>
    </row>
    <row r="204" spans="4:5" x14ac:dyDescent="0.25">
      <c r="D204" s="35" t="str">
        <f>ProbTab!N107</f>
        <v>103=13.08</v>
      </c>
      <c r="E204" s="61"/>
    </row>
    <row r="205" spans="4:5" x14ac:dyDescent="0.25">
      <c r="D205" s="35" t="str">
        <f>ProbTab!N108</f>
        <v>104=2.18</v>
      </c>
      <c r="E205" s="61"/>
    </row>
    <row r="206" spans="4:5" x14ac:dyDescent="0.25">
      <c r="D206" s="35" t="str">
        <f>ProbTab!N109</f>
        <v>105=2.18</v>
      </c>
      <c r="E206" s="61"/>
    </row>
    <row r="207" spans="4:5" x14ac:dyDescent="0.25">
      <c r="D207" s="35" t="str">
        <f>ProbTab!N110</f>
        <v>106=2.18</v>
      </c>
      <c r="E207" s="61"/>
    </row>
    <row r="208" spans="4:5" x14ac:dyDescent="0.25">
      <c r="D208" s="35" t="str">
        <f>ProbTab!N111</f>
        <v>107=2.18</v>
      </c>
      <c r="E208" s="61"/>
    </row>
    <row r="209" spans="4:5" x14ac:dyDescent="0.25">
      <c r="D209" s="35" t="str">
        <f>ProbTab!N112</f>
        <v>108=2.18</v>
      </c>
      <c r="E209" s="61"/>
    </row>
    <row r="210" spans="4:5" x14ac:dyDescent="0.25">
      <c r="D210" s="35" t="str">
        <f>ProbTab!N113</f>
        <v>109=2.18</v>
      </c>
      <c r="E210" s="61"/>
    </row>
    <row r="211" spans="4:5" x14ac:dyDescent="0.25">
      <c r="D211" s="35" t="str">
        <f>ProbTab!N114</f>
        <v>110=2.18</v>
      </c>
      <c r="E211" s="61"/>
    </row>
    <row r="212" spans="4:5" x14ac:dyDescent="0.25">
      <c r="D212" s="35" t="str">
        <f>ProbTab!N115</f>
        <v>111=2.18</v>
      </c>
      <c r="E212" s="61"/>
    </row>
    <row r="213" spans="4:5" x14ac:dyDescent="0.25">
      <c r="D213" s="35" t="str">
        <f>ProbTab!N116</f>
        <v>112=2.18</v>
      </c>
      <c r="E213" s="61"/>
    </row>
    <row r="214" spans="4:5" x14ac:dyDescent="0.25">
      <c r="D214" s="35" t="str">
        <f>ProbTab!N117</f>
        <v>113=2.18</v>
      </c>
      <c r="E214" s="61"/>
    </row>
    <row r="215" spans="4:5" x14ac:dyDescent="0.25">
      <c r="D215" s="35" t="str">
        <f>ProbTab!N118</f>
        <v>114=6.54</v>
      </c>
      <c r="E215" s="61"/>
    </row>
    <row r="216" spans="4:5" x14ac:dyDescent="0.25">
      <c r="D216" s="35" t="str">
        <f>ProbTab!N119</f>
        <v>115=6.54</v>
      </c>
      <c r="E216" s="61"/>
    </row>
    <row r="217" spans="4:5" x14ac:dyDescent="0.25">
      <c r="D217" s="35" t="str">
        <f>ProbTab!N120</f>
        <v>116=2.18</v>
      </c>
      <c r="E217" s="61"/>
    </row>
    <row r="218" spans="4:5" x14ac:dyDescent="0.25">
      <c r="D218" s="35" t="str">
        <f>ProbTab!N121</f>
        <v>117=2.18</v>
      </c>
      <c r="E218" s="61"/>
    </row>
    <row r="219" spans="4:5" x14ac:dyDescent="0.25">
      <c r="D219" s="35" t="str">
        <f>ProbTab!N122</f>
        <v>118=0</v>
      </c>
      <c r="E219" s="61"/>
    </row>
    <row r="220" spans="4:5" x14ac:dyDescent="0.25">
      <c r="D220" s="35" t="str">
        <f>ProbTab!N123</f>
        <v>119=0</v>
      </c>
      <c r="E220" s="61"/>
    </row>
    <row r="221" spans="4:5" x14ac:dyDescent="0.25">
      <c r="D221" s="35" t="str">
        <f>ProbTab!N124</f>
        <v>120=0</v>
      </c>
      <c r="E221" s="61"/>
    </row>
    <row r="222" spans="4:5" x14ac:dyDescent="0.25">
      <c r="D222" s="35" t="str">
        <f>ProbTab!N125</f>
        <v>121=0</v>
      </c>
      <c r="E222" s="61"/>
    </row>
    <row r="223" spans="4:5" x14ac:dyDescent="0.25">
      <c r="D223" s="35" t="str">
        <f>ProbTab!N126</f>
        <v>122=0</v>
      </c>
      <c r="E223" s="61"/>
    </row>
    <row r="224" spans="4:5" x14ac:dyDescent="0.25">
      <c r="D224" s="35" t="str">
        <f>ProbTab!N127</f>
        <v>123=0</v>
      </c>
      <c r="E224" s="61"/>
    </row>
    <row r="225" spans="4:5" x14ac:dyDescent="0.25">
      <c r="D225" s="35" t="str">
        <f>ProbTab!N128</f>
        <v>124=4.36</v>
      </c>
      <c r="E225" s="61"/>
    </row>
    <row r="226" spans="4:5" x14ac:dyDescent="0.25">
      <c r="D226" s="35" t="str">
        <f>ProbTab!N129</f>
        <v>125=19.63</v>
      </c>
      <c r="E226" s="61"/>
    </row>
    <row r="227" spans="4:5" x14ac:dyDescent="0.25">
      <c r="D227" s="35" t="str">
        <f>ProbTab!N130</f>
        <v>126=32.71</v>
      </c>
      <c r="E227" s="61"/>
    </row>
    <row r="228" spans="4:5" x14ac:dyDescent="0.25">
      <c r="D228" s="35" t="str">
        <f>ProbTab!N131</f>
        <v>127=19.63</v>
      </c>
      <c r="E228" s="61"/>
    </row>
    <row r="229" spans="4:5" x14ac:dyDescent="0.25">
      <c r="D229" s="35" t="str">
        <f>ProbTab!N132</f>
        <v>128=2.18</v>
      </c>
      <c r="E229" s="61"/>
    </row>
    <row r="230" spans="4:5" x14ac:dyDescent="0.25">
      <c r="D230" s="35" t="str">
        <f>ProbTab!N133</f>
        <v>129=2.18</v>
      </c>
      <c r="E230" s="61"/>
    </row>
    <row r="231" spans="4:5" x14ac:dyDescent="0.25">
      <c r="D231" s="35" t="str">
        <f>ProbTab!N134</f>
        <v>130=2.18</v>
      </c>
      <c r="E231" s="61"/>
    </row>
    <row r="232" spans="4:5" x14ac:dyDescent="0.25">
      <c r="D232" s="35" t="str">
        <f>ProbTab!N135</f>
        <v>131=2.18</v>
      </c>
      <c r="E232" s="61"/>
    </row>
    <row r="233" spans="4:5" x14ac:dyDescent="0.25">
      <c r="D233" s="35" t="str">
        <f>ProbTab!N136</f>
        <v>132=2.18</v>
      </c>
      <c r="E233" s="61"/>
    </row>
    <row r="234" spans="4:5" x14ac:dyDescent="0.25">
      <c r="D234" s="35" t="str">
        <f>ProbTab!N137</f>
        <v>133=2.18</v>
      </c>
      <c r="E234" s="61"/>
    </row>
    <row r="235" spans="4:5" x14ac:dyDescent="0.25">
      <c r="D235" s="35" t="str">
        <f>ProbTab!N138</f>
        <v>134=2.18</v>
      </c>
      <c r="E235" s="61"/>
    </row>
    <row r="236" spans="4:5" x14ac:dyDescent="0.25">
      <c r="D236" s="35" t="str">
        <f>ProbTab!N139</f>
        <v>135=2.18</v>
      </c>
      <c r="E236" s="61"/>
    </row>
    <row r="237" spans="4:5" x14ac:dyDescent="0.25">
      <c r="D237" s="35" t="str">
        <f>ProbTab!N140</f>
        <v>136=2.18</v>
      </c>
      <c r="E237" s="61"/>
    </row>
    <row r="238" spans="4:5" x14ac:dyDescent="0.25">
      <c r="D238" s="35" t="str">
        <f>ProbTab!N141</f>
        <v>137=4.36</v>
      </c>
      <c r="E238" s="61"/>
    </row>
    <row r="239" spans="4:5" x14ac:dyDescent="0.25">
      <c r="D239" s="35" t="str">
        <f>ProbTab!N142</f>
        <v>138=10.9</v>
      </c>
      <c r="E239" s="61"/>
    </row>
    <row r="240" spans="4:5" x14ac:dyDescent="0.25">
      <c r="D240" s="35" t="str">
        <f>ProbTab!N143</f>
        <v>139=10.9</v>
      </c>
      <c r="E240" s="61"/>
    </row>
    <row r="241" spans="4:5" x14ac:dyDescent="0.25">
      <c r="D241" s="35" t="str">
        <f>ProbTab!N144</f>
        <v>140=2.18</v>
      </c>
      <c r="E241" s="61"/>
    </row>
    <row r="242" spans="4:5" x14ac:dyDescent="0.25">
      <c r="D242" s="35" t="str">
        <f>ProbTab!N145</f>
        <v>141=2.18</v>
      </c>
      <c r="E242" s="61"/>
    </row>
    <row r="243" spans="4:5" x14ac:dyDescent="0.25">
      <c r="D243" s="35" t="str">
        <f>ProbTab!N146</f>
        <v>142=0</v>
      </c>
      <c r="E243" s="61"/>
    </row>
    <row r="244" spans="4:5" x14ac:dyDescent="0.25">
      <c r="D244" s="35" t="str">
        <f>ProbTab!N147</f>
        <v>143=0</v>
      </c>
      <c r="E244" s="61"/>
    </row>
    <row r="245" spans="4:5" x14ac:dyDescent="0.25">
      <c r="D245" s="35" t="str">
        <f>ProbTab!N148</f>
        <v>144=0</v>
      </c>
      <c r="E245" s="61"/>
    </row>
    <row r="246" spans="4:5" x14ac:dyDescent="0.25">
      <c r="D246" s="35" t="str">
        <f>ProbTab!N149</f>
        <v>145=0</v>
      </c>
      <c r="E246" s="61"/>
    </row>
    <row r="247" spans="4:5" x14ac:dyDescent="0.25">
      <c r="D247" s="35" t="str">
        <f>ProbTab!N150</f>
        <v>146=0</v>
      </c>
      <c r="E247" s="61"/>
    </row>
    <row r="248" spans="4:5" x14ac:dyDescent="0.25">
      <c r="D248" s="35" t="str">
        <f>ProbTab!N151</f>
        <v>147=0</v>
      </c>
      <c r="E248" s="61"/>
    </row>
    <row r="249" spans="4:5" x14ac:dyDescent="0.25">
      <c r="D249" s="35" t="str">
        <f>ProbTab!N152</f>
        <v>148=4.36</v>
      </c>
      <c r="E249" s="61"/>
    </row>
    <row r="250" spans="4:5" x14ac:dyDescent="0.25">
      <c r="D250" s="35" t="str">
        <f>ProbTab!N153</f>
        <v>149=19.63</v>
      </c>
      <c r="E250" s="61"/>
    </row>
    <row r="251" spans="4:5" x14ac:dyDescent="0.25">
      <c r="D251" s="35" t="str">
        <f>ProbTab!N154</f>
        <v>150=32.71</v>
      </c>
      <c r="E251" s="61"/>
    </row>
    <row r="252" spans="4:5" x14ac:dyDescent="0.25">
      <c r="D252" s="35" t="str">
        <f>ProbTab!N155</f>
        <v>151=19.63</v>
      </c>
      <c r="E252" s="61"/>
    </row>
    <row r="253" spans="4:5" x14ac:dyDescent="0.25">
      <c r="D253" s="35" t="str">
        <f>ProbTab!N156</f>
        <v>152=2.18</v>
      </c>
      <c r="E253" s="61"/>
    </row>
    <row r="254" spans="4:5" x14ac:dyDescent="0.25">
      <c r="D254" s="35" t="str">
        <f>ProbTab!N157</f>
        <v>153=2.18</v>
      </c>
      <c r="E254" s="61"/>
    </row>
    <row r="255" spans="4:5" x14ac:dyDescent="0.25">
      <c r="D255" s="35" t="str">
        <f>ProbTab!N158</f>
        <v>154=2.18</v>
      </c>
      <c r="E255" s="61"/>
    </row>
    <row r="256" spans="4:5" x14ac:dyDescent="0.25">
      <c r="D256" s="35" t="str">
        <f>ProbTab!N159</f>
        <v>155=2.18</v>
      </c>
      <c r="E256" s="61"/>
    </row>
    <row r="257" spans="4:5" x14ac:dyDescent="0.25">
      <c r="D257" s="35" t="str">
        <f>ProbTab!N160</f>
        <v>156=2.18</v>
      </c>
      <c r="E257" s="61"/>
    </row>
    <row r="258" spans="4:5" x14ac:dyDescent="0.25">
      <c r="D258" s="35" t="str">
        <f>ProbTab!N161</f>
        <v>157=2.18</v>
      </c>
      <c r="E258" s="61"/>
    </row>
    <row r="259" spans="4:5" x14ac:dyDescent="0.25">
      <c r="D259" s="35" t="str">
        <f>ProbTab!N162</f>
        <v>158=2.18</v>
      </c>
      <c r="E259" s="61"/>
    </row>
    <row r="260" spans="4:5" x14ac:dyDescent="0.25">
      <c r="D260" s="35" t="str">
        <f>ProbTab!N163</f>
        <v>159=2.18</v>
      </c>
      <c r="E260" s="61"/>
    </row>
    <row r="261" spans="4:5" x14ac:dyDescent="0.25">
      <c r="D261" s="35" t="str">
        <f>ProbTab!N164</f>
        <v>160=2.18</v>
      </c>
      <c r="E261" s="61"/>
    </row>
    <row r="262" spans="4:5" x14ac:dyDescent="0.25">
      <c r="D262" s="35" t="str">
        <f>ProbTab!N165</f>
        <v>161=4.36</v>
      </c>
      <c r="E262" s="61"/>
    </row>
    <row r="263" spans="4:5" x14ac:dyDescent="0.25">
      <c r="D263" s="35" t="str">
        <f>ProbTab!N166</f>
        <v>162=10.9</v>
      </c>
      <c r="E263" s="61"/>
    </row>
    <row r="264" spans="4:5" x14ac:dyDescent="0.25">
      <c r="D264" s="35" t="str">
        <f>ProbTab!N167</f>
        <v>163=10.9</v>
      </c>
      <c r="E264" s="61"/>
    </row>
    <row r="265" spans="4:5" x14ac:dyDescent="0.25">
      <c r="D265" s="35" t="str">
        <f>ProbTab!N168</f>
        <v>164=2.18</v>
      </c>
      <c r="E265" s="61"/>
    </row>
    <row r="266" spans="4:5" x14ac:dyDescent="0.25">
      <c r="D266" s="35" t="str">
        <f>ProbTab!N169</f>
        <v>165=2.18</v>
      </c>
      <c r="E266" s="61"/>
    </row>
    <row r="267" spans="4:5" x14ac:dyDescent="0.25">
      <c r="D267" s="35" t="str">
        <f>ProbTab!N170</f>
        <v>166=0</v>
      </c>
      <c r="E267" s="61"/>
    </row>
    <row r="268" spans="4:5" x14ac:dyDescent="0.25">
      <c r="D268" s="35" t="str">
        <f>ProbTab!N171</f>
        <v>167=0</v>
      </c>
      <c r="E268" s="61"/>
    </row>
    <row r="269" spans="4:5" x14ac:dyDescent="0.25">
      <c r="D269" s="35"/>
      <c r="E269" s="61"/>
    </row>
    <row r="270" spans="4:5" x14ac:dyDescent="0.25">
      <c r="D270" s="35" t="str">
        <f>Prob!G2</f>
        <v>[Prob]</v>
      </c>
      <c r="E270" s="61"/>
    </row>
    <row r="271" spans="4:5" x14ac:dyDescent="0.25">
      <c r="D271" s="35" t="str">
        <f>Prob!G3</f>
        <v>Day=1</v>
      </c>
      <c r="E271" s="61"/>
    </row>
    <row r="272" spans="4:5" x14ac:dyDescent="0.25">
      <c r="D272" s="35" t="str">
        <f>Prob!G4</f>
        <v>Week=120</v>
      </c>
      <c r="E272" s="61"/>
    </row>
    <row r="273" spans="4:5" x14ac:dyDescent="0.25">
      <c r="D273" s="35" t="str">
        <f>Prob!G5</f>
        <v>SinAmpl=10</v>
      </c>
      <c r="E273" s="61"/>
    </row>
    <row r="274" spans="4:5" x14ac:dyDescent="0.25">
      <c r="D274" s="35" t="str">
        <f>Prob!G6</f>
        <v>SinMax=45</v>
      </c>
      <c r="E274" s="61"/>
    </row>
    <row r="275" spans="4:5" x14ac:dyDescent="0.25">
      <c r="D275" s="35" t="str">
        <f>Prob!G7</f>
        <v>StepMon=0</v>
      </c>
      <c r="E275" s="61"/>
    </row>
    <row r="276" spans="4:5" x14ac:dyDescent="0.25">
      <c r="D276" s="35"/>
      <c r="E276" s="61"/>
    </row>
    <row r="277" spans="4:5" x14ac:dyDescent="0.25">
      <c r="D277" s="35" t="str">
        <f>Prob!G9</f>
        <v>HolPeriodMul=1</v>
      </c>
      <c r="E277" s="61"/>
    </row>
    <row r="278" spans="4:5" x14ac:dyDescent="0.25">
      <c r="D278" s="35" t="str">
        <f>Prob!G10</f>
        <v>relHol=0</v>
      </c>
      <c r="E278" s="61"/>
    </row>
    <row r="279" spans="4:5" x14ac:dyDescent="0.25">
      <c r="D279" s="35" t="str">
        <f>Prob!G11</f>
        <v>NrHol=14</v>
      </c>
      <c r="E279" s="61"/>
    </row>
    <row r="280" spans="4:5" x14ac:dyDescent="0.25">
      <c r="D280" s="35" t="str">
        <f>Prob!G12</f>
        <v>HmultDay1=0</v>
      </c>
      <c r="E280" s="61"/>
    </row>
    <row r="281" spans="4:5" x14ac:dyDescent="0.25">
      <c r="D281" s="35" t="str">
        <f>Prob!G13</f>
        <v>HmultMon1=6</v>
      </c>
      <c r="E281" s="61"/>
    </row>
    <row r="282" spans="4:5" x14ac:dyDescent="0.25">
      <c r="D282" s="35" t="str">
        <f>Prob!G14</f>
        <v>HmultDay2=0</v>
      </c>
      <c r="E282" s="61"/>
    </row>
    <row r="283" spans="4:5" x14ac:dyDescent="0.25">
      <c r="D283" s="35" t="str">
        <f>Prob!G15</f>
        <v>HmultMon2=8</v>
      </c>
      <c r="E283" s="61"/>
    </row>
    <row r="284" spans="4:5" x14ac:dyDescent="0.25">
      <c r="D284" s="35"/>
      <c r="E284" s="61"/>
    </row>
    <row r="285" spans="4:5" x14ac:dyDescent="0.25">
      <c r="D285" s="35" t="str">
        <f>Prob!G18</f>
        <v>HolCount=0</v>
      </c>
      <c r="E285" s="61"/>
    </row>
    <row r="286" spans="4:5" x14ac:dyDescent="0.25">
      <c r="D286" s="35" t="str">
        <f>Prob!G19</f>
        <v/>
      </c>
      <c r="E286" s="61"/>
    </row>
    <row r="287" spans="4:5" x14ac:dyDescent="0.25">
      <c r="D287" s="35" t="str">
        <f>Prob!G20</f>
        <v/>
      </c>
      <c r="E287" s="61"/>
    </row>
    <row r="288" spans="4:5" x14ac:dyDescent="0.25">
      <c r="D288" s="35" t="str">
        <f>Prob!G21</f>
        <v/>
      </c>
      <c r="E288" s="61"/>
    </row>
    <row r="289" spans="4:5" x14ac:dyDescent="0.25">
      <c r="D289" s="35" t="str">
        <f>Prob!G22</f>
        <v/>
      </c>
      <c r="E289" s="61"/>
    </row>
    <row r="290" spans="4:5" x14ac:dyDescent="0.25">
      <c r="D290" s="35" t="str">
        <f>Prob!G23</f>
        <v/>
      </c>
      <c r="E290" s="61"/>
    </row>
    <row r="291" spans="4:5" x14ac:dyDescent="0.25">
      <c r="D291" s="35" t="str">
        <f>Prob!G24</f>
        <v/>
      </c>
      <c r="E291" s="61"/>
    </row>
    <row r="292" spans="4:5" x14ac:dyDescent="0.25">
      <c r="D292" s="35" t="str">
        <f>Prob!G25</f>
        <v/>
      </c>
      <c r="E292" s="61"/>
    </row>
    <row r="293" spans="4:5" x14ac:dyDescent="0.25">
      <c r="D293" s="35" t="str">
        <f>Prob!G26</f>
        <v/>
      </c>
      <c r="E293" s="61"/>
    </row>
    <row r="294" spans="4:5" x14ac:dyDescent="0.25">
      <c r="D294" s="35" t="str">
        <f>Prob!G27</f>
        <v/>
      </c>
      <c r="E294" s="61"/>
    </row>
    <row r="295" spans="4:5" x14ac:dyDescent="0.25">
      <c r="D295" s="35" t="str">
        <f>Prob!G28</f>
        <v/>
      </c>
      <c r="E295" s="61"/>
    </row>
    <row r="296" spans="4:5" x14ac:dyDescent="0.25">
      <c r="D296" s="35" t="str">
        <f>Prob!G29</f>
        <v/>
      </c>
      <c r="E296" s="61"/>
    </row>
    <row r="297" spans="4:5" x14ac:dyDescent="0.25">
      <c r="D297" s="35" t="str">
        <f>Prob!G30</f>
        <v/>
      </c>
      <c r="E297" s="61"/>
    </row>
    <row r="298" spans="4:5" x14ac:dyDescent="0.25">
      <c r="D298" s="35" t="str">
        <f>Prob!G31</f>
        <v/>
      </c>
      <c r="E298" s="61"/>
    </row>
    <row r="299" spans="4:5" x14ac:dyDescent="0.25">
      <c r="D299" s="35" t="str">
        <f>Prob!G32</f>
        <v/>
      </c>
      <c r="E299" s="61"/>
    </row>
    <row r="300" spans="4:5" x14ac:dyDescent="0.25">
      <c r="D300" s="35" t="str">
        <f>Prob!G33</f>
        <v/>
      </c>
      <c r="E300" s="61"/>
    </row>
    <row r="301" spans="4:5" x14ac:dyDescent="0.25">
      <c r="D301" s="35" t="str">
        <f>Prob!G34</f>
        <v/>
      </c>
      <c r="E301" s="61"/>
    </row>
    <row r="302" spans="4:5" x14ac:dyDescent="0.25">
      <c r="D302" s="35" t="str">
        <f>Prob!G35</f>
        <v/>
      </c>
      <c r="E302" s="61"/>
    </row>
    <row r="303" spans="4:5" x14ac:dyDescent="0.25">
      <c r="D303" s="35" t="str">
        <f>Prob!G36</f>
        <v/>
      </c>
      <c r="E303" s="61"/>
    </row>
    <row r="304" spans="4:5" x14ac:dyDescent="0.25">
      <c r="D304" s="35" t="str">
        <f>Prob!G37</f>
        <v/>
      </c>
      <c r="E304" s="61"/>
    </row>
    <row r="305" spans="4:5" x14ac:dyDescent="0.25">
      <c r="D305" s="35" t="str">
        <f>Prob!G38</f>
        <v/>
      </c>
      <c r="E305" s="61"/>
    </row>
    <row r="306" spans="4:5" x14ac:dyDescent="0.25">
      <c r="D306" s="35" t="str">
        <f>Prob!G39</f>
        <v/>
      </c>
      <c r="E306" s="61"/>
    </row>
    <row r="307" spans="4:5" x14ac:dyDescent="0.25">
      <c r="D307" s="35" t="str">
        <f>Prob!G40</f>
        <v/>
      </c>
      <c r="E307" s="61"/>
    </row>
    <row r="308" spans="4:5" x14ac:dyDescent="0.25">
      <c r="D308" s="35" t="str">
        <f>Prob!G41</f>
        <v/>
      </c>
      <c r="E308" s="61"/>
    </row>
    <row r="309" spans="4:5" x14ac:dyDescent="0.25">
      <c r="D309" s="35" t="str">
        <f>Prob!G42</f>
        <v/>
      </c>
      <c r="E309" s="61"/>
    </row>
    <row r="310" spans="4:5" x14ac:dyDescent="0.25">
      <c r="D310" s="35" t="str">
        <f>Prob!G43</f>
        <v/>
      </c>
      <c r="E310" s="61"/>
    </row>
    <row r="311" spans="4:5" x14ac:dyDescent="0.25">
      <c r="D311" s="35" t="str">
        <f>Prob!G44</f>
        <v/>
      </c>
      <c r="E311" s="61"/>
    </row>
    <row r="312" spans="4:5" x14ac:dyDescent="0.25">
      <c r="D312" s="35" t="str">
        <f>Prob!G45</f>
        <v/>
      </c>
      <c r="E312" s="61"/>
    </row>
    <row r="313" spans="4:5" x14ac:dyDescent="0.25">
      <c r="D313" s="35" t="str">
        <f>Prob!G46</f>
        <v/>
      </c>
      <c r="E313" s="61"/>
    </row>
    <row r="314" spans="4:5" x14ac:dyDescent="0.25">
      <c r="D314" s="35" t="str">
        <f>Prob!G47</f>
        <v/>
      </c>
      <c r="E314" s="61"/>
    </row>
    <row r="315" spans="4:5" x14ac:dyDescent="0.25">
      <c r="D315" s="35" t="str">
        <f>Prob!G48</f>
        <v/>
      </c>
      <c r="E315" s="61"/>
    </row>
    <row r="316" spans="4:5" x14ac:dyDescent="0.25">
      <c r="D316" s="35" t="str">
        <f>Prob!G49</f>
        <v/>
      </c>
      <c r="E316" s="61"/>
    </row>
    <row r="317" spans="4:5" x14ac:dyDescent="0.25">
      <c r="D317" s="35" t="str">
        <f>Prob!G50</f>
        <v/>
      </c>
      <c r="E317" s="61"/>
    </row>
    <row r="318" spans="4:5" x14ac:dyDescent="0.25">
      <c r="D318" s="35" t="str">
        <f>Prob!G51</f>
        <v/>
      </c>
      <c r="E318" s="61"/>
    </row>
    <row r="319" spans="4:5" x14ac:dyDescent="0.25">
      <c r="D319" s="35" t="str">
        <f>Prob!G52</f>
        <v/>
      </c>
      <c r="E319" s="61"/>
    </row>
    <row r="320" spans="4:5" x14ac:dyDescent="0.25">
      <c r="D320" s="35" t="str">
        <f>Prob!G53</f>
        <v/>
      </c>
      <c r="E320" s="61"/>
    </row>
    <row r="321" spans="4:5" x14ac:dyDescent="0.25">
      <c r="D321" s="35" t="str">
        <f>Prob!G54</f>
        <v/>
      </c>
      <c r="E321" s="61"/>
    </row>
    <row r="322" spans="4:5" x14ac:dyDescent="0.25">
      <c r="D322" s="35" t="str">
        <f>Prob!G55</f>
        <v/>
      </c>
      <c r="E322" s="61"/>
    </row>
    <row r="323" spans="4:5" x14ac:dyDescent="0.25">
      <c r="D323" s="35" t="str">
        <f>Prob!G56</f>
        <v/>
      </c>
      <c r="E323" s="61"/>
    </row>
    <row r="324" spans="4:5" x14ac:dyDescent="0.25">
      <c r="D324" s="35" t="str">
        <f>Prob!G57</f>
        <v/>
      </c>
      <c r="E324" s="61"/>
    </row>
    <row r="325" spans="4:5" x14ac:dyDescent="0.25">
      <c r="D325" s="35" t="str">
        <f>Prob!G58</f>
        <v/>
      </c>
      <c r="E325" s="61"/>
    </row>
    <row r="326" spans="4:5" x14ac:dyDescent="0.25">
      <c r="D326" s="35" t="str">
        <f>Prob!G59</f>
        <v/>
      </c>
      <c r="E326" s="61"/>
    </row>
    <row r="327" spans="4:5" x14ac:dyDescent="0.25">
      <c r="D327" s="35" t="str">
        <f>Prob!G60</f>
        <v/>
      </c>
      <c r="E327" s="61"/>
    </row>
    <row r="328" spans="4:5" x14ac:dyDescent="0.25">
      <c r="D328" s="35" t="str">
        <f>Prob!G61</f>
        <v/>
      </c>
      <c r="E328" s="61"/>
    </row>
    <row r="329" spans="4:5" x14ac:dyDescent="0.25">
      <c r="D329" s="35" t="str">
        <f>Prob!G62</f>
        <v/>
      </c>
      <c r="E329" s="61"/>
    </row>
    <row r="330" spans="4:5" x14ac:dyDescent="0.25">
      <c r="D330" s="35" t="str">
        <f>Prob!G63</f>
        <v/>
      </c>
      <c r="E330" s="61"/>
    </row>
    <row r="331" spans="4:5" x14ac:dyDescent="0.25">
      <c r="D331" s="35" t="str">
        <f>Prob!G64</f>
        <v/>
      </c>
      <c r="E331" s="61"/>
    </row>
    <row r="332" spans="4:5" x14ac:dyDescent="0.25">
      <c r="D332" s="35" t="str">
        <f>Prob!G65</f>
        <v/>
      </c>
      <c r="E332" s="61"/>
    </row>
    <row r="333" spans="4:5" x14ac:dyDescent="0.25">
      <c r="D333" s="35" t="str">
        <f>Prob!G66</f>
        <v/>
      </c>
      <c r="E333" s="61"/>
    </row>
    <row r="334" spans="4:5" x14ac:dyDescent="0.25">
      <c r="D334" s="35" t="str">
        <f>Prob!G67</f>
        <v/>
      </c>
      <c r="E334" s="61"/>
    </row>
    <row r="335" spans="4:5" x14ac:dyDescent="0.25">
      <c r="D335" s="35" t="str">
        <f>Prob!G68</f>
        <v/>
      </c>
      <c r="E335" s="61"/>
    </row>
    <row r="336" spans="4:5" x14ac:dyDescent="0.25">
      <c r="D336" s="35" t="str">
        <f>Prob!G69</f>
        <v/>
      </c>
      <c r="E336" s="61"/>
    </row>
    <row r="337" spans="4:5" x14ac:dyDescent="0.25">
      <c r="D337" s="35" t="str">
        <f>Prob!G70</f>
        <v/>
      </c>
      <c r="E337" s="61"/>
    </row>
    <row r="338" spans="4:5" x14ac:dyDescent="0.25">
      <c r="D338" s="35" t="str">
        <f>Prob!G71</f>
        <v/>
      </c>
      <c r="E338" s="61"/>
    </row>
    <row r="339" spans="4:5" x14ac:dyDescent="0.25">
      <c r="D339" s="35" t="str">
        <f>Prob!G72</f>
        <v/>
      </c>
      <c r="E339" s="61"/>
    </row>
    <row r="340" spans="4:5" x14ac:dyDescent="0.25">
      <c r="D340" s="35" t="str">
        <f>Prob!G73</f>
        <v/>
      </c>
      <c r="E340" s="61"/>
    </row>
    <row r="341" spans="4:5" x14ac:dyDescent="0.25">
      <c r="D341" s="35" t="str">
        <f>Prob!G74</f>
        <v/>
      </c>
      <c r="E341" s="61"/>
    </row>
    <row r="342" spans="4:5" x14ac:dyDescent="0.25">
      <c r="D342" s="35" t="str">
        <f>Prob!G75</f>
        <v/>
      </c>
      <c r="E342" s="61"/>
    </row>
    <row r="343" spans="4:5" x14ac:dyDescent="0.25">
      <c r="D343" s="35" t="str">
        <f>Prob!G76</f>
        <v/>
      </c>
      <c r="E343" s="61"/>
    </row>
    <row r="344" spans="4:5" x14ac:dyDescent="0.25">
      <c r="D344" s="35" t="str">
        <f>Prob!G77</f>
        <v/>
      </c>
      <c r="E344" s="61"/>
    </row>
    <row r="345" spans="4:5" x14ac:dyDescent="0.25">
      <c r="D345" s="35" t="str">
        <f>Prob!G78</f>
        <v/>
      </c>
      <c r="E345" s="61"/>
    </row>
    <row r="346" spans="4:5" x14ac:dyDescent="0.25">
      <c r="D346" s="35" t="str">
        <f>Prob!G79</f>
        <v/>
      </c>
      <c r="E346" s="61"/>
    </row>
    <row r="347" spans="4:5" x14ac:dyDescent="0.25">
      <c r="D347" s="35" t="str">
        <f>Prob!G80</f>
        <v/>
      </c>
      <c r="E347" s="61"/>
    </row>
    <row r="348" spans="4:5" x14ac:dyDescent="0.25">
      <c r="D348" s="35" t="str">
        <f>Prob!G81</f>
        <v/>
      </c>
      <c r="E348" s="61"/>
    </row>
    <row r="349" spans="4:5" x14ac:dyDescent="0.25">
      <c r="D349" s="35" t="str">
        <f>Prob!G82</f>
        <v/>
      </c>
      <c r="E349" s="61"/>
    </row>
    <row r="350" spans="4:5" x14ac:dyDescent="0.25">
      <c r="D350" s="35" t="str">
        <f>Prob!G83</f>
        <v/>
      </c>
      <c r="E350" s="61"/>
    </row>
    <row r="351" spans="4:5" x14ac:dyDescent="0.25">
      <c r="D351" s="35" t="str">
        <f>Prob!G84</f>
        <v/>
      </c>
      <c r="E351" s="61"/>
    </row>
    <row r="352" spans="4:5" x14ac:dyDescent="0.25">
      <c r="D352" s="35" t="str">
        <f>Prob!G85</f>
        <v/>
      </c>
      <c r="E352" s="61"/>
    </row>
    <row r="353" spans="4:5" x14ac:dyDescent="0.25">
      <c r="D353" s="35" t="str">
        <f>Prob!G86</f>
        <v/>
      </c>
      <c r="E353" s="61"/>
    </row>
    <row r="354" spans="4:5" x14ac:dyDescent="0.25">
      <c r="D354" s="35" t="str">
        <f>Prob!G87</f>
        <v/>
      </c>
      <c r="E354" s="61"/>
    </row>
    <row r="355" spans="4:5" x14ac:dyDescent="0.25">
      <c r="D355" s="35" t="str">
        <f>Prob!G88</f>
        <v/>
      </c>
      <c r="E355" s="61"/>
    </row>
    <row r="356" spans="4:5" x14ac:dyDescent="0.25">
      <c r="D356" s="35" t="str">
        <f>Prob!G89</f>
        <v/>
      </c>
      <c r="E356" s="61"/>
    </row>
    <row r="357" spans="4:5" x14ac:dyDescent="0.25">
      <c r="D357" s="35" t="str">
        <f>Prob!G90</f>
        <v/>
      </c>
      <c r="E357" s="61"/>
    </row>
    <row r="358" spans="4:5" x14ac:dyDescent="0.25">
      <c r="D358" s="35" t="str">
        <f>Prob!G91</f>
        <v/>
      </c>
      <c r="E358" s="61"/>
    </row>
    <row r="359" spans="4:5" x14ac:dyDescent="0.25">
      <c r="D359" s="35" t="str">
        <f>Prob!G92</f>
        <v/>
      </c>
      <c r="E359" s="61"/>
    </row>
    <row r="360" spans="4:5" x14ac:dyDescent="0.25">
      <c r="D360" s="35" t="str">
        <f>Prob!G93</f>
        <v/>
      </c>
      <c r="E360" s="61"/>
    </row>
    <row r="361" spans="4:5" x14ac:dyDescent="0.25">
      <c r="D361" s="35" t="str">
        <f>Prob!G94</f>
        <v/>
      </c>
      <c r="E361" s="61"/>
    </row>
    <row r="362" spans="4:5" x14ac:dyDescent="0.25">
      <c r="D362" s="35" t="str">
        <f>Prob!G95</f>
        <v/>
      </c>
      <c r="E362" s="61"/>
    </row>
    <row r="363" spans="4:5" x14ac:dyDescent="0.25">
      <c r="D363" s="35" t="str">
        <f>Prob!G96</f>
        <v/>
      </c>
      <c r="E363" s="61"/>
    </row>
    <row r="364" spans="4:5" x14ac:dyDescent="0.25">
      <c r="D364" s="35" t="str">
        <f>Prob!G97</f>
        <v/>
      </c>
      <c r="E364" s="61"/>
    </row>
    <row r="365" spans="4:5" x14ac:dyDescent="0.25">
      <c r="D365" s="35" t="str">
        <f>Prob!G98</f>
        <v/>
      </c>
      <c r="E365" s="61"/>
    </row>
    <row r="366" spans="4:5" x14ac:dyDescent="0.25">
      <c r="D366" s="35" t="str">
        <f>Prob!G99</f>
        <v/>
      </c>
      <c r="E366" s="61"/>
    </row>
    <row r="367" spans="4:5" x14ac:dyDescent="0.25">
      <c r="D367" s="35" t="str">
        <f>Prob!G100</f>
        <v/>
      </c>
      <c r="E367" s="61"/>
    </row>
    <row r="368" spans="4:5" x14ac:dyDescent="0.25">
      <c r="D368" s="35" t="str">
        <f>Prob!G101</f>
        <v/>
      </c>
      <c r="E368" s="61"/>
    </row>
    <row r="369" spans="4:5" x14ac:dyDescent="0.25">
      <c r="D369" s="35" t="str">
        <f>Prob!G102</f>
        <v/>
      </c>
      <c r="E369" s="61"/>
    </row>
    <row r="370" spans="4:5" x14ac:dyDescent="0.25">
      <c r="D370" s="35" t="str">
        <f>Prob!G103</f>
        <v/>
      </c>
      <c r="E370" s="61"/>
    </row>
    <row r="371" spans="4:5" x14ac:dyDescent="0.25">
      <c r="D371" s="35" t="str">
        <f>Prob!G104</f>
        <v/>
      </c>
      <c r="E371" s="61"/>
    </row>
    <row r="372" spans="4:5" x14ac:dyDescent="0.25">
      <c r="D372" s="35" t="str">
        <f>Prob!G105</f>
        <v/>
      </c>
      <c r="E372" s="61"/>
    </row>
    <row r="373" spans="4:5" x14ac:dyDescent="0.25">
      <c r="D373" s="35" t="str">
        <f>Prob!G106</f>
        <v/>
      </c>
      <c r="E373" s="61"/>
    </row>
    <row r="374" spans="4:5" x14ac:dyDescent="0.25">
      <c r="D374" s="35" t="str">
        <f>Prob!G107</f>
        <v/>
      </c>
      <c r="E374" s="61"/>
    </row>
    <row r="375" spans="4:5" x14ac:dyDescent="0.25">
      <c r="D375" s="35" t="str">
        <f>Prob!G108</f>
        <v/>
      </c>
      <c r="E375" s="61"/>
    </row>
    <row r="376" spans="4:5" x14ac:dyDescent="0.25">
      <c r="D376" s="35" t="str">
        <f>Prob!G109</f>
        <v/>
      </c>
      <c r="E376" s="61"/>
    </row>
    <row r="377" spans="4:5" x14ac:dyDescent="0.25">
      <c r="D377" s="35" t="str">
        <f>Prob!G110</f>
        <v/>
      </c>
      <c r="E377" s="61"/>
    </row>
    <row r="378" spans="4:5" x14ac:dyDescent="0.25">
      <c r="D378" s="35" t="str">
        <f>Prob!G111</f>
        <v/>
      </c>
      <c r="E378" s="61"/>
    </row>
    <row r="379" spans="4:5" x14ac:dyDescent="0.25">
      <c r="D379" s="35" t="str">
        <f>Prob!G112</f>
        <v/>
      </c>
      <c r="E379" s="61"/>
    </row>
    <row r="380" spans="4:5" x14ac:dyDescent="0.25">
      <c r="D380" s="35" t="str">
        <f>Prob!G113</f>
        <v/>
      </c>
      <c r="E380" s="61"/>
    </row>
    <row r="381" spans="4:5" x14ac:dyDescent="0.25">
      <c r="D381" s="35" t="str">
        <f>Prob!G114</f>
        <v/>
      </c>
      <c r="E381" s="61"/>
    </row>
    <row r="382" spans="4:5" x14ac:dyDescent="0.25">
      <c r="D382" s="35" t="str">
        <f>Prob!G115</f>
        <v/>
      </c>
      <c r="E382" s="61"/>
    </row>
    <row r="383" spans="4:5" x14ac:dyDescent="0.25">
      <c r="D383" s="35" t="str">
        <f>Prob!G116</f>
        <v/>
      </c>
      <c r="E383" s="61"/>
    </row>
    <row r="384" spans="4:5" x14ac:dyDescent="0.25">
      <c r="D384" s="35" t="str">
        <f>Prob!G117</f>
        <v/>
      </c>
      <c r="E384" s="61"/>
    </row>
    <row r="385" spans="4:5" ht="15.75" thickBot="1" x14ac:dyDescent="0.3">
      <c r="D385" s="36" t="str">
        <f>Prob!G118</f>
        <v/>
      </c>
      <c r="E385" s="62"/>
    </row>
  </sheetData>
  <sheetProtection algorithmName="SHA-512" hashValue="UKKMVdKwCpHM4Pk6Wgekhx36VkB/YmUKdeJl/EIrxQvMUyixLmf5EViaXdlAshOUJWiLI9SdOv5dlTfHQmQb5g==" saltValue="s7LM8YWL5tHugNZPinC9nw==" spinCount="100000" sheet="1" objects="1" scenarios="1"/>
  <mergeCells count="1">
    <mergeCell ref="E2:E38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Introduction</vt:lpstr>
      <vt:lpstr>Main</vt:lpstr>
      <vt:lpstr>Prob</vt:lpstr>
      <vt:lpstr>ProbDay</vt:lpstr>
      <vt:lpstr>ProbTab</vt:lpstr>
      <vt:lpstr>ProbYear</vt:lpstr>
      <vt:lpstr>Flow</vt:lpstr>
      <vt:lpstr>ParVar</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Hagen</dc:creator>
  <cp:lastModifiedBy>Hagen</cp:lastModifiedBy>
  <dcterms:created xsi:type="dcterms:W3CDTF">2017-01-19T14:32:56Z</dcterms:created>
  <dcterms:modified xsi:type="dcterms:W3CDTF">2019-07-16T13:46:38Z</dcterms:modified>
</cp:coreProperties>
</file>