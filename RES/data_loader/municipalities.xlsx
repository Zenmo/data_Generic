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Digital-twin-Drechtsteden\Zenmo-ZERO-Drechtsteden\"/>
    </mc:Choice>
  </mc:AlternateContent>
  <xr:revisionPtr revIDLastSave="0" documentId="13_ncr:1_{CE54A508-97B9-4386-95D8-B9F43F9CDE10}" xr6:coauthVersionLast="47" xr6:coauthVersionMax="47" xr10:uidLastSave="{00000000-0000-0000-0000-000000000000}"/>
  <bookViews>
    <workbookView xWindow="-120" yWindow="-120" windowWidth="29040" windowHeight="17640" xr2:uid="{BCC5A214-5D54-4BBC-A6A9-89E0DD1B03E5}"/>
  </bookViews>
  <sheets>
    <sheet name="municipalities" sheetId="1" r:id="rId1"/>
    <sheet name="municipality_pv_potential" sheetId="2" r:id="rId2"/>
    <sheet name="municipality_wind_potential" sheetId="3" r:id="rId3"/>
    <sheet name="municipalities per province" sheetId="5" r:id="rId4"/>
    <sheet name="Gebieden_in_Nederland_2023_2403" sheetId="6" r:id="rId5"/>
    <sheet name="coordinates" sheetId="7" r:id="rId6"/>
  </sheets>
  <definedNames>
    <definedName name="_xlnm._FilterDatabase" localSheetId="3" hidden="1">'municipalities per province'!$A$1:$F$343</definedName>
    <definedName name="Gemeenten_alfabetisch_2022">'municipalities per province'!#REF!</definedName>
    <definedName name="postco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L3" i="1" a="1"/>
  <c r="L3" i="1" s="1"/>
  <c r="K4" i="1" a="1"/>
  <c r="K4" i="1" s="1"/>
  <c r="L4" i="1" a="1"/>
  <c r="L4" i="1" s="1"/>
  <c r="K5" i="1" a="1"/>
  <c r="K5" i="1"/>
  <c r="L5" i="1" a="1"/>
  <c r="L5" i="1" s="1"/>
  <c r="K6" i="1" a="1"/>
  <c r="K6" i="1" s="1"/>
  <c r="L6" i="1" a="1"/>
  <c r="L6" i="1" s="1"/>
  <c r="K7" i="1" a="1"/>
  <c r="K7" i="1" s="1"/>
  <c r="L7" i="1" a="1"/>
  <c r="L7" i="1" s="1"/>
  <c r="K8" i="1" a="1"/>
  <c r="K8" i="1"/>
  <c r="L8" i="1" a="1"/>
  <c r="L8" i="1" s="1"/>
  <c r="K9" i="1" a="1"/>
  <c r="K9" i="1" s="1"/>
  <c r="L9" i="1" a="1"/>
  <c r="L9" i="1" s="1"/>
  <c r="K10" i="1" a="1"/>
  <c r="K10" i="1" s="1"/>
  <c r="L10" i="1" a="1"/>
  <c r="L10" i="1" s="1"/>
  <c r="K11" i="1" a="1"/>
  <c r="K11" i="1"/>
  <c r="L11" i="1" a="1"/>
  <c r="L11" i="1" s="1"/>
  <c r="K12" i="1" a="1"/>
  <c r="K12" i="1" s="1"/>
  <c r="L12" i="1" a="1"/>
  <c r="L12" i="1" s="1"/>
  <c r="K13" i="1" a="1"/>
  <c r="K13" i="1" s="1"/>
  <c r="L13" i="1" a="1"/>
  <c r="L13" i="1" s="1"/>
  <c r="K14" i="1" a="1"/>
  <c r="K14" i="1" s="1"/>
  <c r="L14" i="1" a="1"/>
  <c r="L14" i="1" s="1"/>
  <c r="K15" i="1" a="1"/>
  <c r="K15" i="1" s="1"/>
  <c r="L15" i="1" a="1"/>
  <c r="L15" i="1" s="1"/>
  <c r="K16" i="1" a="1"/>
  <c r="K16" i="1" s="1"/>
  <c r="L16" i="1" a="1"/>
  <c r="L16" i="1" s="1"/>
  <c r="K17" i="1" a="1"/>
  <c r="K17" i="1" s="1"/>
  <c r="L17" i="1" a="1"/>
  <c r="L17" i="1" s="1"/>
  <c r="K18" i="1" a="1"/>
  <c r="K18" i="1" s="1"/>
  <c r="L18" i="1" a="1"/>
  <c r="L18" i="1" s="1"/>
  <c r="K19" i="1" a="1"/>
  <c r="K19" i="1" s="1"/>
  <c r="L19" i="1" a="1"/>
  <c r="L19" i="1" s="1"/>
  <c r="K20" i="1" a="1"/>
  <c r="K20" i="1" s="1"/>
  <c r="L20" i="1" a="1"/>
  <c r="L20" i="1" s="1"/>
  <c r="K21" i="1" a="1"/>
  <c r="K21" i="1" s="1"/>
  <c r="L21" i="1" a="1"/>
  <c r="L21" i="1" s="1"/>
  <c r="K22" i="1" a="1"/>
  <c r="K22" i="1" s="1"/>
  <c r="L22" i="1" a="1"/>
  <c r="L22" i="1" s="1"/>
  <c r="K23" i="1" a="1"/>
  <c r="K23" i="1"/>
  <c r="L23" i="1" a="1"/>
  <c r="L23" i="1" s="1"/>
  <c r="K24" i="1" a="1"/>
  <c r="K24" i="1" s="1"/>
  <c r="L24" i="1" a="1"/>
  <c r="L24" i="1" s="1"/>
  <c r="K25" i="1" a="1"/>
  <c r="K25" i="1" s="1"/>
  <c r="L25" i="1" a="1"/>
  <c r="L25" i="1" s="1"/>
  <c r="K26" i="1" a="1"/>
  <c r="K26" i="1" s="1"/>
  <c r="L26" i="1" a="1"/>
  <c r="L26" i="1" s="1"/>
  <c r="K27" i="1" a="1"/>
  <c r="K27" i="1" s="1"/>
  <c r="L27" i="1" a="1"/>
  <c r="L27" i="1" s="1"/>
  <c r="K28" i="1" a="1"/>
  <c r="K28" i="1" s="1"/>
  <c r="L28" i="1" a="1"/>
  <c r="L28" i="1" s="1"/>
  <c r="K29" i="1" a="1"/>
  <c r="K29" i="1" s="1"/>
  <c r="L29" i="1" a="1"/>
  <c r="L29" i="1" s="1"/>
  <c r="K30" i="1" a="1"/>
  <c r="K30" i="1" s="1"/>
  <c r="L30" i="1" a="1"/>
  <c r="L30" i="1" s="1"/>
  <c r="K31" i="1" a="1"/>
  <c r="K31" i="1" s="1"/>
  <c r="L31" i="1" a="1"/>
  <c r="L31" i="1" s="1"/>
  <c r="K32" i="1" a="1"/>
  <c r="K32" i="1"/>
  <c r="L32" i="1" a="1"/>
  <c r="L32" i="1" s="1"/>
  <c r="K33" i="1" a="1"/>
  <c r="K33" i="1" s="1"/>
  <c r="L33" i="1" a="1"/>
  <c r="L33" i="1" s="1"/>
  <c r="K34" i="1" a="1"/>
  <c r="K34" i="1" s="1"/>
  <c r="L34" i="1" a="1"/>
  <c r="L34" i="1" s="1"/>
  <c r="K35" i="1" a="1"/>
  <c r="K35" i="1" s="1"/>
  <c r="L35" i="1" a="1"/>
  <c r="L35" i="1" s="1"/>
  <c r="K36" i="1" a="1"/>
  <c r="K36" i="1" s="1"/>
  <c r="L36" i="1" a="1"/>
  <c r="L36" i="1" s="1"/>
  <c r="K37" i="1" a="1"/>
  <c r="K37" i="1" s="1"/>
  <c r="L37" i="1" a="1"/>
  <c r="L37" i="1" s="1"/>
  <c r="K38" i="1" a="1"/>
  <c r="K38" i="1"/>
  <c r="L38" i="1" a="1"/>
  <c r="L38" i="1" s="1"/>
  <c r="K39" i="1" a="1"/>
  <c r="K39" i="1" s="1"/>
  <c r="L39" i="1" a="1"/>
  <c r="L39" i="1" s="1"/>
  <c r="K40" i="1" a="1"/>
  <c r="K40" i="1" s="1"/>
  <c r="L40" i="1" a="1"/>
  <c r="L40" i="1" s="1"/>
  <c r="K41" i="1" a="1"/>
  <c r="K41" i="1"/>
  <c r="L41" i="1" a="1"/>
  <c r="L41" i="1" s="1"/>
  <c r="K42" i="1" a="1"/>
  <c r="K42" i="1" s="1"/>
  <c r="L42" i="1" a="1"/>
  <c r="L42" i="1" s="1"/>
  <c r="K43" i="1" a="1"/>
  <c r="K43" i="1" s="1"/>
  <c r="L43" i="1" a="1"/>
  <c r="L43" i="1" s="1"/>
  <c r="K44" i="1" a="1"/>
  <c r="K44" i="1" s="1"/>
  <c r="L44" i="1" a="1"/>
  <c r="L44" i="1" s="1"/>
  <c r="K45" i="1" a="1"/>
  <c r="K45" i="1" s="1"/>
  <c r="L45" i="1" a="1"/>
  <c r="L45" i="1" s="1"/>
  <c r="K46" i="1" a="1"/>
  <c r="K46" i="1" s="1"/>
  <c r="L46" i="1" a="1"/>
  <c r="L46" i="1" s="1"/>
  <c r="K47" i="1" a="1"/>
  <c r="K47" i="1" s="1"/>
  <c r="L47" i="1" a="1"/>
  <c r="L47" i="1" s="1"/>
  <c r="K48" i="1" a="1"/>
  <c r="K48" i="1" s="1"/>
  <c r="L48" i="1" a="1"/>
  <c r="L48" i="1" s="1"/>
  <c r="K49" i="1" a="1"/>
  <c r="K49" i="1" s="1"/>
  <c r="L49" i="1" a="1"/>
  <c r="L49" i="1" s="1"/>
  <c r="K50" i="1" a="1"/>
  <c r="K50" i="1" s="1"/>
  <c r="L50" i="1" a="1"/>
  <c r="L50" i="1" s="1"/>
  <c r="K51" i="1" a="1"/>
  <c r="K51" i="1" s="1"/>
  <c r="L51" i="1" a="1"/>
  <c r="L51" i="1" s="1"/>
  <c r="K52" i="1" a="1"/>
  <c r="K52" i="1" s="1"/>
  <c r="L52" i="1" a="1"/>
  <c r="L52" i="1" s="1"/>
  <c r="K53" i="1" a="1"/>
  <c r="K53" i="1" s="1"/>
  <c r="L53" i="1" a="1"/>
  <c r="L53" i="1" s="1"/>
  <c r="K54" i="1" a="1"/>
  <c r="K54" i="1" s="1"/>
  <c r="L54" i="1" a="1"/>
  <c r="L54" i="1" s="1"/>
  <c r="K55" i="1" a="1"/>
  <c r="K55" i="1" s="1"/>
  <c r="L55" i="1" a="1"/>
  <c r="L55" i="1" s="1"/>
  <c r="K56" i="1" a="1"/>
  <c r="K56" i="1" s="1"/>
  <c r="L56" i="1" a="1"/>
  <c r="L56" i="1" s="1"/>
  <c r="K57" i="1" a="1"/>
  <c r="K57" i="1" s="1"/>
  <c r="L57" i="1" a="1"/>
  <c r="L57" i="1" s="1"/>
  <c r="K58" i="1" a="1"/>
  <c r="K58" i="1" s="1"/>
  <c r="L58" i="1" a="1"/>
  <c r="L58" i="1" s="1"/>
  <c r="K59" i="1" a="1"/>
  <c r="K59" i="1"/>
  <c r="L59" i="1" a="1"/>
  <c r="L59" i="1" s="1"/>
  <c r="K60" i="1" a="1"/>
  <c r="K60" i="1" s="1"/>
  <c r="L60" i="1" a="1"/>
  <c r="L60" i="1" s="1"/>
  <c r="K61" i="1" a="1"/>
  <c r="K61" i="1" s="1"/>
  <c r="L61" i="1" a="1"/>
  <c r="L61" i="1" s="1"/>
  <c r="K62" i="1" a="1"/>
  <c r="K62" i="1" s="1"/>
  <c r="L62" i="1" a="1"/>
  <c r="L62" i="1" s="1"/>
  <c r="K63" i="1" a="1"/>
  <c r="K63" i="1" s="1"/>
  <c r="L63" i="1" a="1"/>
  <c r="L63" i="1" s="1"/>
  <c r="K64" i="1" a="1"/>
  <c r="K64" i="1" s="1"/>
  <c r="L64" i="1" a="1"/>
  <c r="L64" i="1" s="1"/>
  <c r="K65" i="1" a="1"/>
  <c r="K65" i="1" s="1"/>
  <c r="L65" i="1" a="1"/>
  <c r="L65" i="1" s="1"/>
  <c r="K66" i="1" a="1"/>
  <c r="K66" i="1" s="1"/>
  <c r="L66" i="1" a="1"/>
  <c r="L66" i="1" s="1"/>
  <c r="K67" i="1" a="1"/>
  <c r="K67" i="1" s="1"/>
  <c r="L67" i="1" a="1"/>
  <c r="L67" i="1" s="1"/>
  <c r="K68" i="1" a="1"/>
  <c r="K68" i="1"/>
  <c r="L68" i="1" a="1"/>
  <c r="L68" i="1" s="1"/>
  <c r="K69" i="1" a="1"/>
  <c r="K69" i="1" s="1"/>
  <c r="L69" i="1" a="1"/>
  <c r="L69" i="1" s="1"/>
  <c r="K70" i="1" a="1"/>
  <c r="K70" i="1" s="1"/>
  <c r="L70" i="1" a="1"/>
  <c r="L70" i="1" s="1"/>
  <c r="K71" i="1" a="1"/>
  <c r="K71" i="1" s="1"/>
  <c r="L71" i="1" a="1"/>
  <c r="L71" i="1" s="1"/>
  <c r="K72" i="1" a="1"/>
  <c r="K72" i="1" s="1"/>
  <c r="L72" i="1" a="1"/>
  <c r="L72" i="1" s="1"/>
  <c r="K73" i="1" a="1"/>
  <c r="K73" i="1" s="1"/>
  <c r="L73" i="1" a="1"/>
  <c r="L73" i="1" s="1"/>
  <c r="K74" i="1" a="1"/>
  <c r="K74" i="1"/>
  <c r="L74" i="1" a="1"/>
  <c r="L74" i="1" s="1"/>
  <c r="K75" i="1" a="1"/>
  <c r="K75" i="1" s="1"/>
  <c r="L75" i="1" a="1"/>
  <c r="L75" i="1" s="1"/>
  <c r="K76" i="1" a="1"/>
  <c r="K76" i="1" s="1"/>
  <c r="L76" i="1" a="1"/>
  <c r="L76" i="1" s="1"/>
  <c r="K77" i="1" a="1"/>
  <c r="K77" i="1"/>
  <c r="L77" i="1" a="1"/>
  <c r="L77" i="1" s="1"/>
  <c r="K78" i="1" a="1"/>
  <c r="K78" i="1" s="1"/>
  <c r="L78" i="1" a="1"/>
  <c r="L78" i="1" s="1"/>
  <c r="K79" i="1" a="1"/>
  <c r="K79" i="1" s="1"/>
  <c r="L79" i="1" a="1"/>
  <c r="L79" i="1" s="1"/>
  <c r="K80" i="1" a="1"/>
  <c r="K80" i="1" s="1"/>
  <c r="L80" i="1" a="1"/>
  <c r="L80" i="1" s="1"/>
  <c r="K81" i="1" a="1"/>
  <c r="K81" i="1" s="1"/>
  <c r="L81" i="1" a="1"/>
  <c r="L81" i="1" s="1"/>
  <c r="K82" i="1" a="1"/>
  <c r="K82" i="1" s="1"/>
  <c r="L82" i="1" a="1"/>
  <c r="L82" i="1" s="1"/>
  <c r="K83" i="1" a="1"/>
  <c r="K83" i="1" s="1"/>
  <c r="L83" i="1" a="1"/>
  <c r="L83" i="1" s="1"/>
  <c r="K84" i="1" a="1"/>
  <c r="K84" i="1" s="1"/>
  <c r="L84" i="1" a="1"/>
  <c r="L84" i="1" s="1"/>
  <c r="K85" i="1" a="1"/>
  <c r="K85" i="1" s="1"/>
  <c r="L85" i="1" a="1"/>
  <c r="L85" i="1" s="1"/>
  <c r="K86" i="1" a="1"/>
  <c r="K86" i="1" s="1"/>
  <c r="L86" i="1" a="1"/>
  <c r="L86" i="1" s="1"/>
  <c r="K87" i="1" a="1"/>
  <c r="K87" i="1" s="1"/>
  <c r="L87" i="1" a="1"/>
  <c r="L87" i="1" s="1"/>
  <c r="K88" i="1" a="1"/>
  <c r="K88" i="1" s="1"/>
  <c r="L88" i="1" a="1"/>
  <c r="L88" i="1" s="1"/>
  <c r="K89" i="1" a="1"/>
  <c r="K89" i="1" s="1"/>
  <c r="L89" i="1" a="1"/>
  <c r="L89" i="1" s="1"/>
  <c r="K90" i="1" a="1"/>
  <c r="K90" i="1" s="1"/>
  <c r="L90" i="1" a="1"/>
  <c r="L90" i="1" s="1"/>
  <c r="K91" i="1" a="1"/>
  <c r="K91" i="1" s="1"/>
  <c r="L91" i="1" a="1"/>
  <c r="L91" i="1" s="1"/>
  <c r="K92" i="1" a="1"/>
  <c r="K92" i="1" s="1"/>
  <c r="L92" i="1" a="1"/>
  <c r="L92" i="1" s="1"/>
  <c r="K93" i="1" a="1"/>
  <c r="K93" i="1" s="1"/>
  <c r="L93" i="1" a="1"/>
  <c r="L93" i="1" s="1"/>
  <c r="K94" i="1" a="1"/>
  <c r="K94" i="1" s="1"/>
  <c r="L94" i="1" a="1"/>
  <c r="L94" i="1" s="1"/>
  <c r="K95" i="1" a="1"/>
  <c r="K95" i="1"/>
  <c r="L95" i="1" a="1"/>
  <c r="L95" i="1" s="1"/>
  <c r="K96" i="1" a="1"/>
  <c r="K96" i="1" s="1"/>
  <c r="L96" i="1" a="1"/>
  <c r="L96" i="1" s="1"/>
  <c r="K97" i="1" a="1"/>
  <c r="K97" i="1" s="1"/>
  <c r="L97" i="1" a="1"/>
  <c r="L97" i="1" s="1"/>
  <c r="K98" i="1" a="1"/>
  <c r="K98" i="1" s="1"/>
  <c r="L98" i="1" a="1"/>
  <c r="L98" i="1" s="1"/>
  <c r="K99" i="1" a="1"/>
  <c r="K99" i="1" s="1"/>
  <c r="L99" i="1" a="1"/>
  <c r="L99" i="1" s="1"/>
  <c r="K100" i="1" a="1"/>
  <c r="K100" i="1" s="1"/>
  <c r="L100" i="1" a="1"/>
  <c r="L100" i="1" s="1"/>
  <c r="K101" i="1" a="1"/>
  <c r="K101" i="1" s="1"/>
  <c r="L101" i="1" a="1"/>
  <c r="L101" i="1" s="1"/>
  <c r="K102" i="1" a="1"/>
  <c r="K102" i="1" s="1"/>
  <c r="L102" i="1" a="1"/>
  <c r="L102" i="1" s="1"/>
  <c r="K103" i="1" a="1"/>
  <c r="K103" i="1" s="1"/>
  <c r="L103" i="1" a="1"/>
  <c r="L103" i="1" s="1"/>
  <c r="K104" i="1" a="1"/>
  <c r="K104" i="1"/>
  <c r="L104" i="1" a="1"/>
  <c r="L104" i="1" s="1"/>
  <c r="K105" i="1" a="1"/>
  <c r="K105" i="1" s="1"/>
  <c r="L105" i="1" a="1"/>
  <c r="L105" i="1" s="1"/>
  <c r="K106" i="1" a="1"/>
  <c r="K106" i="1" s="1"/>
  <c r="L106" i="1" a="1"/>
  <c r="L106" i="1" s="1"/>
  <c r="K107" i="1" a="1"/>
  <c r="K107" i="1" s="1"/>
  <c r="L107" i="1" a="1"/>
  <c r="L107" i="1" s="1"/>
  <c r="K108" i="1" a="1"/>
  <c r="K108" i="1" s="1"/>
  <c r="L108" i="1" a="1"/>
  <c r="L108" i="1" s="1"/>
  <c r="K109" i="1" a="1"/>
  <c r="K109" i="1" s="1"/>
  <c r="L109" i="1" a="1"/>
  <c r="L109" i="1" s="1"/>
  <c r="K110" i="1" a="1"/>
  <c r="K110" i="1"/>
  <c r="L110" i="1" a="1"/>
  <c r="L110" i="1" s="1"/>
  <c r="K111" i="1" a="1"/>
  <c r="K111" i="1" s="1"/>
  <c r="L111" i="1" a="1"/>
  <c r="L111" i="1" s="1"/>
  <c r="K112" i="1" a="1"/>
  <c r="K112" i="1" s="1"/>
  <c r="L112" i="1" a="1"/>
  <c r="L112" i="1" s="1"/>
  <c r="K113" i="1" a="1"/>
  <c r="K113" i="1"/>
  <c r="L113" i="1" a="1"/>
  <c r="L113" i="1" s="1"/>
  <c r="K114" i="1" a="1"/>
  <c r="K114" i="1" s="1"/>
  <c r="L114" i="1" a="1"/>
  <c r="L114" i="1" s="1"/>
  <c r="K115" i="1" a="1"/>
  <c r="K115" i="1" s="1"/>
  <c r="L115" i="1" a="1"/>
  <c r="L115" i="1" s="1"/>
  <c r="K116" i="1" a="1"/>
  <c r="K116" i="1" s="1"/>
  <c r="L116" i="1" a="1"/>
  <c r="L116" i="1" s="1"/>
  <c r="K117" i="1" a="1"/>
  <c r="K117" i="1" s="1"/>
  <c r="L117" i="1" a="1"/>
  <c r="L117" i="1" s="1"/>
  <c r="K118" i="1" a="1"/>
  <c r="K118" i="1" s="1"/>
  <c r="L118" i="1" a="1"/>
  <c r="L118" i="1" s="1"/>
  <c r="K119" i="1" a="1"/>
  <c r="K119" i="1" s="1"/>
  <c r="L119" i="1" a="1"/>
  <c r="L119" i="1" s="1"/>
  <c r="K120" i="1" a="1"/>
  <c r="K120" i="1" s="1"/>
  <c r="L120" i="1" a="1"/>
  <c r="L120" i="1" s="1"/>
  <c r="K121" i="1" a="1"/>
  <c r="K121" i="1" s="1"/>
  <c r="L121" i="1" a="1"/>
  <c r="L121" i="1" s="1"/>
  <c r="K122" i="1" a="1"/>
  <c r="K122" i="1"/>
  <c r="L122" i="1" a="1"/>
  <c r="L122" i="1" s="1"/>
  <c r="K123" i="1" a="1"/>
  <c r="K123" i="1" s="1"/>
  <c r="L123" i="1" a="1"/>
  <c r="L123" i="1" s="1"/>
  <c r="K124" i="1" a="1"/>
  <c r="K124" i="1" s="1"/>
  <c r="L124" i="1" a="1"/>
  <c r="L124" i="1" s="1"/>
  <c r="K125" i="1" a="1"/>
  <c r="K125" i="1" s="1"/>
  <c r="L125" i="1" a="1"/>
  <c r="L125" i="1" s="1"/>
  <c r="K126" i="1" a="1"/>
  <c r="K126" i="1" s="1"/>
  <c r="L126" i="1" a="1"/>
  <c r="L126" i="1" s="1"/>
  <c r="K127" i="1" a="1"/>
  <c r="K127" i="1" s="1"/>
  <c r="L127" i="1" a="1"/>
  <c r="L127" i="1" s="1"/>
  <c r="K128" i="1" a="1"/>
  <c r="K128" i="1"/>
  <c r="L128" i="1" a="1"/>
  <c r="L128" i="1" s="1"/>
  <c r="K129" i="1" a="1"/>
  <c r="K129" i="1" s="1"/>
  <c r="L129" i="1" a="1"/>
  <c r="L129" i="1" s="1"/>
  <c r="K130" i="1" a="1"/>
  <c r="K130" i="1" s="1"/>
  <c r="L130" i="1" a="1"/>
  <c r="L130" i="1" s="1"/>
  <c r="K131" i="1" a="1"/>
  <c r="K131" i="1"/>
  <c r="L131" i="1" a="1"/>
  <c r="L131" i="1" s="1"/>
  <c r="K132" i="1" a="1"/>
  <c r="K132" i="1" s="1"/>
  <c r="L132" i="1" a="1"/>
  <c r="L132" i="1" s="1"/>
  <c r="K133" i="1" a="1"/>
  <c r="K133" i="1" s="1"/>
  <c r="L133" i="1" a="1"/>
  <c r="L133" i="1" s="1"/>
  <c r="K134" i="1" a="1"/>
  <c r="K134" i="1" s="1"/>
  <c r="L134" i="1" a="1"/>
  <c r="L134" i="1" s="1"/>
  <c r="K135" i="1" a="1"/>
  <c r="K135" i="1" s="1"/>
  <c r="L135" i="1" a="1"/>
  <c r="L135" i="1" s="1"/>
  <c r="K136" i="1" a="1"/>
  <c r="K136" i="1" s="1"/>
  <c r="L136" i="1" a="1"/>
  <c r="L136" i="1" s="1"/>
  <c r="K137" i="1" a="1"/>
  <c r="K137" i="1" s="1"/>
  <c r="L137" i="1" a="1"/>
  <c r="L137" i="1" s="1"/>
  <c r="K138" i="1" a="1"/>
  <c r="K138" i="1" s="1"/>
  <c r="L138" i="1" a="1"/>
  <c r="L138" i="1" s="1"/>
  <c r="K139" i="1" a="1"/>
  <c r="K139" i="1" s="1"/>
  <c r="L139" i="1" a="1"/>
  <c r="L139" i="1" s="1"/>
  <c r="K140" i="1" a="1"/>
  <c r="K140" i="1"/>
  <c r="L140" i="1" a="1"/>
  <c r="L140" i="1" s="1"/>
  <c r="K141" i="1" a="1"/>
  <c r="K141" i="1" s="1"/>
  <c r="L141" i="1" a="1"/>
  <c r="L141" i="1" s="1"/>
  <c r="K142" i="1" a="1"/>
  <c r="K142" i="1" s="1"/>
  <c r="L142" i="1" a="1"/>
  <c r="L142" i="1" s="1"/>
  <c r="K143" i="1" a="1"/>
  <c r="K143" i="1" s="1"/>
  <c r="L143" i="1" a="1"/>
  <c r="L143" i="1" s="1"/>
  <c r="K144" i="1" a="1"/>
  <c r="K144" i="1" s="1"/>
  <c r="L144" i="1" a="1"/>
  <c r="L144" i="1" s="1"/>
  <c r="K145" i="1" a="1"/>
  <c r="K145" i="1" s="1"/>
  <c r="L145" i="1" a="1"/>
  <c r="L145" i="1" s="1"/>
  <c r="K146" i="1" a="1"/>
  <c r="K146" i="1"/>
  <c r="L146" i="1" a="1"/>
  <c r="L146" i="1" s="1"/>
  <c r="K147" i="1" a="1"/>
  <c r="K147" i="1" s="1"/>
  <c r="L147" i="1" a="1"/>
  <c r="L147" i="1" s="1"/>
  <c r="K148" i="1" a="1"/>
  <c r="K148" i="1" s="1"/>
  <c r="L148" i="1" a="1"/>
  <c r="L148" i="1" s="1"/>
  <c r="K149" i="1" a="1"/>
  <c r="K149" i="1"/>
  <c r="L149" i="1" a="1"/>
  <c r="L149" i="1" s="1"/>
  <c r="K150" i="1" a="1"/>
  <c r="K150" i="1" s="1"/>
  <c r="L150" i="1" a="1"/>
  <c r="L150" i="1" s="1"/>
  <c r="K151" i="1" a="1"/>
  <c r="K151" i="1" s="1"/>
  <c r="L151" i="1" a="1"/>
  <c r="L151" i="1" s="1"/>
  <c r="K152" i="1" a="1"/>
  <c r="K152" i="1" s="1"/>
  <c r="L152" i="1" a="1"/>
  <c r="L152" i="1" s="1"/>
  <c r="K153" i="1" a="1"/>
  <c r="K153" i="1" s="1"/>
  <c r="L153" i="1" a="1"/>
  <c r="L153" i="1" s="1"/>
  <c r="K154" i="1" a="1"/>
  <c r="K154" i="1" s="1"/>
  <c r="L154" i="1" a="1"/>
  <c r="L154" i="1" s="1"/>
  <c r="K155" i="1" a="1"/>
  <c r="K155" i="1" s="1"/>
  <c r="L155" i="1" a="1"/>
  <c r="L155" i="1" s="1"/>
  <c r="K156" i="1" a="1"/>
  <c r="K156" i="1" s="1"/>
  <c r="L156" i="1" a="1"/>
  <c r="L156" i="1" s="1"/>
  <c r="K157" i="1" a="1"/>
  <c r="K157" i="1" s="1"/>
  <c r="L157" i="1" a="1"/>
  <c r="L157" i="1" s="1"/>
  <c r="K158" i="1" a="1"/>
  <c r="K158" i="1"/>
  <c r="L158" i="1" a="1"/>
  <c r="L158" i="1" s="1"/>
  <c r="K159" i="1" a="1"/>
  <c r="K159" i="1" s="1"/>
  <c r="L159" i="1" a="1"/>
  <c r="L159" i="1" s="1"/>
  <c r="K160" i="1" a="1"/>
  <c r="K160" i="1" s="1"/>
  <c r="L160" i="1" a="1"/>
  <c r="L160" i="1" s="1"/>
  <c r="K161" i="1" a="1"/>
  <c r="K161" i="1" s="1"/>
  <c r="L161" i="1" a="1"/>
  <c r="L161" i="1" s="1"/>
  <c r="K162" i="1" a="1"/>
  <c r="K162" i="1" s="1"/>
  <c r="L162" i="1" a="1"/>
  <c r="L162" i="1" s="1"/>
  <c r="K163" i="1" a="1"/>
  <c r="K163" i="1" s="1"/>
  <c r="L163" i="1" a="1"/>
  <c r="L163" i="1" s="1"/>
  <c r="K164" i="1" a="1"/>
  <c r="K164" i="1" s="1"/>
  <c r="L164" i="1" a="1"/>
  <c r="L164" i="1" s="1"/>
  <c r="K165" i="1" a="1"/>
  <c r="K165" i="1" s="1"/>
  <c r="L165" i="1" a="1"/>
  <c r="L165" i="1" s="1"/>
  <c r="K166" i="1" a="1"/>
  <c r="K166" i="1" s="1"/>
  <c r="L166" i="1" a="1"/>
  <c r="L166" i="1" s="1"/>
  <c r="K167" i="1" a="1"/>
  <c r="K167" i="1"/>
  <c r="L167" i="1" a="1"/>
  <c r="L167" i="1" s="1"/>
  <c r="K168" i="1" a="1"/>
  <c r="K168" i="1" s="1"/>
  <c r="L168" i="1" a="1"/>
  <c r="L168" i="1" s="1"/>
  <c r="K169" i="1" a="1"/>
  <c r="K169" i="1" s="1"/>
  <c r="L169" i="1" a="1"/>
  <c r="L169" i="1" s="1"/>
  <c r="K170" i="1" a="1"/>
  <c r="K170" i="1" s="1"/>
  <c r="L170" i="1" a="1"/>
  <c r="L170" i="1" s="1"/>
  <c r="K171" i="1" a="1"/>
  <c r="K171" i="1" s="1"/>
  <c r="L171" i="1" a="1"/>
  <c r="L171" i="1" s="1"/>
  <c r="K172" i="1" a="1"/>
  <c r="K172" i="1" s="1"/>
  <c r="L172" i="1" a="1"/>
  <c r="L172" i="1" s="1"/>
  <c r="K173" i="1" a="1"/>
  <c r="K173" i="1" s="1"/>
  <c r="L173" i="1" a="1"/>
  <c r="L173" i="1" s="1"/>
  <c r="K174" i="1" a="1"/>
  <c r="K174" i="1" s="1"/>
  <c r="L174" i="1" a="1"/>
  <c r="L174" i="1" s="1"/>
  <c r="K175" i="1" a="1"/>
  <c r="K175" i="1" s="1"/>
  <c r="L175" i="1" a="1"/>
  <c r="L175" i="1" s="1"/>
  <c r="K176" i="1" a="1"/>
  <c r="K176" i="1" s="1"/>
  <c r="L176" i="1" a="1"/>
  <c r="L176" i="1" s="1"/>
  <c r="K177" i="1" a="1"/>
  <c r="K177" i="1" s="1"/>
  <c r="L177" i="1" a="1"/>
  <c r="L177" i="1" s="1"/>
  <c r="K178" i="1" a="1"/>
  <c r="K178" i="1" s="1"/>
  <c r="L178" i="1" a="1"/>
  <c r="L178" i="1" s="1"/>
  <c r="K179" i="1" a="1"/>
  <c r="K179" i="1" s="1"/>
  <c r="L179" i="1" a="1"/>
  <c r="L179" i="1" s="1"/>
  <c r="K180" i="1" a="1"/>
  <c r="K180" i="1" s="1"/>
  <c r="L180" i="1" a="1"/>
  <c r="L180" i="1" s="1"/>
  <c r="K181" i="1" a="1"/>
  <c r="K181" i="1" s="1"/>
  <c r="L181" i="1" a="1"/>
  <c r="L181" i="1" s="1"/>
  <c r="K182" i="1" a="1"/>
  <c r="K182" i="1"/>
  <c r="L182" i="1" a="1"/>
  <c r="L182" i="1" s="1"/>
  <c r="K183" i="1" a="1"/>
  <c r="K183" i="1" s="1"/>
  <c r="L183" i="1" a="1"/>
  <c r="L183" i="1" s="1"/>
  <c r="K184" i="1" a="1"/>
  <c r="K184" i="1" s="1"/>
  <c r="L184" i="1" a="1"/>
  <c r="L184" i="1" s="1"/>
  <c r="K185" i="1" a="1"/>
  <c r="K185" i="1"/>
  <c r="L185" i="1" a="1"/>
  <c r="L185" i="1" s="1"/>
  <c r="K186" i="1" a="1"/>
  <c r="K186" i="1" s="1"/>
  <c r="L186" i="1" a="1"/>
  <c r="L186" i="1" s="1"/>
  <c r="K187" i="1" a="1"/>
  <c r="K187" i="1" s="1"/>
  <c r="L187" i="1" a="1"/>
  <c r="L187" i="1" s="1"/>
  <c r="K188" i="1" a="1"/>
  <c r="K188" i="1" s="1"/>
  <c r="L188" i="1" a="1"/>
  <c r="L188" i="1" s="1"/>
  <c r="K189" i="1" a="1"/>
  <c r="K189" i="1" s="1"/>
  <c r="L189" i="1" a="1"/>
  <c r="L189" i="1" s="1"/>
  <c r="K190" i="1" a="1"/>
  <c r="K190" i="1" s="1"/>
  <c r="L190" i="1" a="1"/>
  <c r="L190" i="1" s="1"/>
  <c r="K191" i="1" a="1"/>
  <c r="K191" i="1"/>
  <c r="L191" i="1" a="1"/>
  <c r="L191" i="1" s="1"/>
  <c r="K192" i="1" a="1"/>
  <c r="K192" i="1" s="1"/>
  <c r="L192" i="1" a="1"/>
  <c r="L192" i="1" s="1"/>
  <c r="K193" i="1" a="1"/>
  <c r="K193" i="1" s="1"/>
  <c r="L193" i="1" a="1"/>
  <c r="L193" i="1" s="1"/>
  <c r="K194" i="1" a="1"/>
  <c r="K194" i="1" s="1"/>
  <c r="L194" i="1" a="1"/>
  <c r="L194" i="1" s="1"/>
  <c r="K195" i="1" a="1"/>
  <c r="K195" i="1" s="1"/>
  <c r="L195" i="1" a="1"/>
  <c r="L195" i="1" s="1"/>
  <c r="K196" i="1" a="1"/>
  <c r="K196" i="1" s="1"/>
  <c r="L196" i="1" a="1"/>
  <c r="L196" i="1" s="1"/>
  <c r="K197" i="1" a="1"/>
  <c r="K197" i="1" s="1"/>
  <c r="L197" i="1" a="1"/>
  <c r="L197" i="1" s="1"/>
  <c r="K198" i="1" a="1"/>
  <c r="K198" i="1" s="1"/>
  <c r="L198" i="1" a="1"/>
  <c r="L198" i="1" s="1"/>
  <c r="K199" i="1" a="1"/>
  <c r="K199" i="1" s="1"/>
  <c r="L199" i="1" a="1"/>
  <c r="L199" i="1" s="1"/>
  <c r="K200" i="1" a="1"/>
  <c r="K200" i="1" s="1"/>
  <c r="L200" i="1" a="1"/>
  <c r="L200" i="1" s="1"/>
  <c r="K201" i="1" a="1"/>
  <c r="K201" i="1" s="1"/>
  <c r="L201" i="1" a="1"/>
  <c r="L201" i="1" s="1"/>
  <c r="K202" i="1" a="1"/>
  <c r="K202" i="1" s="1"/>
  <c r="L202" i="1" a="1"/>
  <c r="L202" i="1" s="1"/>
  <c r="K203" i="1" a="1"/>
  <c r="K203" i="1"/>
  <c r="L203" i="1" a="1"/>
  <c r="L203" i="1" s="1"/>
  <c r="K204" i="1" a="1"/>
  <c r="K204" i="1" s="1"/>
  <c r="L204" i="1" a="1"/>
  <c r="L204" i="1" s="1"/>
  <c r="K205" i="1" a="1"/>
  <c r="K205" i="1" s="1"/>
  <c r="L205" i="1" a="1"/>
  <c r="L205" i="1" s="1"/>
  <c r="K206" i="1" a="1"/>
  <c r="K206" i="1" s="1"/>
  <c r="L206" i="1" a="1"/>
  <c r="L206" i="1" s="1"/>
  <c r="K207" i="1" a="1"/>
  <c r="K207" i="1" s="1"/>
  <c r="L207" i="1" a="1"/>
  <c r="L207" i="1" s="1"/>
  <c r="K208" i="1" a="1"/>
  <c r="K208" i="1" s="1"/>
  <c r="L208" i="1" a="1"/>
  <c r="L208" i="1" s="1"/>
  <c r="K209" i="1" a="1"/>
  <c r="K209" i="1" s="1"/>
  <c r="L209" i="1" a="1"/>
  <c r="L209" i="1" s="1"/>
  <c r="K210" i="1" a="1"/>
  <c r="K210" i="1" s="1"/>
  <c r="L210" i="1" a="1"/>
  <c r="L210" i="1" s="1"/>
  <c r="K211" i="1" a="1"/>
  <c r="K211" i="1" s="1"/>
  <c r="L211" i="1" a="1"/>
  <c r="L211" i="1" s="1"/>
  <c r="K212" i="1" a="1"/>
  <c r="K212" i="1" s="1"/>
  <c r="L212" i="1" a="1"/>
  <c r="L212" i="1" s="1"/>
  <c r="K213" i="1" a="1"/>
  <c r="K213" i="1" s="1"/>
  <c r="L213" i="1" a="1"/>
  <c r="L213" i="1" s="1"/>
  <c r="K214" i="1" a="1"/>
  <c r="K214" i="1" s="1"/>
  <c r="L214" i="1" a="1"/>
  <c r="L214" i="1" s="1"/>
  <c r="K215" i="1" a="1"/>
  <c r="K215" i="1" s="1"/>
  <c r="L215" i="1" a="1"/>
  <c r="L215" i="1" s="1"/>
  <c r="K216" i="1" a="1"/>
  <c r="K216" i="1" s="1"/>
  <c r="L216" i="1" a="1"/>
  <c r="L216" i="1" s="1"/>
  <c r="K217" i="1" a="1"/>
  <c r="K217" i="1" s="1"/>
  <c r="L217" i="1" a="1"/>
  <c r="L217" i="1" s="1"/>
  <c r="K218" i="1" a="1"/>
  <c r="K218" i="1"/>
  <c r="L218" i="1" a="1"/>
  <c r="L218" i="1" s="1"/>
  <c r="K219" i="1" a="1"/>
  <c r="K219" i="1" s="1"/>
  <c r="L219" i="1" a="1"/>
  <c r="L219" i="1" s="1"/>
  <c r="K220" i="1" a="1"/>
  <c r="K220" i="1" s="1"/>
  <c r="L220" i="1" a="1"/>
  <c r="L220" i="1" s="1"/>
  <c r="K221" i="1" a="1"/>
  <c r="K221" i="1"/>
  <c r="L221" i="1" a="1"/>
  <c r="L221" i="1" s="1"/>
  <c r="K222" i="1" a="1"/>
  <c r="K222" i="1" s="1"/>
  <c r="L222" i="1" a="1"/>
  <c r="L222" i="1" s="1"/>
  <c r="K223" i="1" a="1"/>
  <c r="K223" i="1" s="1"/>
  <c r="L223" i="1" a="1"/>
  <c r="L223" i="1" s="1"/>
  <c r="K224" i="1" a="1"/>
  <c r="K224" i="1" s="1"/>
  <c r="L224" i="1" a="1"/>
  <c r="L224" i="1" s="1"/>
  <c r="K225" i="1" a="1"/>
  <c r="K225" i="1" s="1"/>
  <c r="L225" i="1" a="1"/>
  <c r="L225" i="1" s="1"/>
  <c r="K226" i="1" a="1"/>
  <c r="K226" i="1" s="1"/>
  <c r="L226" i="1" a="1"/>
  <c r="L226" i="1" s="1"/>
  <c r="K227" i="1" a="1"/>
  <c r="K227" i="1" s="1"/>
  <c r="L227" i="1" a="1"/>
  <c r="L227" i="1" s="1"/>
  <c r="K228" i="1" a="1"/>
  <c r="K228" i="1" s="1"/>
  <c r="L228" i="1" a="1"/>
  <c r="L228" i="1" s="1"/>
  <c r="K229" i="1" a="1"/>
  <c r="K229" i="1" s="1"/>
  <c r="L229" i="1" a="1"/>
  <c r="L229" i="1" s="1"/>
  <c r="K230" i="1" a="1"/>
  <c r="K230" i="1" s="1"/>
  <c r="L230" i="1" a="1"/>
  <c r="L230" i="1" s="1"/>
  <c r="K231" i="1" a="1"/>
  <c r="K231" i="1" s="1"/>
  <c r="L231" i="1" a="1"/>
  <c r="L231" i="1" s="1"/>
  <c r="K232" i="1" a="1"/>
  <c r="K232" i="1" s="1"/>
  <c r="L232" i="1" a="1"/>
  <c r="L232" i="1" s="1"/>
  <c r="K233" i="1" a="1"/>
  <c r="K233" i="1" s="1"/>
  <c r="L233" i="1" a="1"/>
  <c r="L233" i="1" s="1"/>
  <c r="K234" i="1" a="1"/>
  <c r="K234" i="1" s="1"/>
  <c r="L234" i="1" a="1"/>
  <c r="L234" i="1" s="1"/>
  <c r="K235" i="1" a="1"/>
  <c r="K235" i="1" s="1"/>
  <c r="L235" i="1" a="1"/>
  <c r="L235" i="1" s="1"/>
  <c r="K236" i="1" a="1"/>
  <c r="K236" i="1"/>
  <c r="L236" i="1" a="1"/>
  <c r="L236" i="1" s="1"/>
  <c r="K237" i="1" a="1"/>
  <c r="K237" i="1" s="1"/>
  <c r="L237" i="1" a="1"/>
  <c r="L237" i="1" s="1"/>
  <c r="K238" i="1" a="1"/>
  <c r="K238" i="1" s="1"/>
  <c r="L238" i="1" a="1"/>
  <c r="L238" i="1" s="1"/>
  <c r="K239" i="1" a="1"/>
  <c r="K239" i="1"/>
  <c r="L239" i="1" a="1"/>
  <c r="L239" i="1" s="1"/>
  <c r="K240" i="1" a="1"/>
  <c r="K240" i="1" s="1"/>
  <c r="L240" i="1" a="1"/>
  <c r="L240" i="1" s="1"/>
  <c r="K241" i="1" a="1"/>
  <c r="K241" i="1" s="1"/>
  <c r="L241" i="1" a="1"/>
  <c r="L241" i="1" s="1"/>
  <c r="K242" i="1" a="1"/>
  <c r="K242" i="1" s="1"/>
  <c r="L242" i="1" a="1"/>
  <c r="L242" i="1" s="1"/>
  <c r="K243" i="1" a="1"/>
  <c r="K243" i="1" s="1"/>
  <c r="L243" i="1" a="1"/>
  <c r="L243" i="1" s="1"/>
  <c r="K244" i="1" a="1"/>
  <c r="K244" i="1" s="1"/>
  <c r="L244" i="1" a="1"/>
  <c r="L244" i="1" s="1"/>
  <c r="K245" i="1" a="1"/>
  <c r="K245" i="1" s="1"/>
  <c r="L245" i="1" a="1"/>
  <c r="L245" i="1" s="1"/>
  <c r="K246" i="1" a="1"/>
  <c r="K246" i="1" s="1"/>
  <c r="L246" i="1" a="1"/>
  <c r="L246" i="1" s="1"/>
  <c r="K247" i="1" a="1"/>
  <c r="K247" i="1" s="1"/>
  <c r="L247" i="1" a="1"/>
  <c r="L247" i="1" s="1"/>
  <c r="K248" i="1" a="1"/>
  <c r="K248" i="1" s="1"/>
  <c r="L248" i="1" a="1"/>
  <c r="L248" i="1" s="1"/>
  <c r="K249" i="1" a="1"/>
  <c r="K249" i="1" s="1"/>
  <c r="L249" i="1" a="1"/>
  <c r="L249" i="1" s="1"/>
  <c r="K250" i="1" a="1"/>
  <c r="K250" i="1" s="1"/>
  <c r="L250" i="1" a="1"/>
  <c r="L250" i="1" s="1"/>
  <c r="K251" i="1" a="1"/>
  <c r="K251" i="1" s="1"/>
  <c r="L251" i="1" a="1"/>
  <c r="L251" i="1" s="1"/>
  <c r="K252" i="1" a="1"/>
  <c r="K252" i="1" s="1"/>
  <c r="L252" i="1" a="1"/>
  <c r="L252" i="1" s="1"/>
  <c r="K253" i="1" a="1"/>
  <c r="K253" i="1" s="1"/>
  <c r="L253" i="1" a="1"/>
  <c r="L253" i="1" s="1"/>
  <c r="K254" i="1" a="1"/>
  <c r="K254" i="1"/>
  <c r="L254" i="1" a="1"/>
  <c r="L254" i="1" s="1"/>
  <c r="K255" i="1" a="1"/>
  <c r="K255" i="1" s="1"/>
  <c r="L255" i="1" a="1"/>
  <c r="L255" i="1" s="1"/>
  <c r="K256" i="1" a="1"/>
  <c r="K256" i="1" s="1"/>
  <c r="L256" i="1" a="1"/>
  <c r="L256" i="1" s="1"/>
  <c r="K257" i="1" a="1"/>
  <c r="K257" i="1"/>
  <c r="L257" i="1" a="1"/>
  <c r="L257" i="1" s="1"/>
  <c r="K258" i="1" a="1"/>
  <c r="K258" i="1" s="1"/>
  <c r="L258" i="1" a="1"/>
  <c r="L258" i="1"/>
  <c r="K259" i="1" a="1"/>
  <c r="K259" i="1" s="1"/>
  <c r="L259" i="1" a="1"/>
  <c r="L259" i="1" s="1"/>
  <c r="K260" i="1" a="1"/>
  <c r="K260" i="1"/>
  <c r="L260" i="1" a="1"/>
  <c r="L260" i="1" s="1"/>
  <c r="K261" i="1" a="1"/>
  <c r="K261" i="1" s="1"/>
  <c r="L261" i="1" a="1"/>
  <c r="L261" i="1"/>
  <c r="K262" i="1" a="1"/>
  <c r="K262" i="1" s="1"/>
  <c r="L262" i="1" a="1"/>
  <c r="L262" i="1" s="1"/>
  <c r="K263" i="1" a="1"/>
  <c r="K263" i="1"/>
  <c r="L263" i="1" a="1"/>
  <c r="L263" i="1" s="1"/>
  <c r="K264" i="1" a="1"/>
  <c r="K264" i="1" s="1"/>
  <c r="L264" i="1" a="1"/>
  <c r="L264" i="1"/>
  <c r="K265" i="1" a="1"/>
  <c r="K265" i="1" s="1"/>
  <c r="L265" i="1" a="1"/>
  <c r="L265" i="1" s="1"/>
  <c r="K266" i="1" a="1"/>
  <c r="K266" i="1" s="1"/>
  <c r="L266" i="1" a="1"/>
  <c r="L266" i="1" s="1"/>
  <c r="K267" i="1" a="1"/>
  <c r="K267" i="1" s="1"/>
  <c r="L267" i="1" a="1"/>
  <c r="L267" i="1"/>
  <c r="K268" i="1" a="1"/>
  <c r="K268" i="1" s="1"/>
  <c r="L268" i="1" a="1"/>
  <c r="L268" i="1" s="1"/>
  <c r="K269" i="1" a="1"/>
  <c r="K269" i="1" s="1"/>
  <c r="L269" i="1" a="1"/>
  <c r="L269" i="1" s="1"/>
  <c r="K270" i="1" a="1"/>
  <c r="K270" i="1" s="1"/>
  <c r="L270" i="1" a="1"/>
  <c r="L270" i="1"/>
  <c r="K271" i="1" a="1"/>
  <c r="K271" i="1" s="1"/>
  <c r="L271" i="1" a="1"/>
  <c r="L271" i="1" s="1"/>
  <c r="K272" i="1" a="1"/>
  <c r="K272" i="1" s="1"/>
  <c r="L272" i="1" a="1"/>
  <c r="L272" i="1" s="1"/>
  <c r="K273" i="1" a="1"/>
  <c r="K273" i="1" s="1"/>
  <c r="L273" i="1" a="1"/>
  <c r="L273" i="1"/>
  <c r="K274" i="1" a="1"/>
  <c r="K274" i="1" s="1"/>
  <c r="L274" i="1" a="1"/>
  <c r="L274" i="1" s="1"/>
  <c r="K275" i="1" a="1"/>
  <c r="K275" i="1" s="1"/>
  <c r="L275" i="1" a="1"/>
  <c r="L275" i="1" s="1"/>
  <c r="K276" i="1" a="1"/>
  <c r="K276" i="1" s="1"/>
  <c r="L276" i="1" a="1"/>
  <c r="L276" i="1"/>
  <c r="K277" i="1" a="1"/>
  <c r="K277" i="1" s="1"/>
  <c r="L277" i="1" a="1"/>
  <c r="L277" i="1" s="1"/>
  <c r="K278" i="1" a="1"/>
  <c r="K278" i="1" s="1"/>
  <c r="L278" i="1" a="1"/>
  <c r="L278" i="1" s="1"/>
  <c r="K279" i="1" a="1"/>
  <c r="K279" i="1" s="1"/>
  <c r="L279" i="1" a="1"/>
  <c r="L279" i="1"/>
  <c r="K280" i="1" a="1"/>
  <c r="K280" i="1" s="1"/>
  <c r="L280" i="1" a="1"/>
  <c r="L280" i="1" s="1"/>
  <c r="K281" i="1" a="1"/>
  <c r="K281" i="1" s="1"/>
  <c r="L281" i="1" a="1"/>
  <c r="L281" i="1" s="1"/>
  <c r="K282" i="1" a="1"/>
  <c r="K282" i="1" s="1"/>
  <c r="L282" i="1" a="1"/>
  <c r="L282" i="1"/>
  <c r="K283" i="1" a="1"/>
  <c r="K283" i="1" s="1"/>
  <c r="L283" i="1" a="1"/>
  <c r="L283" i="1" s="1"/>
  <c r="K284" i="1" a="1"/>
  <c r="K284" i="1" s="1"/>
  <c r="L284" i="1" a="1"/>
  <c r="L284" i="1" s="1"/>
  <c r="K285" i="1" a="1"/>
  <c r="K285" i="1" s="1"/>
  <c r="L285" i="1" a="1"/>
  <c r="L285" i="1"/>
  <c r="K286" i="1" a="1"/>
  <c r="K286" i="1" s="1"/>
  <c r="L286" i="1" a="1"/>
  <c r="L286" i="1" s="1"/>
  <c r="K287" i="1" a="1"/>
  <c r="K287" i="1" s="1"/>
  <c r="L287" i="1" a="1"/>
  <c r="L287" i="1" s="1"/>
  <c r="K288" i="1" a="1"/>
  <c r="K288" i="1" s="1"/>
  <c r="L288" i="1" a="1"/>
  <c r="L288" i="1"/>
  <c r="K289" i="1" a="1"/>
  <c r="K289" i="1" s="1"/>
  <c r="L289" i="1" a="1"/>
  <c r="L289" i="1" s="1"/>
  <c r="K290" i="1" a="1"/>
  <c r="K290" i="1" s="1"/>
  <c r="L290" i="1" a="1"/>
  <c r="L290" i="1" s="1"/>
  <c r="K291" i="1" a="1"/>
  <c r="K291" i="1" s="1"/>
  <c r="L291" i="1" a="1"/>
  <c r="L291" i="1"/>
  <c r="K292" i="1" a="1"/>
  <c r="K292" i="1" s="1"/>
  <c r="L292" i="1" a="1"/>
  <c r="L292" i="1" s="1"/>
  <c r="K293" i="1" a="1"/>
  <c r="K293" i="1" s="1"/>
  <c r="L293" i="1" a="1"/>
  <c r="L293" i="1" s="1"/>
  <c r="K294" i="1" a="1"/>
  <c r="K294" i="1" s="1"/>
  <c r="L294" i="1" a="1"/>
  <c r="L294" i="1"/>
  <c r="K295" i="1" a="1"/>
  <c r="K295" i="1" s="1"/>
  <c r="L295" i="1" a="1"/>
  <c r="L295" i="1" s="1"/>
  <c r="K296" i="1" a="1"/>
  <c r="K296" i="1" s="1"/>
  <c r="L296" i="1" a="1"/>
  <c r="L296" i="1" s="1"/>
  <c r="K297" i="1" a="1"/>
  <c r="K297" i="1" s="1"/>
  <c r="L297" i="1" a="1"/>
  <c r="L297" i="1"/>
  <c r="K298" i="1" a="1"/>
  <c r="K298" i="1" s="1"/>
  <c r="L298" i="1" a="1"/>
  <c r="L298" i="1" s="1"/>
  <c r="K299" i="1" a="1"/>
  <c r="K299" i="1" s="1"/>
  <c r="L299" i="1" a="1"/>
  <c r="L299" i="1" s="1"/>
  <c r="K300" i="1" a="1"/>
  <c r="K300" i="1" s="1"/>
  <c r="L300" i="1" a="1"/>
  <c r="L300" i="1"/>
  <c r="K301" i="1" a="1"/>
  <c r="K301" i="1" s="1"/>
  <c r="L301" i="1" a="1"/>
  <c r="L301" i="1" s="1"/>
  <c r="K302" i="1" a="1"/>
  <c r="K302" i="1" s="1"/>
  <c r="L302" i="1" a="1"/>
  <c r="L302" i="1" s="1"/>
  <c r="K303" i="1" a="1"/>
  <c r="K303" i="1" s="1"/>
  <c r="L303" i="1" a="1"/>
  <c r="L303" i="1"/>
  <c r="K304" i="1" a="1"/>
  <c r="K304" i="1" s="1"/>
  <c r="L304" i="1" a="1"/>
  <c r="L304" i="1" s="1"/>
  <c r="K305" i="1" a="1"/>
  <c r="K305" i="1" s="1"/>
  <c r="L305" i="1" a="1"/>
  <c r="L305" i="1" s="1"/>
  <c r="K306" i="1" a="1"/>
  <c r="K306" i="1" s="1"/>
  <c r="L306" i="1" a="1"/>
  <c r="L306" i="1"/>
  <c r="K307" i="1" a="1"/>
  <c r="K307" i="1" s="1"/>
  <c r="L307" i="1" a="1"/>
  <c r="L307" i="1" s="1"/>
  <c r="K308" i="1" a="1"/>
  <c r="K308" i="1" s="1"/>
  <c r="L308" i="1" a="1"/>
  <c r="L308" i="1" s="1"/>
  <c r="K309" i="1" a="1"/>
  <c r="K309" i="1" s="1"/>
  <c r="L309" i="1" a="1"/>
  <c r="L309" i="1"/>
  <c r="K310" i="1" a="1"/>
  <c r="K310" i="1" s="1"/>
  <c r="L310" i="1" a="1"/>
  <c r="L310" i="1" s="1"/>
  <c r="K311" i="1" a="1"/>
  <c r="K311" i="1" s="1"/>
  <c r="L311" i="1" a="1"/>
  <c r="L311" i="1" s="1"/>
  <c r="K312" i="1" a="1"/>
  <c r="K312" i="1" s="1"/>
  <c r="L312" i="1" a="1"/>
  <c r="L312" i="1"/>
  <c r="K313" i="1" a="1"/>
  <c r="K313" i="1" s="1"/>
  <c r="L313" i="1" a="1"/>
  <c r="L313" i="1" s="1"/>
  <c r="K314" i="1" a="1"/>
  <c r="K314" i="1" s="1"/>
  <c r="L314" i="1" a="1"/>
  <c r="L314" i="1" s="1"/>
  <c r="K315" i="1" a="1"/>
  <c r="K315" i="1" s="1"/>
  <c r="L315" i="1" a="1"/>
  <c r="L315" i="1"/>
  <c r="K316" i="1" a="1"/>
  <c r="K316" i="1" s="1"/>
  <c r="L316" i="1" a="1"/>
  <c r="L316" i="1" s="1"/>
  <c r="K317" i="1" a="1"/>
  <c r="K317" i="1" s="1"/>
  <c r="L317" i="1" a="1"/>
  <c r="L317" i="1" s="1"/>
  <c r="K318" i="1" a="1"/>
  <c r="K318" i="1" s="1"/>
  <c r="L318" i="1" a="1"/>
  <c r="L318" i="1"/>
  <c r="K319" i="1" a="1"/>
  <c r="K319" i="1" s="1"/>
  <c r="L319" i="1" a="1"/>
  <c r="L319" i="1" s="1"/>
  <c r="K320" i="1" a="1"/>
  <c r="K320" i="1" s="1"/>
  <c r="L320" i="1" a="1"/>
  <c r="L320" i="1" s="1"/>
  <c r="K321" i="1" a="1"/>
  <c r="K321" i="1" s="1"/>
  <c r="L321" i="1" a="1"/>
  <c r="L321" i="1"/>
  <c r="K322" i="1" a="1"/>
  <c r="K322" i="1" s="1"/>
  <c r="L322" i="1" a="1"/>
  <c r="L322" i="1" s="1"/>
  <c r="K323" i="1" a="1"/>
  <c r="K323" i="1" s="1"/>
  <c r="L323" i="1" a="1"/>
  <c r="L323" i="1" s="1"/>
  <c r="K324" i="1" a="1"/>
  <c r="K324" i="1" s="1"/>
  <c r="L324" i="1" a="1"/>
  <c r="L324" i="1"/>
  <c r="K325" i="1" a="1"/>
  <c r="K325" i="1" s="1"/>
  <c r="L325" i="1" a="1"/>
  <c r="L325" i="1" s="1"/>
  <c r="K326" i="1" a="1"/>
  <c r="K326" i="1" s="1"/>
  <c r="L326" i="1" a="1"/>
  <c r="L326" i="1" s="1"/>
  <c r="K327" i="1" a="1"/>
  <c r="K327" i="1" s="1"/>
  <c r="L327" i="1" a="1"/>
  <c r="L327" i="1"/>
  <c r="K328" i="1" a="1"/>
  <c r="K328" i="1" s="1"/>
  <c r="L328" i="1" a="1"/>
  <c r="L328" i="1" s="1"/>
  <c r="K329" i="1" a="1"/>
  <c r="K329" i="1" s="1"/>
  <c r="L329" i="1" a="1"/>
  <c r="L329" i="1" s="1"/>
  <c r="K330" i="1" a="1"/>
  <c r="K330" i="1" s="1"/>
  <c r="L330" i="1" a="1"/>
  <c r="L330" i="1"/>
  <c r="K331" i="1" a="1"/>
  <c r="K331" i="1" s="1"/>
  <c r="L331" i="1" a="1"/>
  <c r="L331" i="1" s="1"/>
  <c r="K332" i="1" a="1"/>
  <c r="K332" i="1" s="1"/>
  <c r="L332" i="1" a="1"/>
  <c r="L332" i="1" s="1"/>
  <c r="K333" i="1" a="1"/>
  <c r="K333" i="1" s="1"/>
  <c r="L333" i="1" a="1"/>
  <c r="L333" i="1" s="1"/>
  <c r="K334" i="1" a="1"/>
  <c r="K334" i="1" s="1"/>
  <c r="L334" i="1" a="1"/>
  <c r="L334" i="1" s="1"/>
  <c r="K335" i="1" a="1"/>
  <c r="K335" i="1" s="1"/>
  <c r="L335" i="1" a="1"/>
  <c r="L335" i="1" s="1"/>
  <c r="K336" i="1" a="1"/>
  <c r="K336" i="1" s="1"/>
  <c r="L336" i="1" a="1"/>
  <c r="L336" i="1"/>
  <c r="K337" i="1" a="1"/>
  <c r="K337" i="1" s="1"/>
  <c r="L337" i="1" a="1"/>
  <c r="L337" i="1" s="1"/>
  <c r="K338" i="1" a="1"/>
  <c r="K338" i="1" s="1"/>
  <c r="L338" i="1" a="1"/>
  <c r="L338" i="1" s="1"/>
  <c r="K339" i="1" a="1"/>
  <c r="K339" i="1" s="1"/>
  <c r="L339" i="1" a="1"/>
  <c r="L339" i="1"/>
  <c r="K340" i="1" a="1"/>
  <c r="K340" i="1" s="1"/>
  <c r="L340" i="1" a="1"/>
  <c r="L340" i="1" s="1"/>
  <c r="K341" i="1" a="1"/>
  <c r="K341" i="1" s="1"/>
  <c r="L341" i="1" a="1"/>
  <c r="L341" i="1" s="1"/>
  <c r="K342" i="1" a="1"/>
  <c r="K342" i="1" s="1"/>
  <c r="L342" i="1" a="1"/>
  <c r="L342" i="1"/>
  <c r="K343" i="1" a="1"/>
  <c r="K343" i="1" s="1"/>
  <c r="L343" i="1" a="1"/>
  <c r="L343" i="1" s="1"/>
  <c r="L2" i="1" a="1"/>
  <c r="L2" i="1" s="1"/>
  <c r="K2" i="1" a="1"/>
  <c r="K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2" i="1" a="1"/>
  <c r="H2" i="1" s="1"/>
  <c r="G2" i="1" a="1"/>
  <c r="G2" i="1" s="1"/>
  <c r="I3" i="1" a="1"/>
  <c r="I3" i="1" s="1"/>
  <c r="J3" i="1" a="1"/>
  <c r="J3" i="1" s="1"/>
  <c r="I4" i="1" a="1"/>
  <c r="I4" i="1" s="1"/>
  <c r="J4" i="1" a="1"/>
  <c r="J4" i="1" s="1"/>
  <c r="I5" i="1" a="1"/>
  <c r="I5" i="1" s="1"/>
  <c r="J5" i="1" a="1"/>
  <c r="J5" i="1" s="1"/>
  <c r="I6" i="1" a="1"/>
  <c r="I6" i="1" s="1"/>
  <c r="J6" i="1" a="1"/>
  <c r="J6" i="1" s="1"/>
  <c r="I7" i="1" a="1"/>
  <c r="I7" i="1" s="1"/>
  <c r="J7" i="1" a="1"/>
  <c r="J7" i="1" s="1"/>
  <c r="I8" i="1" a="1"/>
  <c r="I8" i="1" s="1"/>
  <c r="J8" i="1" a="1"/>
  <c r="J8" i="1" s="1"/>
  <c r="I9" i="1" a="1"/>
  <c r="I9" i="1" s="1"/>
  <c r="J9" i="1" a="1"/>
  <c r="J9" i="1" s="1"/>
  <c r="I10" i="1" a="1"/>
  <c r="I10" i="1" s="1"/>
  <c r="J10" i="1" a="1"/>
  <c r="J10" i="1" s="1"/>
  <c r="I11" i="1" a="1"/>
  <c r="I11" i="1" s="1"/>
  <c r="J11" i="1" a="1"/>
  <c r="J11" i="1" s="1"/>
  <c r="I12" i="1" a="1"/>
  <c r="I12" i="1" s="1"/>
  <c r="J12" i="1" a="1"/>
  <c r="J12" i="1" s="1"/>
  <c r="I13" i="1" a="1"/>
  <c r="I13" i="1" s="1"/>
  <c r="J13" i="1" a="1"/>
  <c r="J13" i="1" s="1"/>
  <c r="I14" i="1" a="1"/>
  <c r="I14" i="1" s="1"/>
  <c r="J14" i="1" a="1"/>
  <c r="J14" i="1" s="1"/>
  <c r="I15" i="1" a="1"/>
  <c r="I15" i="1" s="1"/>
  <c r="J15" i="1" a="1"/>
  <c r="J15" i="1" s="1"/>
  <c r="I16" i="1" a="1"/>
  <c r="I16" i="1" s="1"/>
  <c r="J16" i="1" a="1"/>
  <c r="J16" i="1" s="1"/>
  <c r="I17" i="1" a="1"/>
  <c r="I17" i="1" s="1"/>
  <c r="J17" i="1" a="1"/>
  <c r="J17" i="1" s="1"/>
  <c r="I18" i="1" a="1"/>
  <c r="I18" i="1" s="1"/>
  <c r="J18" i="1" a="1"/>
  <c r="J18" i="1" s="1"/>
  <c r="I19" i="1" a="1"/>
  <c r="I19" i="1" s="1"/>
  <c r="J19" i="1" a="1"/>
  <c r="J19" i="1" s="1"/>
  <c r="I20" i="1" a="1"/>
  <c r="I20" i="1" s="1"/>
  <c r="J20" i="1" a="1"/>
  <c r="J20" i="1" s="1"/>
  <c r="I21" i="1" a="1"/>
  <c r="I21" i="1" s="1"/>
  <c r="J21" i="1" a="1"/>
  <c r="J21" i="1" s="1"/>
  <c r="I22" i="1" a="1"/>
  <c r="I22" i="1" s="1"/>
  <c r="J22" i="1" a="1"/>
  <c r="J22" i="1" s="1"/>
  <c r="I23" i="1" a="1"/>
  <c r="I23" i="1" s="1"/>
  <c r="J23" i="1" a="1"/>
  <c r="J23" i="1" s="1"/>
  <c r="I24" i="1" a="1"/>
  <c r="I24" i="1" s="1"/>
  <c r="J24" i="1" a="1"/>
  <c r="J24" i="1" s="1"/>
  <c r="I25" i="1" a="1"/>
  <c r="I25" i="1" s="1"/>
  <c r="J25" i="1" a="1"/>
  <c r="J25" i="1" s="1"/>
  <c r="I26" i="1" a="1"/>
  <c r="I26" i="1" s="1"/>
  <c r="J26" i="1" a="1"/>
  <c r="J26" i="1" s="1"/>
  <c r="I27" i="1" a="1"/>
  <c r="I27" i="1" s="1"/>
  <c r="J27" i="1" a="1"/>
  <c r="J27" i="1" s="1"/>
  <c r="I28" i="1" a="1"/>
  <c r="I28" i="1" s="1"/>
  <c r="J28" i="1" a="1"/>
  <c r="J28" i="1" s="1"/>
  <c r="I29" i="1" a="1"/>
  <c r="I29" i="1" s="1"/>
  <c r="J29" i="1" a="1"/>
  <c r="J29" i="1" s="1"/>
  <c r="I30" i="1" a="1"/>
  <c r="I30" i="1" s="1"/>
  <c r="J30" i="1" a="1"/>
  <c r="J30" i="1" s="1"/>
  <c r="I31" i="1" a="1"/>
  <c r="I31" i="1" s="1"/>
  <c r="J31" i="1" a="1"/>
  <c r="J31" i="1" s="1"/>
  <c r="I32" i="1" a="1"/>
  <c r="I32" i="1" s="1"/>
  <c r="J32" i="1" a="1"/>
  <c r="J32" i="1" s="1"/>
  <c r="I33" i="1" a="1"/>
  <c r="I33" i="1" s="1"/>
  <c r="J33" i="1" a="1"/>
  <c r="J33" i="1" s="1"/>
  <c r="I34" i="1" a="1"/>
  <c r="I34" i="1" s="1"/>
  <c r="J34" i="1" a="1"/>
  <c r="J34" i="1" s="1"/>
  <c r="I35" i="1" a="1"/>
  <c r="I35" i="1" s="1"/>
  <c r="J35" i="1" a="1"/>
  <c r="J35" i="1" s="1"/>
  <c r="I36" i="1" a="1"/>
  <c r="I36" i="1" s="1"/>
  <c r="J36" i="1" a="1"/>
  <c r="J36" i="1" s="1"/>
  <c r="I37" i="1" a="1"/>
  <c r="I37" i="1" s="1"/>
  <c r="J37" i="1" a="1"/>
  <c r="J37" i="1" s="1"/>
  <c r="I38" i="1" a="1"/>
  <c r="I38" i="1" s="1"/>
  <c r="J38" i="1" a="1"/>
  <c r="J38" i="1" s="1"/>
  <c r="I39" i="1" a="1"/>
  <c r="I39" i="1" s="1"/>
  <c r="J39" i="1" a="1"/>
  <c r="J39" i="1" s="1"/>
  <c r="I40" i="1" a="1"/>
  <c r="I40" i="1" s="1"/>
  <c r="J40" i="1" a="1"/>
  <c r="J40" i="1" s="1"/>
  <c r="I41" i="1" a="1"/>
  <c r="I41" i="1" s="1"/>
  <c r="J41" i="1" a="1"/>
  <c r="J41" i="1" s="1"/>
  <c r="I42" i="1" a="1"/>
  <c r="I42" i="1" s="1"/>
  <c r="J42" i="1" a="1"/>
  <c r="J42" i="1" s="1"/>
  <c r="I43" i="1" a="1"/>
  <c r="I43" i="1" s="1"/>
  <c r="J43" i="1" a="1"/>
  <c r="J43" i="1" s="1"/>
  <c r="I44" i="1" a="1"/>
  <c r="I44" i="1" s="1"/>
  <c r="J44" i="1" a="1"/>
  <c r="J44" i="1" s="1"/>
  <c r="I45" i="1" a="1"/>
  <c r="I45" i="1" s="1"/>
  <c r="J45" i="1" a="1"/>
  <c r="J45" i="1" s="1"/>
  <c r="I46" i="1" a="1"/>
  <c r="I46" i="1" s="1"/>
  <c r="J46" i="1" a="1"/>
  <c r="J46" i="1" s="1"/>
  <c r="I47" i="1" a="1"/>
  <c r="I47" i="1" s="1"/>
  <c r="J47" i="1" a="1"/>
  <c r="J47" i="1" s="1"/>
  <c r="I48" i="1" a="1"/>
  <c r="I48" i="1" s="1"/>
  <c r="J48" i="1" a="1"/>
  <c r="J48" i="1" s="1"/>
  <c r="I49" i="1" a="1"/>
  <c r="I49" i="1" s="1"/>
  <c r="J49" i="1" a="1"/>
  <c r="J49" i="1" s="1"/>
  <c r="I50" i="1" a="1"/>
  <c r="I50" i="1" s="1"/>
  <c r="J50" i="1" a="1"/>
  <c r="J50" i="1" s="1"/>
  <c r="I51" i="1" a="1"/>
  <c r="I51" i="1" s="1"/>
  <c r="J51" i="1" a="1"/>
  <c r="J51" i="1" s="1"/>
  <c r="I52" i="1" a="1"/>
  <c r="I52" i="1" s="1"/>
  <c r="J52" i="1" a="1"/>
  <c r="J52" i="1" s="1"/>
  <c r="I53" i="1" a="1"/>
  <c r="I53" i="1" s="1"/>
  <c r="J53" i="1" a="1"/>
  <c r="J53" i="1" s="1"/>
  <c r="I54" i="1" a="1"/>
  <c r="I54" i="1" s="1"/>
  <c r="J54" i="1" a="1"/>
  <c r="J54" i="1" s="1"/>
  <c r="I55" i="1" a="1"/>
  <c r="I55" i="1" s="1"/>
  <c r="J55" i="1" a="1"/>
  <c r="J55" i="1" s="1"/>
  <c r="I56" i="1" a="1"/>
  <c r="I56" i="1" s="1"/>
  <c r="J56" i="1" a="1"/>
  <c r="J56" i="1" s="1"/>
  <c r="I57" i="1" a="1"/>
  <c r="I57" i="1" s="1"/>
  <c r="J57" i="1" a="1"/>
  <c r="J57" i="1" s="1"/>
  <c r="I58" i="1" a="1"/>
  <c r="I58" i="1" s="1"/>
  <c r="J58" i="1" a="1"/>
  <c r="J58" i="1" s="1"/>
  <c r="I59" i="1" a="1"/>
  <c r="I59" i="1" s="1"/>
  <c r="J59" i="1" a="1"/>
  <c r="J59" i="1" s="1"/>
  <c r="I60" i="1" a="1"/>
  <c r="I60" i="1" s="1"/>
  <c r="J60" i="1" a="1"/>
  <c r="J60" i="1" s="1"/>
  <c r="I61" i="1" a="1"/>
  <c r="I61" i="1" s="1"/>
  <c r="J61" i="1" a="1"/>
  <c r="J61" i="1" s="1"/>
  <c r="I62" i="1" a="1"/>
  <c r="I62" i="1" s="1"/>
  <c r="J62" i="1" a="1"/>
  <c r="J62" i="1" s="1"/>
  <c r="I63" i="1" a="1"/>
  <c r="I63" i="1" s="1"/>
  <c r="J63" i="1" a="1"/>
  <c r="J63" i="1" s="1"/>
  <c r="I64" i="1" a="1"/>
  <c r="I64" i="1" s="1"/>
  <c r="J64" i="1" a="1"/>
  <c r="J64" i="1" s="1"/>
  <c r="I65" i="1" a="1"/>
  <c r="I65" i="1" s="1"/>
  <c r="J65" i="1" a="1"/>
  <c r="J65" i="1" s="1"/>
  <c r="I66" i="1" a="1"/>
  <c r="I66" i="1" s="1"/>
  <c r="J66" i="1" a="1"/>
  <c r="J66" i="1" s="1"/>
  <c r="I67" i="1" a="1"/>
  <c r="I67" i="1" s="1"/>
  <c r="J67" i="1" a="1"/>
  <c r="J67" i="1" s="1"/>
  <c r="I68" i="1" a="1"/>
  <c r="I68" i="1" s="1"/>
  <c r="J68" i="1" a="1"/>
  <c r="J68" i="1" s="1"/>
  <c r="I69" i="1" a="1"/>
  <c r="I69" i="1" s="1"/>
  <c r="J69" i="1" a="1"/>
  <c r="J69" i="1" s="1"/>
  <c r="I70" i="1" a="1"/>
  <c r="I70" i="1" s="1"/>
  <c r="J70" i="1" a="1"/>
  <c r="J70" i="1" s="1"/>
  <c r="I71" i="1" a="1"/>
  <c r="I71" i="1" s="1"/>
  <c r="J71" i="1" a="1"/>
  <c r="J71" i="1" s="1"/>
  <c r="I72" i="1" a="1"/>
  <c r="I72" i="1" s="1"/>
  <c r="J72" i="1" a="1"/>
  <c r="J72" i="1" s="1"/>
  <c r="I73" i="1" a="1"/>
  <c r="I73" i="1" s="1"/>
  <c r="J73" i="1" a="1"/>
  <c r="J73" i="1" s="1"/>
  <c r="I74" i="1" a="1"/>
  <c r="I74" i="1" s="1"/>
  <c r="J74" i="1" a="1"/>
  <c r="J74" i="1" s="1"/>
  <c r="I75" i="1" a="1"/>
  <c r="I75" i="1" s="1"/>
  <c r="J75" i="1" a="1"/>
  <c r="J75" i="1" s="1"/>
  <c r="I76" i="1" a="1"/>
  <c r="I76" i="1" s="1"/>
  <c r="J76" i="1" a="1"/>
  <c r="J76" i="1" s="1"/>
  <c r="I77" i="1" a="1"/>
  <c r="I77" i="1" s="1"/>
  <c r="J77" i="1" a="1"/>
  <c r="J77" i="1" s="1"/>
  <c r="I78" i="1" a="1"/>
  <c r="I78" i="1" s="1"/>
  <c r="J78" i="1" a="1"/>
  <c r="J78" i="1" s="1"/>
  <c r="I79" i="1" a="1"/>
  <c r="I79" i="1" s="1"/>
  <c r="J79" i="1" a="1"/>
  <c r="J79" i="1" s="1"/>
  <c r="I80" i="1" a="1"/>
  <c r="I80" i="1" s="1"/>
  <c r="J80" i="1" a="1"/>
  <c r="J80" i="1" s="1"/>
  <c r="I81" i="1" a="1"/>
  <c r="I81" i="1" s="1"/>
  <c r="J81" i="1" a="1"/>
  <c r="J81" i="1" s="1"/>
  <c r="I82" i="1" a="1"/>
  <c r="I82" i="1" s="1"/>
  <c r="J82" i="1" a="1"/>
  <c r="J82" i="1" s="1"/>
  <c r="I83" i="1" a="1"/>
  <c r="I83" i="1" s="1"/>
  <c r="J83" i="1" a="1"/>
  <c r="J83" i="1" s="1"/>
  <c r="I84" i="1" a="1"/>
  <c r="I84" i="1" s="1"/>
  <c r="J84" i="1" a="1"/>
  <c r="J84" i="1" s="1"/>
  <c r="I85" i="1" a="1"/>
  <c r="I85" i="1" s="1"/>
  <c r="J85" i="1" a="1"/>
  <c r="J85" i="1" s="1"/>
  <c r="I86" i="1" a="1"/>
  <c r="I86" i="1" s="1"/>
  <c r="J86" i="1" a="1"/>
  <c r="J86" i="1" s="1"/>
  <c r="I87" i="1" a="1"/>
  <c r="I87" i="1" s="1"/>
  <c r="J87" i="1" a="1"/>
  <c r="J87" i="1" s="1"/>
  <c r="I88" i="1" a="1"/>
  <c r="I88" i="1" s="1"/>
  <c r="J88" i="1" a="1"/>
  <c r="J88" i="1" s="1"/>
  <c r="I89" i="1" a="1"/>
  <c r="I89" i="1" s="1"/>
  <c r="J89" i="1" a="1"/>
  <c r="J89" i="1" s="1"/>
  <c r="I90" i="1" a="1"/>
  <c r="I90" i="1" s="1"/>
  <c r="J90" i="1" a="1"/>
  <c r="J90" i="1" s="1"/>
  <c r="I91" i="1" a="1"/>
  <c r="I91" i="1" s="1"/>
  <c r="J91" i="1" a="1"/>
  <c r="J91" i="1" s="1"/>
  <c r="I92" i="1" a="1"/>
  <c r="I92" i="1" s="1"/>
  <c r="J92" i="1" a="1"/>
  <c r="J92" i="1" s="1"/>
  <c r="I93" i="1" a="1"/>
  <c r="I93" i="1" s="1"/>
  <c r="J93" i="1" a="1"/>
  <c r="J93" i="1" s="1"/>
  <c r="I94" i="1" a="1"/>
  <c r="I94" i="1" s="1"/>
  <c r="J94" i="1" a="1"/>
  <c r="J94" i="1" s="1"/>
  <c r="I95" i="1" a="1"/>
  <c r="I95" i="1" s="1"/>
  <c r="J95" i="1" a="1"/>
  <c r="J95" i="1" s="1"/>
  <c r="I96" i="1" a="1"/>
  <c r="I96" i="1" s="1"/>
  <c r="J96" i="1" a="1"/>
  <c r="J96" i="1" s="1"/>
  <c r="I97" i="1" a="1"/>
  <c r="I97" i="1" s="1"/>
  <c r="J97" i="1" a="1"/>
  <c r="J97" i="1" s="1"/>
  <c r="I98" i="1" a="1"/>
  <c r="I98" i="1" s="1"/>
  <c r="J98" i="1" a="1"/>
  <c r="J98" i="1" s="1"/>
  <c r="I99" i="1" a="1"/>
  <c r="I99" i="1" s="1"/>
  <c r="J99" i="1" a="1"/>
  <c r="J99" i="1" s="1"/>
  <c r="I100" i="1" a="1"/>
  <c r="I100" i="1" s="1"/>
  <c r="J100" i="1" a="1"/>
  <c r="J100" i="1" s="1"/>
  <c r="I101" i="1" a="1"/>
  <c r="I101" i="1" s="1"/>
  <c r="J101" i="1" a="1"/>
  <c r="J101" i="1" s="1"/>
  <c r="I102" i="1" a="1"/>
  <c r="I102" i="1" s="1"/>
  <c r="J102" i="1" a="1"/>
  <c r="J102" i="1" s="1"/>
  <c r="I103" i="1" a="1"/>
  <c r="I103" i="1" s="1"/>
  <c r="J103" i="1" a="1"/>
  <c r="J103" i="1" s="1"/>
  <c r="I104" i="1" a="1"/>
  <c r="I104" i="1" s="1"/>
  <c r="J104" i="1" a="1"/>
  <c r="J104" i="1"/>
  <c r="I105" i="1" a="1"/>
  <c r="I105" i="1" s="1"/>
  <c r="J105" i="1" a="1"/>
  <c r="J105" i="1" s="1"/>
  <c r="I106" i="1" a="1"/>
  <c r="I106" i="1" s="1"/>
  <c r="J106" i="1" a="1"/>
  <c r="J106" i="1" s="1"/>
  <c r="I107" i="1" a="1"/>
  <c r="I107" i="1" s="1"/>
  <c r="J107" i="1" a="1"/>
  <c r="J107" i="1"/>
  <c r="I108" i="1" a="1"/>
  <c r="I108" i="1" s="1"/>
  <c r="J108" i="1" a="1"/>
  <c r="J108" i="1" s="1"/>
  <c r="I109" i="1" a="1"/>
  <c r="I109" i="1" s="1"/>
  <c r="J109" i="1" a="1"/>
  <c r="J109" i="1" s="1"/>
  <c r="I110" i="1" a="1"/>
  <c r="I110" i="1" s="1"/>
  <c r="J110" i="1" a="1"/>
  <c r="J110" i="1" s="1"/>
  <c r="I111" i="1" a="1"/>
  <c r="I111" i="1" s="1"/>
  <c r="J111" i="1" a="1"/>
  <c r="J111" i="1" s="1"/>
  <c r="I112" i="1" a="1"/>
  <c r="I112" i="1" s="1"/>
  <c r="J112" i="1" a="1"/>
  <c r="J112" i="1" s="1"/>
  <c r="I113" i="1" a="1"/>
  <c r="I113" i="1" s="1"/>
  <c r="J113" i="1" a="1"/>
  <c r="J113" i="1" s="1"/>
  <c r="I114" i="1" a="1"/>
  <c r="I114" i="1" s="1"/>
  <c r="J114" i="1" a="1"/>
  <c r="J114" i="1" s="1"/>
  <c r="I115" i="1" a="1"/>
  <c r="I115" i="1" s="1"/>
  <c r="J115" i="1" a="1"/>
  <c r="J115" i="1" s="1"/>
  <c r="I116" i="1" a="1"/>
  <c r="I116" i="1" s="1"/>
  <c r="J116" i="1" a="1"/>
  <c r="J116" i="1" s="1"/>
  <c r="I117" i="1" a="1"/>
  <c r="I117" i="1" s="1"/>
  <c r="J117" i="1" a="1"/>
  <c r="J117" i="1" s="1"/>
  <c r="I118" i="1" a="1"/>
  <c r="I118" i="1" s="1"/>
  <c r="J118" i="1" a="1"/>
  <c r="J118" i="1" s="1"/>
  <c r="I119" i="1" a="1"/>
  <c r="I119" i="1" s="1"/>
  <c r="J119" i="1" a="1"/>
  <c r="J119" i="1" s="1"/>
  <c r="I120" i="1" a="1"/>
  <c r="I120" i="1" s="1"/>
  <c r="J120" i="1" a="1"/>
  <c r="J120" i="1" s="1"/>
  <c r="I121" i="1" a="1"/>
  <c r="I121" i="1" s="1"/>
  <c r="J121" i="1" a="1"/>
  <c r="J121" i="1" s="1"/>
  <c r="I122" i="1" a="1"/>
  <c r="I122" i="1" s="1"/>
  <c r="J122" i="1" a="1"/>
  <c r="J122" i="1" s="1"/>
  <c r="I123" i="1" a="1"/>
  <c r="I123" i="1" s="1"/>
  <c r="J123" i="1" a="1"/>
  <c r="J123" i="1" s="1"/>
  <c r="I124" i="1" a="1"/>
  <c r="I124" i="1" s="1"/>
  <c r="J124" i="1" a="1"/>
  <c r="J124" i="1" s="1"/>
  <c r="I125" i="1" a="1"/>
  <c r="I125" i="1" s="1"/>
  <c r="J125" i="1" a="1"/>
  <c r="J125" i="1" s="1"/>
  <c r="I126" i="1" a="1"/>
  <c r="I126" i="1" s="1"/>
  <c r="J126" i="1" a="1"/>
  <c r="J126" i="1" s="1"/>
  <c r="I127" i="1" a="1"/>
  <c r="I127" i="1" s="1"/>
  <c r="J127" i="1" a="1"/>
  <c r="J127" i="1" s="1"/>
  <c r="I128" i="1" a="1"/>
  <c r="I128" i="1" s="1"/>
  <c r="J128" i="1" a="1"/>
  <c r="J128" i="1" s="1"/>
  <c r="I129" i="1" a="1"/>
  <c r="I129" i="1" s="1"/>
  <c r="J129" i="1" a="1"/>
  <c r="J129" i="1" s="1"/>
  <c r="I130" i="1" a="1"/>
  <c r="I130" i="1" s="1"/>
  <c r="J130" i="1" a="1"/>
  <c r="J130" i="1" s="1"/>
  <c r="I131" i="1" a="1"/>
  <c r="I131" i="1" s="1"/>
  <c r="J131" i="1" a="1"/>
  <c r="J131" i="1" s="1"/>
  <c r="I132" i="1" a="1"/>
  <c r="I132" i="1" s="1"/>
  <c r="J132" i="1" a="1"/>
  <c r="J132" i="1" s="1"/>
  <c r="I133" i="1" a="1"/>
  <c r="I133" i="1" s="1"/>
  <c r="J133" i="1" a="1"/>
  <c r="J133" i="1" s="1"/>
  <c r="I134" i="1" a="1"/>
  <c r="I134" i="1" s="1"/>
  <c r="J134" i="1" a="1"/>
  <c r="J134" i="1" s="1"/>
  <c r="I135" i="1" a="1"/>
  <c r="I135" i="1" s="1"/>
  <c r="J135" i="1" a="1"/>
  <c r="J135" i="1" s="1"/>
  <c r="I136" i="1" a="1"/>
  <c r="I136" i="1" s="1"/>
  <c r="J136" i="1" a="1"/>
  <c r="J136" i="1" s="1"/>
  <c r="I137" i="1" a="1"/>
  <c r="I137" i="1" s="1"/>
  <c r="J137" i="1" a="1"/>
  <c r="J137" i="1" s="1"/>
  <c r="I138" i="1" a="1"/>
  <c r="I138" i="1" s="1"/>
  <c r="J138" i="1" a="1"/>
  <c r="J138" i="1" s="1"/>
  <c r="I139" i="1" a="1"/>
  <c r="I139" i="1" s="1"/>
  <c r="J139" i="1" a="1"/>
  <c r="J139" i="1" s="1"/>
  <c r="I140" i="1" a="1"/>
  <c r="I140" i="1" s="1"/>
  <c r="J140" i="1" a="1"/>
  <c r="J140" i="1" s="1"/>
  <c r="I141" i="1" a="1"/>
  <c r="I141" i="1" s="1"/>
  <c r="J141" i="1" a="1"/>
  <c r="J141" i="1" s="1"/>
  <c r="I142" i="1" a="1"/>
  <c r="I142" i="1" s="1"/>
  <c r="J142" i="1" a="1"/>
  <c r="J142" i="1" s="1"/>
  <c r="I143" i="1" a="1"/>
  <c r="I143" i="1" s="1"/>
  <c r="J143" i="1" a="1"/>
  <c r="J143" i="1" s="1"/>
  <c r="I144" i="1" a="1"/>
  <c r="I144" i="1" s="1"/>
  <c r="J144" i="1" a="1"/>
  <c r="J144" i="1" s="1"/>
  <c r="I145" i="1" a="1"/>
  <c r="I145" i="1" s="1"/>
  <c r="J145" i="1" a="1"/>
  <c r="J145" i="1" s="1"/>
  <c r="I146" i="1" a="1"/>
  <c r="I146" i="1" s="1"/>
  <c r="J146" i="1" a="1"/>
  <c r="J146" i="1" s="1"/>
  <c r="I147" i="1" a="1"/>
  <c r="I147" i="1" s="1"/>
  <c r="J147" i="1" a="1"/>
  <c r="J147" i="1" s="1"/>
  <c r="I148" i="1" a="1"/>
  <c r="I148" i="1" s="1"/>
  <c r="J148" i="1" a="1"/>
  <c r="J148" i="1" s="1"/>
  <c r="I149" i="1" a="1"/>
  <c r="I149" i="1" s="1"/>
  <c r="J149" i="1" a="1"/>
  <c r="J149" i="1" s="1"/>
  <c r="I150" i="1" a="1"/>
  <c r="I150" i="1" s="1"/>
  <c r="J150" i="1" a="1"/>
  <c r="J150" i="1" s="1"/>
  <c r="I151" i="1" a="1"/>
  <c r="I151" i="1" s="1"/>
  <c r="J151" i="1" a="1"/>
  <c r="J151" i="1" s="1"/>
  <c r="I152" i="1" a="1"/>
  <c r="I152" i="1" s="1"/>
  <c r="J152" i="1" a="1"/>
  <c r="J152" i="1" s="1"/>
  <c r="I153" i="1" a="1"/>
  <c r="I153" i="1" s="1"/>
  <c r="J153" i="1" a="1"/>
  <c r="J153" i="1" s="1"/>
  <c r="I154" i="1" a="1"/>
  <c r="I154" i="1" s="1"/>
  <c r="J154" i="1" a="1"/>
  <c r="J154" i="1" s="1"/>
  <c r="I155" i="1" a="1"/>
  <c r="I155" i="1" s="1"/>
  <c r="J155" i="1" a="1"/>
  <c r="J155" i="1" s="1"/>
  <c r="I156" i="1" a="1"/>
  <c r="I156" i="1" s="1"/>
  <c r="J156" i="1" a="1"/>
  <c r="J156" i="1" s="1"/>
  <c r="I157" i="1" a="1"/>
  <c r="I157" i="1" s="1"/>
  <c r="J157" i="1" a="1"/>
  <c r="J157" i="1" s="1"/>
  <c r="I158" i="1" a="1"/>
  <c r="I158" i="1" s="1"/>
  <c r="J158" i="1" a="1"/>
  <c r="J158" i="1" s="1"/>
  <c r="I159" i="1" a="1"/>
  <c r="I159" i="1" s="1"/>
  <c r="J159" i="1" a="1"/>
  <c r="J159" i="1" s="1"/>
  <c r="I160" i="1" a="1"/>
  <c r="I160" i="1" s="1"/>
  <c r="J160" i="1" a="1"/>
  <c r="J160" i="1" s="1"/>
  <c r="I161" i="1" a="1"/>
  <c r="I161" i="1" s="1"/>
  <c r="J161" i="1" a="1"/>
  <c r="J161" i="1" s="1"/>
  <c r="I162" i="1" a="1"/>
  <c r="I162" i="1" s="1"/>
  <c r="J162" i="1" a="1"/>
  <c r="J162" i="1" s="1"/>
  <c r="I163" i="1" a="1"/>
  <c r="I163" i="1" s="1"/>
  <c r="J163" i="1" a="1"/>
  <c r="J163" i="1" s="1"/>
  <c r="I164" i="1" a="1"/>
  <c r="I164" i="1" s="1"/>
  <c r="J164" i="1" a="1"/>
  <c r="J164" i="1" s="1"/>
  <c r="I165" i="1" a="1"/>
  <c r="I165" i="1" s="1"/>
  <c r="J165" i="1" a="1"/>
  <c r="J165" i="1" s="1"/>
  <c r="I166" i="1" a="1"/>
  <c r="I166" i="1" s="1"/>
  <c r="J166" i="1" a="1"/>
  <c r="J166" i="1" s="1"/>
  <c r="I167" i="1" a="1"/>
  <c r="I167" i="1" s="1"/>
  <c r="J167" i="1" a="1"/>
  <c r="J167" i="1" s="1"/>
  <c r="I168" i="1" a="1"/>
  <c r="I168" i="1" s="1"/>
  <c r="J168" i="1" a="1"/>
  <c r="J168" i="1" s="1"/>
  <c r="I169" i="1" a="1"/>
  <c r="I169" i="1" s="1"/>
  <c r="J169" i="1" a="1"/>
  <c r="J169" i="1" s="1"/>
  <c r="I170" i="1" a="1"/>
  <c r="I170" i="1" s="1"/>
  <c r="J170" i="1" a="1"/>
  <c r="J170" i="1" s="1"/>
  <c r="I171" i="1" a="1"/>
  <c r="I171" i="1" s="1"/>
  <c r="J171" i="1" a="1"/>
  <c r="J171" i="1" s="1"/>
  <c r="I172" i="1" a="1"/>
  <c r="I172" i="1" s="1"/>
  <c r="J172" i="1" a="1"/>
  <c r="J172" i="1" s="1"/>
  <c r="I173" i="1" a="1"/>
  <c r="I173" i="1" s="1"/>
  <c r="J173" i="1" a="1"/>
  <c r="J173" i="1" s="1"/>
  <c r="I174" i="1" a="1"/>
  <c r="I174" i="1" s="1"/>
  <c r="J174" i="1" a="1"/>
  <c r="J174" i="1" s="1"/>
  <c r="I175" i="1" a="1"/>
  <c r="I175" i="1" s="1"/>
  <c r="J175" i="1" a="1"/>
  <c r="J175" i="1" s="1"/>
  <c r="I176" i="1" a="1"/>
  <c r="I176" i="1" s="1"/>
  <c r="J176" i="1" a="1"/>
  <c r="J176" i="1" s="1"/>
  <c r="I177" i="1" a="1"/>
  <c r="I177" i="1" s="1"/>
  <c r="J177" i="1" a="1"/>
  <c r="J177" i="1" s="1"/>
  <c r="I178" i="1" a="1"/>
  <c r="I178" i="1" s="1"/>
  <c r="J178" i="1" a="1"/>
  <c r="J178" i="1" s="1"/>
  <c r="I179" i="1" a="1"/>
  <c r="I179" i="1" s="1"/>
  <c r="J179" i="1" a="1"/>
  <c r="J179" i="1" s="1"/>
  <c r="I180" i="1" a="1"/>
  <c r="I180" i="1" s="1"/>
  <c r="J180" i="1" a="1"/>
  <c r="J180" i="1" s="1"/>
  <c r="I181" i="1" a="1"/>
  <c r="I181" i="1" s="1"/>
  <c r="J181" i="1" a="1"/>
  <c r="J181" i="1" s="1"/>
  <c r="I182" i="1" a="1"/>
  <c r="I182" i="1" s="1"/>
  <c r="J182" i="1" a="1"/>
  <c r="J182" i="1" s="1"/>
  <c r="I183" i="1" a="1"/>
  <c r="I183" i="1" s="1"/>
  <c r="J183" i="1" a="1"/>
  <c r="J183" i="1" s="1"/>
  <c r="I184" i="1" a="1"/>
  <c r="I184" i="1" s="1"/>
  <c r="J184" i="1" a="1"/>
  <c r="J184" i="1" s="1"/>
  <c r="I185" i="1" a="1"/>
  <c r="I185" i="1" s="1"/>
  <c r="J185" i="1" a="1"/>
  <c r="J185" i="1" s="1"/>
  <c r="I186" i="1" a="1"/>
  <c r="I186" i="1" s="1"/>
  <c r="J186" i="1" a="1"/>
  <c r="J186" i="1" s="1"/>
  <c r="I187" i="1" a="1"/>
  <c r="I187" i="1" s="1"/>
  <c r="J187" i="1" a="1"/>
  <c r="J187" i="1" s="1"/>
  <c r="I188" i="1" a="1"/>
  <c r="I188" i="1" s="1"/>
  <c r="J188" i="1" a="1"/>
  <c r="J188" i="1" s="1"/>
  <c r="I189" i="1" a="1"/>
  <c r="I189" i="1" s="1"/>
  <c r="J189" i="1" a="1"/>
  <c r="J189" i="1" s="1"/>
  <c r="I190" i="1" a="1"/>
  <c r="I190" i="1" s="1"/>
  <c r="J190" i="1" a="1"/>
  <c r="J190" i="1" s="1"/>
  <c r="I191" i="1" a="1"/>
  <c r="I191" i="1" s="1"/>
  <c r="J191" i="1" a="1"/>
  <c r="J191" i="1" s="1"/>
  <c r="I192" i="1" a="1"/>
  <c r="I192" i="1" s="1"/>
  <c r="J192" i="1" a="1"/>
  <c r="J192" i="1" s="1"/>
  <c r="I193" i="1" a="1"/>
  <c r="I193" i="1" s="1"/>
  <c r="J193" i="1" a="1"/>
  <c r="J193" i="1" s="1"/>
  <c r="I194" i="1" a="1"/>
  <c r="I194" i="1" s="1"/>
  <c r="J194" i="1" a="1"/>
  <c r="J194" i="1" s="1"/>
  <c r="I195" i="1" a="1"/>
  <c r="I195" i="1" s="1"/>
  <c r="J195" i="1" a="1"/>
  <c r="J195" i="1" s="1"/>
  <c r="I196" i="1" a="1"/>
  <c r="I196" i="1" s="1"/>
  <c r="J196" i="1" a="1"/>
  <c r="J196" i="1" s="1"/>
  <c r="I197" i="1" a="1"/>
  <c r="I197" i="1" s="1"/>
  <c r="J197" i="1" a="1"/>
  <c r="J197" i="1" s="1"/>
  <c r="I198" i="1" a="1"/>
  <c r="I198" i="1" s="1"/>
  <c r="J198" i="1" a="1"/>
  <c r="J198" i="1" s="1"/>
  <c r="I199" i="1" a="1"/>
  <c r="I199" i="1" s="1"/>
  <c r="J199" i="1" a="1"/>
  <c r="J199" i="1" s="1"/>
  <c r="I200" i="1" a="1"/>
  <c r="I200" i="1" s="1"/>
  <c r="J200" i="1" a="1"/>
  <c r="J200" i="1" s="1"/>
  <c r="I201" i="1" a="1"/>
  <c r="I201" i="1" s="1"/>
  <c r="J201" i="1" a="1"/>
  <c r="J201" i="1" s="1"/>
  <c r="I202" i="1" a="1"/>
  <c r="I202" i="1" s="1"/>
  <c r="J202" i="1" a="1"/>
  <c r="J202" i="1" s="1"/>
  <c r="I203" i="1" a="1"/>
  <c r="I203" i="1" s="1"/>
  <c r="J203" i="1" a="1"/>
  <c r="J203" i="1" s="1"/>
  <c r="I204" i="1" a="1"/>
  <c r="I204" i="1" s="1"/>
  <c r="J204" i="1" a="1"/>
  <c r="J204" i="1" s="1"/>
  <c r="I205" i="1" a="1"/>
  <c r="I205" i="1" s="1"/>
  <c r="J205" i="1" a="1"/>
  <c r="J205" i="1" s="1"/>
  <c r="I206" i="1" a="1"/>
  <c r="I206" i="1" s="1"/>
  <c r="J206" i="1" a="1"/>
  <c r="J206" i="1" s="1"/>
  <c r="I207" i="1" a="1"/>
  <c r="I207" i="1" s="1"/>
  <c r="J207" i="1" a="1"/>
  <c r="J207" i="1" s="1"/>
  <c r="I208" i="1" a="1"/>
  <c r="I208" i="1" s="1"/>
  <c r="J208" i="1" a="1"/>
  <c r="J208" i="1" s="1"/>
  <c r="I209" i="1" a="1"/>
  <c r="I209" i="1" s="1"/>
  <c r="J209" i="1" a="1"/>
  <c r="J209" i="1" s="1"/>
  <c r="I210" i="1" a="1"/>
  <c r="I210" i="1" s="1"/>
  <c r="J210" i="1" a="1"/>
  <c r="J210" i="1" s="1"/>
  <c r="I211" i="1" a="1"/>
  <c r="I211" i="1" s="1"/>
  <c r="J211" i="1" a="1"/>
  <c r="J211" i="1" s="1"/>
  <c r="I212" i="1" a="1"/>
  <c r="I212" i="1" s="1"/>
  <c r="J212" i="1" a="1"/>
  <c r="J212" i="1" s="1"/>
  <c r="I213" i="1" a="1"/>
  <c r="I213" i="1" s="1"/>
  <c r="J213" i="1" a="1"/>
  <c r="J213" i="1" s="1"/>
  <c r="I214" i="1" a="1"/>
  <c r="I214" i="1" s="1"/>
  <c r="J214" i="1" a="1"/>
  <c r="J214" i="1" s="1"/>
  <c r="I215" i="1" a="1"/>
  <c r="I215" i="1" s="1"/>
  <c r="J215" i="1" a="1"/>
  <c r="J215" i="1" s="1"/>
  <c r="I216" i="1" a="1"/>
  <c r="I216" i="1" s="1"/>
  <c r="J216" i="1" a="1"/>
  <c r="J216" i="1" s="1"/>
  <c r="I217" i="1" a="1"/>
  <c r="I217" i="1" s="1"/>
  <c r="J217" i="1" a="1"/>
  <c r="J217" i="1" s="1"/>
  <c r="I218" i="1" a="1"/>
  <c r="I218" i="1" s="1"/>
  <c r="J218" i="1" a="1"/>
  <c r="J218" i="1" s="1"/>
  <c r="I219" i="1" a="1"/>
  <c r="I219" i="1" s="1"/>
  <c r="J219" i="1" a="1"/>
  <c r="J219" i="1" s="1"/>
  <c r="I220" i="1" a="1"/>
  <c r="I220" i="1" s="1"/>
  <c r="J220" i="1" a="1"/>
  <c r="J220" i="1" s="1"/>
  <c r="I221" i="1" a="1"/>
  <c r="I221" i="1" s="1"/>
  <c r="J221" i="1" a="1"/>
  <c r="J221" i="1" s="1"/>
  <c r="I222" i="1" a="1"/>
  <c r="I222" i="1" s="1"/>
  <c r="J222" i="1" a="1"/>
  <c r="J222" i="1" s="1"/>
  <c r="I223" i="1" a="1"/>
  <c r="I223" i="1" s="1"/>
  <c r="J223" i="1" a="1"/>
  <c r="J223" i="1" s="1"/>
  <c r="I224" i="1" a="1"/>
  <c r="I224" i="1" s="1"/>
  <c r="J224" i="1" a="1"/>
  <c r="J224" i="1" s="1"/>
  <c r="I225" i="1" a="1"/>
  <c r="I225" i="1" s="1"/>
  <c r="J225" i="1" a="1"/>
  <c r="J225" i="1" s="1"/>
  <c r="I226" i="1" a="1"/>
  <c r="I226" i="1" s="1"/>
  <c r="J226" i="1" a="1"/>
  <c r="J226" i="1" s="1"/>
  <c r="I227" i="1" a="1"/>
  <c r="I227" i="1" s="1"/>
  <c r="J227" i="1" a="1"/>
  <c r="J227" i="1" s="1"/>
  <c r="I228" i="1" a="1"/>
  <c r="I228" i="1" s="1"/>
  <c r="J228" i="1" a="1"/>
  <c r="J228" i="1" s="1"/>
  <c r="I229" i="1" a="1"/>
  <c r="I229" i="1" s="1"/>
  <c r="J229" i="1" a="1"/>
  <c r="J229" i="1" s="1"/>
  <c r="I230" i="1" a="1"/>
  <c r="I230" i="1" s="1"/>
  <c r="J230" i="1" a="1"/>
  <c r="J230" i="1" s="1"/>
  <c r="I231" i="1" a="1"/>
  <c r="I231" i="1" s="1"/>
  <c r="J231" i="1" a="1"/>
  <c r="J231" i="1" s="1"/>
  <c r="I232" i="1" a="1"/>
  <c r="I232" i="1" s="1"/>
  <c r="J232" i="1" a="1"/>
  <c r="J232" i="1" s="1"/>
  <c r="I233" i="1" a="1"/>
  <c r="I233" i="1" s="1"/>
  <c r="J233" i="1" a="1"/>
  <c r="J233" i="1" s="1"/>
  <c r="I234" i="1" a="1"/>
  <c r="I234" i="1" s="1"/>
  <c r="J234" i="1" a="1"/>
  <c r="J234" i="1" s="1"/>
  <c r="I235" i="1" a="1"/>
  <c r="I235" i="1" s="1"/>
  <c r="J235" i="1" a="1"/>
  <c r="J235" i="1" s="1"/>
  <c r="I236" i="1" a="1"/>
  <c r="I236" i="1" s="1"/>
  <c r="J236" i="1" a="1"/>
  <c r="J236" i="1" s="1"/>
  <c r="I237" i="1" a="1"/>
  <c r="I237" i="1" s="1"/>
  <c r="J237" i="1" a="1"/>
  <c r="J237" i="1" s="1"/>
  <c r="I238" i="1" a="1"/>
  <c r="I238" i="1" s="1"/>
  <c r="J238" i="1" a="1"/>
  <c r="J238" i="1" s="1"/>
  <c r="I239" i="1" a="1"/>
  <c r="I239" i="1" s="1"/>
  <c r="J239" i="1" a="1"/>
  <c r="J239" i="1" s="1"/>
  <c r="I240" i="1" a="1"/>
  <c r="I240" i="1" s="1"/>
  <c r="J240" i="1" a="1"/>
  <c r="J240" i="1" s="1"/>
  <c r="I241" i="1" a="1"/>
  <c r="I241" i="1" s="1"/>
  <c r="J241" i="1" a="1"/>
  <c r="J241" i="1" s="1"/>
  <c r="I242" i="1" a="1"/>
  <c r="I242" i="1" s="1"/>
  <c r="J242" i="1" a="1"/>
  <c r="J242" i="1" s="1"/>
  <c r="I243" i="1" a="1"/>
  <c r="I243" i="1" s="1"/>
  <c r="J243" i="1" a="1"/>
  <c r="J243" i="1" s="1"/>
  <c r="I244" i="1" a="1"/>
  <c r="I244" i="1" s="1"/>
  <c r="J244" i="1" a="1"/>
  <c r="J244" i="1" s="1"/>
  <c r="I245" i="1" a="1"/>
  <c r="I245" i="1" s="1"/>
  <c r="J245" i="1" a="1"/>
  <c r="J245" i="1" s="1"/>
  <c r="I246" i="1" a="1"/>
  <c r="I246" i="1" s="1"/>
  <c r="J246" i="1" a="1"/>
  <c r="J246" i="1" s="1"/>
  <c r="I247" i="1" a="1"/>
  <c r="I247" i="1" s="1"/>
  <c r="J247" i="1" a="1"/>
  <c r="J247" i="1" s="1"/>
  <c r="I248" i="1" a="1"/>
  <c r="I248" i="1" s="1"/>
  <c r="J248" i="1" a="1"/>
  <c r="J248" i="1" s="1"/>
  <c r="I249" i="1" a="1"/>
  <c r="I249" i="1" s="1"/>
  <c r="J249" i="1" a="1"/>
  <c r="J249" i="1" s="1"/>
  <c r="I250" i="1" a="1"/>
  <c r="I250" i="1" s="1"/>
  <c r="J250" i="1" a="1"/>
  <c r="J250" i="1" s="1"/>
  <c r="I251" i="1" a="1"/>
  <c r="I251" i="1" s="1"/>
  <c r="J251" i="1" a="1"/>
  <c r="J251" i="1" s="1"/>
  <c r="I252" i="1" a="1"/>
  <c r="I252" i="1" s="1"/>
  <c r="J252" i="1" a="1"/>
  <c r="J252" i="1" s="1"/>
  <c r="I253" i="1" a="1"/>
  <c r="I253" i="1" s="1"/>
  <c r="J253" i="1" a="1"/>
  <c r="J253" i="1" s="1"/>
  <c r="I254" i="1" a="1"/>
  <c r="I254" i="1" s="1"/>
  <c r="J254" i="1" a="1"/>
  <c r="J254" i="1" s="1"/>
  <c r="I255" i="1" a="1"/>
  <c r="I255" i="1" s="1"/>
  <c r="J255" i="1" a="1"/>
  <c r="J255" i="1" s="1"/>
  <c r="I256" i="1" a="1"/>
  <c r="I256" i="1" s="1"/>
  <c r="J256" i="1" a="1"/>
  <c r="J256" i="1" s="1"/>
  <c r="I257" i="1" a="1"/>
  <c r="I257" i="1" s="1"/>
  <c r="J257" i="1" a="1"/>
  <c r="J257" i="1" s="1"/>
  <c r="I258" i="1" a="1"/>
  <c r="I258" i="1" s="1"/>
  <c r="J258" i="1" a="1"/>
  <c r="J258" i="1" s="1"/>
  <c r="I259" i="1" a="1"/>
  <c r="I259" i="1" s="1"/>
  <c r="J259" i="1" a="1"/>
  <c r="J259" i="1" s="1"/>
  <c r="I260" i="1" a="1"/>
  <c r="I260" i="1" s="1"/>
  <c r="J260" i="1" a="1"/>
  <c r="J260" i="1" s="1"/>
  <c r="I261" i="1" a="1"/>
  <c r="I261" i="1" s="1"/>
  <c r="J261" i="1" a="1"/>
  <c r="J261" i="1" s="1"/>
  <c r="I262" i="1" a="1"/>
  <c r="I262" i="1" s="1"/>
  <c r="J262" i="1" a="1"/>
  <c r="J262" i="1" s="1"/>
  <c r="I263" i="1" a="1"/>
  <c r="I263" i="1" s="1"/>
  <c r="J263" i="1" a="1"/>
  <c r="J263" i="1" s="1"/>
  <c r="I264" i="1" a="1"/>
  <c r="I264" i="1" s="1"/>
  <c r="J264" i="1" a="1"/>
  <c r="J264" i="1" s="1"/>
  <c r="I265" i="1" a="1"/>
  <c r="I265" i="1" s="1"/>
  <c r="J265" i="1" a="1"/>
  <c r="J265" i="1" s="1"/>
  <c r="I266" i="1" a="1"/>
  <c r="I266" i="1" s="1"/>
  <c r="J266" i="1" a="1"/>
  <c r="J266" i="1" s="1"/>
  <c r="I267" i="1" a="1"/>
  <c r="I267" i="1" s="1"/>
  <c r="J267" i="1" a="1"/>
  <c r="J267" i="1" s="1"/>
  <c r="I268" i="1" a="1"/>
  <c r="I268" i="1" s="1"/>
  <c r="J268" i="1" a="1"/>
  <c r="J268" i="1" s="1"/>
  <c r="I269" i="1" a="1"/>
  <c r="I269" i="1"/>
  <c r="J269" i="1" a="1"/>
  <c r="J269" i="1" s="1"/>
  <c r="I270" i="1" a="1"/>
  <c r="I270" i="1" s="1"/>
  <c r="J270" i="1" a="1"/>
  <c r="J270" i="1" s="1"/>
  <c r="I271" i="1" a="1"/>
  <c r="I271" i="1" s="1"/>
  <c r="J271" i="1" a="1"/>
  <c r="J271" i="1" s="1"/>
  <c r="I272" i="1" a="1"/>
  <c r="I272" i="1" s="1"/>
  <c r="J272" i="1" a="1"/>
  <c r="J272" i="1" s="1"/>
  <c r="I273" i="1" a="1"/>
  <c r="I273" i="1" s="1"/>
  <c r="J273" i="1" a="1"/>
  <c r="J273" i="1" s="1"/>
  <c r="I274" i="1" a="1"/>
  <c r="I274" i="1" s="1"/>
  <c r="J274" i="1" a="1"/>
  <c r="J274" i="1" s="1"/>
  <c r="I275" i="1" a="1"/>
  <c r="I275" i="1" s="1"/>
  <c r="J275" i="1" a="1"/>
  <c r="J275" i="1" s="1"/>
  <c r="I276" i="1" a="1"/>
  <c r="I276" i="1" s="1"/>
  <c r="J276" i="1" a="1"/>
  <c r="J276" i="1" s="1"/>
  <c r="I277" i="1" a="1"/>
  <c r="I277" i="1" s="1"/>
  <c r="J277" i="1" a="1"/>
  <c r="J277" i="1" s="1"/>
  <c r="I278" i="1" a="1"/>
  <c r="I278" i="1" s="1"/>
  <c r="J278" i="1" a="1"/>
  <c r="J278" i="1" s="1"/>
  <c r="I279" i="1" a="1"/>
  <c r="I279" i="1" s="1"/>
  <c r="J279" i="1" a="1"/>
  <c r="J279" i="1" s="1"/>
  <c r="I280" i="1" a="1"/>
  <c r="I280" i="1" s="1"/>
  <c r="J280" i="1" a="1"/>
  <c r="J280" i="1" s="1"/>
  <c r="I281" i="1" a="1"/>
  <c r="I281" i="1" s="1"/>
  <c r="J281" i="1" a="1"/>
  <c r="J281" i="1" s="1"/>
  <c r="I282" i="1" a="1"/>
  <c r="I282" i="1" s="1"/>
  <c r="J282" i="1" a="1"/>
  <c r="J282" i="1" s="1"/>
  <c r="I283" i="1" a="1"/>
  <c r="I283" i="1" s="1"/>
  <c r="J283" i="1" a="1"/>
  <c r="J283" i="1" s="1"/>
  <c r="I284" i="1" a="1"/>
  <c r="I284" i="1" s="1"/>
  <c r="J284" i="1" a="1"/>
  <c r="J284" i="1" s="1"/>
  <c r="I285" i="1" a="1"/>
  <c r="I285" i="1" s="1"/>
  <c r="J285" i="1" a="1"/>
  <c r="J285" i="1" s="1"/>
  <c r="I286" i="1" a="1"/>
  <c r="I286" i="1" s="1"/>
  <c r="J286" i="1" a="1"/>
  <c r="J286" i="1" s="1"/>
  <c r="I287" i="1" a="1"/>
  <c r="I287" i="1" s="1"/>
  <c r="J287" i="1" a="1"/>
  <c r="J287" i="1" s="1"/>
  <c r="I288" i="1" a="1"/>
  <c r="I288" i="1" s="1"/>
  <c r="J288" i="1" a="1"/>
  <c r="J288" i="1" s="1"/>
  <c r="I289" i="1" a="1"/>
  <c r="I289" i="1" s="1"/>
  <c r="J289" i="1" a="1"/>
  <c r="J289" i="1" s="1"/>
  <c r="I290" i="1" a="1"/>
  <c r="I290" i="1" s="1"/>
  <c r="J290" i="1" a="1"/>
  <c r="J290" i="1" s="1"/>
  <c r="I291" i="1" a="1"/>
  <c r="I291" i="1" s="1"/>
  <c r="J291" i="1" a="1"/>
  <c r="J291" i="1" s="1"/>
  <c r="I292" i="1" a="1"/>
  <c r="I292" i="1" s="1"/>
  <c r="J292" i="1" a="1"/>
  <c r="J292" i="1" s="1"/>
  <c r="I293" i="1" a="1"/>
  <c r="I293" i="1" s="1"/>
  <c r="J293" i="1" a="1"/>
  <c r="J293" i="1" s="1"/>
  <c r="I294" i="1" a="1"/>
  <c r="I294" i="1" s="1"/>
  <c r="J294" i="1" a="1"/>
  <c r="J294" i="1"/>
  <c r="I295" i="1" a="1"/>
  <c r="I295" i="1" s="1"/>
  <c r="J295" i="1" a="1"/>
  <c r="J295" i="1" s="1"/>
  <c r="I296" i="1" a="1"/>
  <c r="I296" i="1" s="1"/>
  <c r="J296" i="1" a="1"/>
  <c r="J296" i="1" s="1"/>
  <c r="I297" i="1" a="1"/>
  <c r="I297" i="1" s="1"/>
  <c r="J297" i="1" a="1"/>
  <c r="J297" i="1" s="1"/>
  <c r="I298" i="1" a="1"/>
  <c r="I298" i="1" s="1"/>
  <c r="J298" i="1" a="1"/>
  <c r="J298" i="1" s="1"/>
  <c r="I299" i="1" a="1"/>
  <c r="I299" i="1" s="1"/>
  <c r="J299" i="1" a="1"/>
  <c r="J299" i="1" s="1"/>
  <c r="I300" i="1" a="1"/>
  <c r="I300" i="1" s="1"/>
  <c r="J300" i="1" a="1"/>
  <c r="J300" i="1" s="1"/>
  <c r="I301" i="1" a="1"/>
  <c r="I301" i="1" s="1"/>
  <c r="J301" i="1" a="1"/>
  <c r="J301" i="1" s="1"/>
  <c r="I302" i="1" a="1"/>
  <c r="I302" i="1" s="1"/>
  <c r="J302" i="1" a="1"/>
  <c r="J302" i="1" s="1"/>
  <c r="I303" i="1" a="1"/>
  <c r="I303" i="1" s="1"/>
  <c r="J303" i="1" a="1"/>
  <c r="J303" i="1"/>
  <c r="I304" i="1" a="1"/>
  <c r="I304" i="1" s="1"/>
  <c r="J304" i="1" a="1"/>
  <c r="J304" i="1" s="1"/>
  <c r="I305" i="1" a="1"/>
  <c r="I305" i="1" s="1"/>
  <c r="J305" i="1" a="1"/>
  <c r="J305" i="1" s="1"/>
  <c r="I306" i="1" a="1"/>
  <c r="I306" i="1" s="1"/>
  <c r="J306" i="1" a="1"/>
  <c r="J306" i="1" s="1"/>
  <c r="I307" i="1" a="1"/>
  <c r="I307" i="1" s="1"/>
  <c r="J307" i="1" a="1"/>
  <c r="J307" i="1" s="1"/>
  <c r="I308" i="1" a="1"/>
  <c r="I308" i="1" s="1"/>
  <c r="J308" i="1" a="1"/>
  <c r="J308" i="1" s="1"/>
  <c r="I309" i="1" a="1"/>
  <c r="I309" i="1" s="1"/>
  <c r="J309" i="1" a="1"/>
  <c r="J309" i="1" s="1"/>
  <c r="I310" i="1" a="1"/>
  <c r="I310" i="1" s="1"/>
  <c r="J310" i="1" a="1"/>
  <c r="J310" i="1" s="1"/>
  <c r="I311" i="1" a="1"/>
  <c r="I311" i="1" s="1"/>
  <c r="J311" i="1" a="1"/>
  <c r="J311" i="1" s="1"/>
  <c r="I312" i="1" a="1"/>
  <c r="I312" i="1" s="1"/>
  <c r="J312" i="1" a="1"/>
  <c r="J312" i="1" s="1"/>
  <c r="I313" i="1" a="1"/>
  <c r="I313" i="1" s="1"/>
  <c r="J313" i="1" a="1"/>
  <c r="J313" i="1" s="1"/>
  <c r="I314" i="1" a="1"/>
  <c r="I314" i="1" s="1"/>
  <c r="J314" i="1" a="1"/>
  <c r="J314" i="1" s="1"/>
  <c r="I315" i="1" a="1"/>
  <c r="I315" i="1" s="1"/>
  <c r="J315" i="1" a="1"/>
  <c r="J315" i="1" s="1"/>
  <c r="I316" i="1" a="1"/>
  <c r="I316" i="1" s="1"/>
  <c r="J316" i="1" a="1"/>
  <c r="J316" i="1" s="1"/>
  <c r="I317" i="1" a="1"/>
  <c r="I317" i="1" s="1"/>
  <c r="J317" i="1" a="1"/>
  <c r="J317" i="1" s="1"/>
  <c r="I318" i="1" a="1"/>
  <c r="I318" i="1" s="1"/>
  <c r="J318" i="1" a="1"/>
  <c r="J318" i="1"/>
  <c r="I319" i="1" a="1"/>
  <c r="I319" i="1" s="1"/>
  <c r="J319" i="1" a="1"/>
  <c r="J319" i="1" s="1"/>
  <c r="I320" i="1" a="1"/>
  <c r="I320" i="1" s="1"/>
  <c r="J320" i="1" a="1"/>
  <c r="J320" i="1" s="1"/>
  <c r="I321" i="1" a="1"/>
  <c r="I321" i="1" s="1"/>
  <c r="J321" i="1" a="1"/>
  <c r="J321" i="1" s="1"/>
  <c r="I322" i="1" a="1"/>
  <c r="I322" i="1" s="1"/>
  <c r="J322" i="1" a="1"/>
  <c r="J322" i="1" s="1"/>
  <c r="I323" i="1" a="1"/>
  <c r="I323" i="1" s="1"/>
  <c r="J323" i="1" a="1"/>
  <c r="J323" i="1" s="1"/>
  <c r="I324" i="1" a="1"/>
  <c r="I324" i="1" s="1"/>
  <c r="J324" i="1" a="1"/>
  <c r="J324" i="1" s="1"/>
  <c r="I325" i="1" a="1"/>
  <c r="I325" i="1" s="1"/>
  <c r="J325" i="1" a="1"/>
  <c r="J325" i="1" s="1"/>
  <c r="I326" i="1" a="1"/>
  <c r="I326" i="1" s="1"/>
  <c r="J326" i="1" a="1"/>
  <c r="J326" i="1" s="1"/>
  <c r="I327" i="1" a="1"/>
  <c r="I327" i="1" s="1"/>
  <c r="J327" i="1" a="1"/>
  <c r="J327" i="1" s="1"/>
  <c r="I328" i="1" a="1"/>
  <c r="I328" i="1" s="1"/>
  <c r="J328" i="1" a="1"/>
  <c r="J328" i="1" s="1"/>
  <c r="I329" i="1" a="1"/>
  <c r="I329" i="1" s="1"/>
  <c r="J329" i="1" a="1"/>
  <c r="J329" i="1" s="1"/>
  <c r="I330" i="1" a="1"/>
  <c r="I330" i="1" s="1"/>
  <c r="J330" i="1" a="1"/>
  <c r="J330" i="1" s="1"/>
  <c r="I331" i="1" a="1"/>
  <c r="I331" i="1" s="1"/>
  <c r="J331" i="1" a="1"/>
  <c r="J331" i="1" s="1"/>
  <c r="I332" i="1" a="1"/>
  <c r="I332" i="1" s="1"/>
  <c r="J332" i="1" a="1"/>
  <c r="J332" i="1" s="1"/>
  <c r="I333" i="1" a="1"/>
  <c r="I333" i="1" s="1"/>
  <c r="J333" i="1" a="1"/>
  <c r="J333" i="1" s="1"/>
  <c r="I334" i="1" a="1"/>
  <c r="I334" i="1" s="1"/>
  <c r="J334" i="1" a="1"/>
  <c r="J334" i="1" s="1"/>
  <c r="I335" i="1" a="1"/>
  <c r="I335" i="1" s="1"/>
  <c r="J335" i="1" a="1"/>
  <c r="J335" i="1" s="1"/>
  <c r="I336" i="1" a="1"/>
  <c r="I336" i="1" s="1"/>
  <c r="J336" i="1" a="1"/>
  <c r="J336" i="1" s="1"/>
  <c r="I337" i="1" a="1"/>
  <c r="I337" i="1" s="1"/>
  <c r="J337" i="1" a="1"/>
  <c r="J337" i="1" s="1"/>
  <c r="I338" i="1" a="1"/>
  <c r="I338" i="1" s="1"/>
  <c r="J338" i="1" a="1"/>
  <c r="J338" i="1" s="1"/>
  <c r="I339" i="1" a="1"/>
  <c r="I339" i="1" s="1"/>
  <c r="J339" i="1" a="1"/>
  <c r="J339" i="1" s="1"/>
  <c r="I340" i="1" a="1"/>
  <c r="I340" i="1" s="1"/>
  <c r="J340" i="1" a="1"/>
  <c r="J340" i="1" s="1"/>
  <c r="I341" i="1" a="1"/>
  <c r="I341" i="1" s="1"/>
  <c r="J341" i="1" a="1"/>
  <c r="J341" i="1" s="1"/>
  <c r="I342" i="1" a="1"/>
  <c r="I342" i="1" s="1"/>
  <c r="J342" i="1" a="1"/>
  <c r="J342" i="1" s="1"/>
  <c r="I343" i="1" a="1"/>
  <c r="I343" i="1" s="1"/>
  <c r="J343" i="1" a="1"/>
  <c r="J343" i="1" s="1"/>
  <c r="J2" i="1" a="1"/>
  <c r="J2" i="1" s="1"/>
  <c r="I2" i="1" a="1"/>
  <c r="I2" i="1" s="1"/>
  <c r="H3" i="5" a="1"/>
  <c r="H3" i="5" s="1"/>
  <c r="H4" i="5" a="1"/>
  <c r="H4" i="5" s="1"/>
  <c r="H5" i="5" a="1"/>
  <c r="H5" i="5" s="1"/>
  <c r="H6" i="5" a="1"/>
  <c r="H6" i="5" s="1"/>
  <c r="H7" i="5" a="1"/>
  <c r="H7" i="5" s="1"/>
  <c r="H8" i="5" a="1"/>
  <c r="H8" i="5" s="1"/>
  <c r="H9" i="5" a="1"/>
  <c r="H9" i="5" s="1"/>
  <c r="H10" i="5" a="1"/>
  <c r="H10" i="5" s="1"/>
  <c r="H11" i="5" a="1"/>
  <c r="H11" i="5" s="1"/>
  <c r="H12" i="5" a="1"/>
  <c r="H12" i="5" s="1"/>
  <c r="H13" i="5" a="1"/>
  <c r="H13" i="5"/>
  <c r="H14" i="5" a="1"/>
  <c r="H14" i="5" s="1"/>
  <c r="H15" i="5" a="1"/>
  <c r="H15" i="5" s="1"/>
  <c r="H16" i="5" a="1"/>
  <c r="H16" i="5" s="1"/>
  <c r="H17" i="5" a="1"/>
  <c r="H17" i="5" s="1"/>
  <c r="H18" i="5" a="1"/>
  <c r="H18" i="5" s="1"/>
  <c r="H19" i="5" a="1"/>
  <c r="H19" i="5" s="1"/>
  <c r="H20" i="5" a="1"/>
  <c r="H20" i="5" s="1"/>
  <c r="H21" i="5" a="1"/>
  <c r="H21" i="5" s="1"/>
  <c r="H22" i="5" a="1"/>
  <c r="H22" i="5" s="1"/>
  <c r="H23" i="5" a="1"/>
  <c r="H23" i="5" s="1"/>
  <c r="H24" i="5" a="1"/>
  <c r="H24" i="5" s="1"/>
  <c r="H25" i="5" a="1"/>
  <c r="H25" i="5"/>
  <c r="H26" i="5" a="1"/>
  <c r="H26" i="5" s="1"/>
  <c r="H27" i="5" a="1"/>
  <c r="H27" i="5" s="1"/>
  <c r="H28" i="5" a="1"/>
  <c r="H28" i="5" s="1"/>
  <c r="H29" i="5" a="1"/>
  <c r="H29" i="5" s="1"/>
  <c r="H30" i="5" a="1"/>
  <c r="H30" i="5" s="1"/>
  <c r="H31" i="5" a="1"/>
  <c r="H31" i="5"/>
  <c r="H32" i="5" a="1"/>
  <c r="H32" i="5" s="1"/>
  <c r="H33" i="5" a="1"/>
  <c r="H33" i="5" s="1"/>
  <c r="H34" i="5" a="1"/>
  <c r="H34" i="5" s="1"/>
  <c r="H35" i="5" a="1"/>
  <c r="H35" i="5" s="1"/>
  <c r="H36" i="5" a="1"/>
  <c r="H36" i="5" s="1"/>
  <c r="H37" i="5" a="1"/>
  <c r="H37" i="5" s="1"/>
  <c r="H38" i="5" a="1"/>
  <c r="H38" i="5" s="1"/>
  <c r="H39" i="5" a="1"/>
  <c r="H39" i="5" s="1"/>
  <c r="H40" i="5" a="1"/>
  <c r="H40" i="5" s="1"/>
  <c r="H41" i="5" a="1"/>
  <c r="H41" i="5" s="1"/>
  <c r="H42" i="5" a="1"/>
  <c r="H42" i="5" s="1"/>
  <c r="H43" i="5" a="1"/>
  <c r="H43" i="5" s="1"/>
  <c r="H44" i="5" a="1"/>
  <c r="H44" i="5" s="1"/>
  <c r="H45" i="5" a="1"/>
  <c r="H45" i="5" s="1"/>
  <c r="H46" i="5" a="1"/>
  <c r="H46" i="5" s="1"/>
  <c r="H47" i="5" a="1"/>
  <c r="H47" i="5" s="1"/>
  <c r="H48" i="5" a="1"/>
  <c r="H48" i="5" s="1"/>
  <c r="H49" i="5" a="1"/>
  <c r="H49" i="5" s="1"/>
  <c r="H50" i="5" a="1"/>
  <c r="H50" i="5" s="1"/>
  <c r="H51" i="5" a="1"/>
  <c r="H51" i="5" s="1"/>
  <c r="H52" i="5" a="1"/>
  <c r="H52" i="5" s="1"/>
  <c r="H53" i="5" a="1"/>
  <c r="H53" i="5" s="1"/>
  <c r="H54" i="5" a="1"/>
  <c r="H54" i="5" s="1"/>
  <c r="H55" i="5" a="1"/>
  <c r="H55" i="5" s="1"/>
  <c r="H56" i="5" a="1"/>
  <c r="H56" i="5" s="1"/>
  <c r="H57" i="5" a="1"/>
  <c r="H57" i="5" s="1"/>
  <c r="H58" i="5" a="1"/>
  <c r="H58" i="5" s="1"/>
  <c r="H59" i="5" a="1"/>
  <c r="H59" i="5" s="1"/>
  <c r="H60" i="5" a="1"/>
  <c r="H60" i="5" s="1"/>
  <c r="H61" i="5" a="1"/>
  <c r="H61" i="5" s="1"/>
  <c r="H62" i="5" a="1"/>
  <c r="H62" i="5" s="1"/>
  <c r="H63" i="5" a="1"/>
  <c r="H63" i="5" s="1"/>
  <c r="H64" i="5" a="1"/>
  <c r="H64" i="5" s="1"/>
  <c r="H65" i="5" a="1"/>
  <c r="H65" i="5" s="1"/>
  <c r="H66" i="5" a="1"/>
  <c r="H66" i="5" s="1"/>
  <c r="H67" i="5" a="1"/>
  <c r="H67" i="5" s="1"/>
  <c r="H68" i="5" a="1"/>
  <c r="H68" i="5" s="1"/>
  <c r="H69" i="5" a="1"/>
  <c r="H69" i="5" s="1"/>
  <c r="H70" i="5" a="1"/>
  <c r="H70" i="5" s="1"/>
  <c r="H71" i="5" a="1"/>
  <c r="H71" i="5" s="1"/>
  <c r="H72" i="5" a="1"/>
  <c r="H72" i="5" s="1"/>
  <c r="H73" i="5" a="1"/>
  <c r="H73" i="5"/>
  <c r="H74" i="5" a="1"/>
  <c r="H74" i="5" s="1"/>
  <c r="H75" i="5" a="1"/>
  <c r="H75" i="5" s="1"/>
  <c r="H76" i="5" a="1"/>
  <c r="H76" i="5" s="1"/>
  <c r="H77" i="5" a="1"/>
  <c r="H77" i="5" s="1"/>
  <c r="H78" i="5" a="1"/>
  <c r="H78" i="5" s="1"/>
  <c r="H79" i="5" a="1"/>
  <c r="H79" i="5" s="1"/>
  <c r="H80" i="5" a="1"/>
  <c r="H80" i="5" s="1"/>
  <c r="H81" i="5" a="1"/>
  <c r="H81" i="5" s="1"/>
  <c r="H82" i="5" a="1"/>
  <c r="H82" i="5" s="1"/>
  <c r="H83" i="5" a="1"/>
  <c r="H83" i="5" s="1"/>
  <c r="H84" i="5" a="1"/>
  <c r="H84" i="5" s="1"/>
  <c r="H85" i="5" a="1"/>
  <c r="H85" i="5" s="1"/>
  <c r="H86" i="5" a="1"/>
  <c r="H86" i="5" s="1"/>
  <c r="H87" i="5" a="1"/>
  <c r="H87" i="5" s="1"/>
  <c r="H88" i="5" a="1"/>
  <c r="H88" i="5" s="1"/>
  <c r="H89" i="5" a="1"/>
  <c r="H89" i="5" s="1"/>
  <c r="H90" i="5" a="1"/>
  <c r="H90" i="5" s="1"/>
  <c r="H91" i="5" a="1"/>
  <c r="H91" i="5" s="1"/>
  <c r="H92" i="5" a="1"/>
  <c r="H92" i="5" s="1"/>
  <c r="H93" i="5" a="1"/>
  <c r="H93" i="5" s="1"/>
  <c r="H94" i="5" a="1"/>
  <c r="H94" i="5" s="1"/>
  <c r="H95" i="5" a="1"/>
  <c r="H95" i="5" s="1"/>
  <c r="H96" i="5" a="1"/>
  <c r="H96" i="5" s="1"/>
  <c r="H97" i="5" a="1"/>
  <c r="H97" i="5"/>
  <c r="H98" i="5" a="1"/>
  <c r="H98" i="5" s="1"/>
  <c r="H99" i="5" a="1"/>
  <c r="H99" i="5" s="1"/>
  <c r="H100" i="5" a="1"/>
  <c r="H100" i="5" s="1"/>
  <c r="H101" i="5" a="1"/>
  <c r="H101" i="5" s="1"/>
  <c r="H102" i="5" a="1"/>
  <c r="H102" i="5" s="1"/>
  <c r="H103" i="5" a="1"/>
  <c r="H103" i="5"/>
  <c r="H104" i="5" a="1"/>
  <c r="H104" i="5" s="1"/>
  <c r="H105" i="5" a="1"/>
  <c r="H105" i="5" s="1"/>
  <c r="H106" i="5" a="1"/>
  <c r="H106" i="5" s="1"/>
  <c r="H107" i="5" a="1"/>
  <c r="H107" i="5" s="1"/>
  <c r="H108" i="5" a="1"/>
  <c r="H108" i="5" s="1"/>
  <c r="H109" i="5" a="1"/>
  <c r="H109" i="5"/>
  <c r="H110" i="5" a="1"/>
  <c r="H110" i="5" s="1"/>
  <c r="H111" i="5" a="1"/>
  <c r="H111" i="5" s="1"/>
  <c r="H112" i="5" a="1"/>
  <c r="H112" i="5" s="1"/>
  <c r="H113" i="5" a="1"/>
  <c r="H113" i="5" s="1"/>
  <c r="H114" i="5" a="1"/>
  <c r="H114" i="5" s="1"/>
  <c r="H115" i="5" a="1"/>
  <c r="H115" i="5" s="1"/>
  <c r="H116" i="5" a="1"/>
  <c r="H116" i="5" s="1"/>
  <c r="H117" i="5" a="1"/>
  <c r="H117" i="5" s="1"/>
  <c r="H118" i="5" a="1"/>
  <c r="H118" i="5" s="1"/>
  <c r="H119" i="5" a="1"/>
  <c r="H119" i="5" s="1"/>
  <c r="H120" i="5" a="1"/>
  <c r="H120" i="5" s="1"/>
  <c r="H121" i="5" a="1"/>
  <c r="H121" i="5" s="1"/>
  <c r="H122" i="5" a="1"/>
  <c r="H122" i="5" s="1"/>
  <c r="H123" i="5" a="1"/>
  <c r="H123" i="5" s="1"/>
  <c r="H124" i="5" a="1"/>
  <c r="H124" i="5" s="1"/>
  <c r="H125" i="5" a="1"/>
  <c r="H125" i="5" s="1"/>
  <c r="H126" i="5" a="1"/>
  <c r="H126" i="5" s="1"/>
  <c r="H127" i="5" a="1"/>
  <c r="H127" i="5" s="1"/>
  <c r="H128" i="5" a="1"/>
  <c r="H128" i="5" s="1"/>
  <c r="H129" i="5" a="1"/>
  <c r="H129" i="5" s="1"/>
  <c r="H130" i="5" a="1"/>
  <c r="H130" i="5" s="1"/>
  <c r="H131" i="5" a="1"/>
  <c r="H131" i="5" s="1"/>
  <c r="H132" i="5" a="1"/>
  <c r="H132" i="5" s="1"/>
  <c r="H133" i="5" a="1"/>
  <c r="H133" i="5" s="1"/>
  <c r="H134" i="5" a="1"/>
  <c r="H134" i="5" s="1"/>
  <c r="H135" i="5" a="1"/>
  <c r="H135" i="5" s="1"/>
  <c r="H136" i="5" a="1"/>
  <c r="H136" i="5" s="1"/>
  <c r="H137" i="5" a="1"/>
  <c r="H137" i="5" s="1"/>
  <c r="H138" i="5" a="1"/>
  <c r="H138" i="5" s="1"/>
  <c r="H139" i="5" a="1"/>
  <c r="H139" i="5" s="1"/>
  <c r="H140" i="5" a="1"/>
  <c r="H140" i="5" s="1"/>
  <c r="H141" i="5" a="1"/>
  <c r="H141" i="5" s="1"/>
  <c r="H142" i="5" a="1"/>
  <c r="H142" i="5" s="1"/>
  <c r="H143" i="5" a="1"/>
  <c r="H143" i="5" s="1"/>
  <c r="H144" i="5" a="1"/>
  <c r="H144" i="5" s="1"/>
  <c r="H145" i="5" a="1"/>
  <c r="H145" i="5"/>
  <c r="H146" i="5" a="1"/>
  <c r="H146" i="5" s="1"/>
  <c r="H147" i="5" a="1"/>
  <c r="H147" i="5" s="1"/>
  <c r="H148" i="5" a="1"/>
  <c r="H148" i="5" s="1"/>
  <c r="H149" i="5" a="1"/>
  <c r="H149" i="5" s="1"/>
  <c r="H150" i="5" a="1"/>
  <c r="H150" i="5" s="1"/>
  <c r="H151" i="5" a="1"/>
  <c r="H151" i="5" s="1"/>
  <c r="H152" i="5" a="1"/>
  <c r="H152" i="5" s="1"/>
  <c r="H153" i="5" a="1"/>
  <c r="H153" i="5" s="1"/>
  <c r="H154" i="5" a="1"/>
  <c r="H154" i="5" s="1"/>
  <c r="H155" i="5" a="1"/>
  <c r="H155" i="5" s="1"/>
  <c r="H156" i="5" a="1"/>
  <c r="H156" i="5" s="1"/>
  <c r="H157" i="5" a="1"/>
  <c r="H157" i="5" s="1"/>
  <c r="H158" i="5" a="1"/>
  <c r="H158" i="5" s="1"/>
  <c r="H159" i="5" a="1"/>
  <c r="H159" i="5" s="1"/>
  <c r="H160" i="5" a="1"/>
  <c r="H160" i="5" s="1"/>
  <c r="H161" i="5" a="1"/>
  <c r="H161" i="5" s="1"/>
  <c r="H162" i="5" a="1"/>
  <c r="H162" i="5" s="1"/>
  <c r="H163" i="5" a="1"/>
  <c r="H163" i="5" s="1"/>
  <c r="H164" i="5" a="1"/>
  <c r="H164" i="5" s="1"/>
  <c r="H165" i="5" a="1"/>
  <c r="H165" i="5" s="1"/>
  <c r="H166" i="5" a="1"/>
  <c r="H166" i="5" s="1"/>
  <c r="H167" i="5" a="1"/>
  <c r="H167" i="5" s="1"/>
  <c r="H168" i="5" a="1"/>
  <c r="H168" i="5" s="1"/>
  <c r="H169" i="5" a="1"/>
  <c r="H169" i="5"/>
  <c r="H170" i="5" a="1"/>
  <c r="H170" i="5" s="1"/>
  <c r="H171" i="5" a="1"/>
  <c r="H171" i="5" s="1"/>
  <c r="H172" i="5" a="1"/>
  <c r="H172" i="5" s="1"/>
  <c r="H173" i="5" a="1"/>
  <c r="H173" i="5" s="1"/>
  <c r="H174" i="5" a="1"/>
  <c r="H174" i="5" s="1"/>
  <c r="H175" i="5" a="1"/>
  <c r="H175" i="5"/>
  <c r="H176" i="5" a="1"/>
  <c r="H176" i="5" s="1"/>
  <c r="H177" i="5" a="1"/>
  <c r="H177" i="5" s="1"/>
  <c r="H178" i="5" a="1"/>
  <c r="H178" i="5" s="1"/>
  <c r="H179" i="5" a="1"/>
  <c r="H179" i="5" s="1"/>
  <c r="H180" i="5" a="1"/>
  <c r="H180" i="5" s="1"/>
  <c r="H181" i="5" a="1"/>
  <c r="H181" i="5"/>
  <c r="H182" i="5" a="1"/>
  <c r="H182" i="5" s="1"/>
  <c r="H183" i="5" a="1"/>
  <c r="H183" i="5" s="1"/>
  <c r="H184" i="5" a="1"/>
  <c r="H184" i="5" s="1"/>
  <c r="H185" i="5" a="1"/>
  <c r="H185" i="5" s="1"/>
  <c r="H186" i="5" a="1"/>
  <c r="H186" i="5" s="1"/>
  <c r="H187" i="5" a="1"/>
  <c r="H187" i="5" s="1"/>
  <c r="H188" i="5" a="1"/>
  <c r="H188" i="5" s="1"/>
  <c r="H189" i="5" a="1"/>
  <c r="H189" i="5" s="1"/>
  <c r="H190" i="5" a="1"/>
  <c r="H190" i="5" s="1"/>
  <c r="H191" i="5" a="1"/>
  <c r="H191" i="5" s="1"/>
  <c r="H192" i="5" a="1"/>
  <c r="H192" i="5" s="1"/>
  <c r="H193" i="5" a="1"/>
  <c r="H193" i="5" s="1"/>
  <c r="H194" i="5" a="1"/>
  <c r="H194" i="5" s="1"/>
  <c r="H195" i="5" a="1"/>
  <c r="H195" i="5" s="1"/>
  <c r="H196" i="5" a="1"/>
  <c r="H196" i="5" s="1"/>
  <c r="H197" i="5" a="1"/>
  <c r="H197" i="5" s="1"/>
  <c r="H198" i="5" a="1"/>
  <c r="H198" i="5" s="1"/>
  <c r="H199" i="5" a="1"/>
  <c r="H199" i="5" s="1"/>
  <c r="H200" i="5" a="1"/>
  <c r="H200" i="5" s="1"/>
  <c r="H201" i="5" a="1"/>
  <c r="H201" i="5" s="1"/>
  <c r="H202" i="5" a="1"/>
  <c r="H202" i="5" s="1"/>
  <c r="H203" i="5" a="1"/>
  <c r="H203" i="5" s="1"/>
  <c r="H204" i="5" a="1"/>
  <c r="H204" i="5" s="1"/>
  <c r="H205" i="5" a="1"/>
  <c r="H205" i="5" s="1"/>
  <c r="H206" i="5" a="1"/>
  <c r="H206" i="5" s="1"/>
  <c r="H207" i="5" a="1"/>
  <c r="H207" i="5" s="1"/>
  <c r="H208" i="5" a="1"/>
  <c r="H208" i="5" s="1"/>
  <c r="H209" i="5" a="1"/>
  <c r="H209" i="5" s="1"/>
  <c r="H210" i="5" a="1"/>
  <c r="H210" i="5" s="1"/>
  <c r="H211" i="5" a="1"/>
  <c r="H211" i="5" s="1"/>
  <c r="H212" i="5" a="1"/>
  <c r="H212" i="5" s="1"/>
  <c r="H213" i="5" a="1"/>
  <c r="H213" i="5" s="1"/>
  <c r="H214" i="5" a="1"/>
  <c r="H214" i="5" s="1"/>
  <c r="H215" i="5" a="1"/>
  <c r="H215" i="5" s="1"/>
  <c r="H216" i="5" a="1"/>
  <c r="H216" i="5" s="1"/>
  <c r="H217" i="5" a="1"/>
  <c r="H217" i="5"/>
  <c r="H218" i="5" a="1"/>
  <c r="H218" i="5" s="1"/>
  <c r="H219" i="5" a="1"/>
  <c r="H219" i="5" s="1"/>
  <c r="H220" i="5" a="1"/>
  <c r="H220" i="5" s="1"/>
  <c r="H221" i="5" a="1"/>
  <c r="H221" i="5" s="1"/>
  <c r="H222" i="5" a="1"/>
  <c r="H222" i="5" s="1"/>
  <c r="H223" i="5" a="1"/>
  <c r="H223" i="5" s="1"/>
  <c r="H224" i="5" a="1"/>
  <c r="H224" i="5" s="1"/>
  <c r="H225" i="5" a="1"/>
  <c r="H225" i="5" s="1"/>
  <c r="H226" i="5" a="1"/>
  <c r="H226" i="5" s="1"/>
  <c r="H227" i="5" a="1"/>
  <c r="H227" i="5" s="1"/>
  <c r="H228" i="5" a="1"/>
  <c r="H228" i="5" s="1"/>
  <c r="H229" i="5" a="1"/>
  <c r="H229" i="5" s="1"/>
  <c r="H230" i="5" a="1"/>
  <c r="H230" i="5" s="1"/>
  <c r="H231" i="5" a="1"/>
  <c r="H231" i="5" s="1"/>
  <c r="H232" i="5" a="1"/>
  <c r="H232" i="5" s="1"/>
  <c r="H233" i="5" a="1"/>
  <c r="H233" i="5" s="1"/>
  <c r="H234" i="5" a="1"/>
  <c r="H234" i="5" s="1"/>
  <c r="H235" i="5" a="1"/>
  <c r="H235" i="5" s="1"/>
  <c r="H236" i="5" a="1"/>
  <c r="H236" i="5" s="1"/>
  <c r="H237" i="5" a="1"/>
  <c r="H237" i="5" s="1"/>
  <c r="H238" i="5" a="1"/>
  <c r="H238" i="5" s="1"/>
  <c r="H239" i="5" a="1"/>
  <c r="H239" i="5" s="1"/>
  <c r="H240" i="5" a="1"/>
  <c r="H240" i="5" s="1"/>
  <c r="H241" i="5" a="1"/>
  <c r="H241" i="5"/>
  <c r="H242" i="5" a="1"/>
  <c r="H242" i="5" s="1"/>
  <c r="H243" i="5" a="1"/>
  <c r="H243" i="5" s="1"/>
  <c r="H244" i="5" a="1"/>
  <c r="H244" i="5" s="1"/>
  <c r="H245" i="5" a="1"/>
  <c r="H245" i="5" s="1"/>
  <c r="H246" i="5" a="1"/>
  <c r="H246" i="5" s="1"/>
  <c r="H247" i="5" a="1"/>
  <c r="H247" i="5"/>
  <c r="H248" i="5" a="1"/>
  <c r="H248" i="5" s="1"/>
  <c r="H249" i="5" a="1"/>
  <c r="H249" i="5" s="1"/>
  <c r="H250" i="5" a="1"/>
  <c r="H250" i="5" s="1"/>
  <c r="H251" i="5" a="1"/>
  <c r="H251" i="5" s="1"/>
  <c r="H252" i="5" a="1"/>
  <c r="H252" i="5" s="1"/>
  <c r="H253" i="5" a="1"/>
  <c r="H253" i="5"/>
  <c r="H254" i="5" a="1"/>
  <c r="H254" i="5" s="1"/>
  <c r="H255" i="5" a="1"/>
  <c r="H255" i="5" s="1"/>
  <c r="H256" i="5" a="1"/>
  <c r="H256" i="5" s="1"/>
  <c r="H257" i="5" a="1"/>
  <c r="H257" i="5" s="1"/>
  <c r="H258" i="5" a="1"/>
  <c r="H258" i="5" s="1"/>
  <c r="H259" i="5" a="1"/>
  <c r="H259" i="5" s="1"/>
  <c r="H260" i="5" a="1"/>
  <c r="H260" i="5" s="1"/>
  <c r="H261" i="5" a="1"/>
  <c r="H261" i="5" s="1"/>
  <c r="H262" i="5" a="1"/>
  <c r="H262" i="5" s="1"/>
  <c r="H263" i="5" a="1"/>
  <c r="H263" i="5" s="1"/>
  <c r="H264" i="5" a="1"/>
  <c r="H264" i="5" s="1"/>
  <c r="H265" i="5" a="1"/>
  <c r="H265" i="5" s="1"/>
  <c r="H266" i="5" a="1"/>
  <c r="H266" i="5" s="1"/>
  <c r="H267" i="5" a="1"/>
  <c r="H267" i="5" s="1"/>
  <c r="H268" i="5" a="1"/>
  <c r="H268" i="5" s="1"/>
  <c r="H269" i="5" a="1"/>
  <c r="H269" i="5" s="1"/>
  <c r="H270" i="5" a="1"/>
  <c r="H270" i="5" s="1"/>
  <c r="H271" i="5" a="1"/>
  <c r="H271" i="5" s="1"/>
  <c r="H272" i="5" a="1"/>
  <c r="H272" i="5" s="1"/>
  <c r="H273" i="5" a="1"/>
  <c r="H273" i="5" s="1"/>
  <c r="H274" i="5" a="1"/>
  <c r="H274" i="5" s="1"/>
  <c r="H275" i="5" a="1"/>
  <c r="H275" i="5" s="1"/>
  <c r="H276" i="5" a="1"/>
  <c r="H276" i="5" s="1"/>
  <c r="H277" i="5" a="1"/>
  <c r="H277" i="5" s="1"/>
  <c r="H278" i="5" a="1"/>
  <c r="H278" i="5" s="1"/>
  <c r="H279" i="5" a="1"/>
  <c r="H279" i="5" s="1"/>
  <c r="H280" i="5" a="1"/>
  <c r="H280" i="5" s="1"/>
  <c r="H281" i="5" a="1"/>
  <c r="H281" i="5" s="1"/>
  <c r="H282" i="5" a="1"/>
  <c r="H282" i="5" s="1"/>
  <c r="H283" i="5" a="1"/>
  <c r="H283" i="5" s="1"/>
  <c r="H284" i="5" a="1"/>
  <c r="H284" i="5" s="1"/>
  <c r="H285" i="5" a="1"/>
  <c r="H285" i="5" s="1"/>
  <c r="H286" i="5" a="1"/>
  <c r="H286" i="5" s="1"/>
  <c r="H287" i="5" a="1"/>
  <c r="H287" i="5" s="1"/>
  <c r="H288" i="5" a="1"/>
  <c r="H288" i="5" s="1"/>
  <c r="H289" i="5" a="1"/>
  <c r="H289" i="5"/>
  <c r="H290" i="5" a="1"/>
  <c r="H290" i="5" s="1"/>
  <c r="H291" i="5" a="1"/>
  <c r="H291" i="5" s="1"/>
  <c r="H292" i="5" a="1"/>
  <c r="H292" i="5" s="1"/>
  <c r="H293" i="5" a="1"/>
  <c r="H293" i="5" s="1"/>
  <c r="H294" i="5" a="1"/>
  <c r="H294" i="5" s="1"/>
  <c r="H295" i="5" a="1"/>
  <c r="H295" i="5" s="1"/>
  <c r="H296" i="5" a="1"/>
  <c r="H296" i="5" s="1"/>
  <c r="H297" i="5" a="1"/>
  <c r="H297" i="5" s="1"/>
  <c r="H298" i="5" a="1"/>
  <c r="H298" i="5" s="1"/>
  <c r="H299" i="5" a="1"/>
  <c r="H299" i="5" s="1"/>
  <c r="H300" i="5" a="1"/>
  <c r="H300" i="5" s="1"/>
  <c r="H301" i="5" a="1"/>
  <c r="H301" i="5" s="1"/>
  <c r="H302" i="5" a="1"/>
  <c r="H302" i="5" s="1"/>
  <c r="H303" i="5" a="1"/>
  <c r="H303" i="5" s="1"/>
  <c r="H304" i="5" a="1"/>
  <c r="H304" i="5" s="1"/>
  <c r="H305" i="5" a="1"/>
  <c r="H305" i="5" s="1"/>
  <c r="H306" i="5" a="1"/>
  <c r="H306" i="5" s="1"/>
  <c r="H307" i="5" a="1"/>
  <c r="H307" i="5" s="1"/>
  <c r="H308" i="5" a="1"/>
  <c r="H308" i="5" s="1"/>
  <c r="H309" i="5" a="1"/>
  <c r="H309" i="5" s="1"/>
  <c r="H310" i="5" a="1"/>
  <c r="H310" i="5" s="1"/>
  <c r="H311" i="5" a="1"/>
  <c r="H311" i="5" s="1"/>
  <c r="H312" i="5" a="1"/>
  <c r="H312" i="5" s="1"/>
  <c r="H313" i="5" a="1"/>
  <c r="H313" i="5"/>
  <c r="H314" i="5" a="1"/>
  <c r="H314" i="5" s="1"/>
  <c r="H315" i="5" a="1"/>
  <c r="H315" i="5" s="1"/>
  <c r="H316" i="5" a="1"/>
  <c r="H316" i="5" s="1"/>
  <c r="H317" i="5" a="1"/>
  <c r="H317" i="5" s="1"/>
  <c r="H318" i="5" a="1"/>
  <c r="H318" i="5" s="1"/>
  <c r="H319" i="5" a="1"/>
  <c r="H319" i="5" s="1"/>
  <c r="H320" i="5" a="1"/>
  <c r="H320" i="5" s="1"/>
  <c r="H321" i="5" a="1"/>
  <c r="H321" i="5" s="1"/>
  <c r="H322" i="5" a="1"/>
  <c r="H322" i="5" s="1"/>
  <c r="H323" i="5" a="1"/>
  <c r="H323" i="5" s="1"/>
  <c r="H324" i="5" a="1"/>
  <c r="H324" i="5" s="1"/>
  <c r="H325" i="5" a="1"/>
  <c r="H325" i="5"/>
  <c r="H326" i="5" a="1"/>
  <c r="H326" i="5" s="1"/>
  <c r="H327" i="5" a="1"/>
  <c r="H327" i="5" s="1"/>
  <c r="H328" i="5" a="1"/>
  <c r="H328" i="5" s="1"/>
  <c r="H329" i="5" a="1"/>
  <c r="H329" i="5" s="1"/>
  <c r="H330" i="5" a="1"/>
  <c r="H330" i="5" s="1"/>
  <c r="H331" i="5" a="1"/>
  <c r="H331" i="5" s="1"/>
  <c r="H332" i="5" a="1"/>
  <c r="H332" i="5" s="1"/>
  <c r="H333" i="5" a="1"/>
  <c r="H333" i="5" s="1"/>
  <c r="H334" i="5" a="1"/>
  <c r="H334" i="5" s="1"/>
  <c r="H335" i="5" a="1"/>
  <c r="H335" i="5" s="1"/>
  <c r="H336" i="5" a="1"/>
  <c r="H336" i="5" s="1"/>
  <c r="H337" i="5" a="1"/>
  <c r="H337" i="5" s="1"/>
  <c r="H338" i="5" a="1"/>
  <c r="H338" i="5" s="1"/>
  <c r="H339" i="5" a="1"/>
  <c r="H339" i="5" s="1"/>
  <c r="H340" i="5" a="1"/>
  <c r="H340" i="5" s="1"/>
  <c r="H341" i="5" a="1"/>
  <c r="H341" i="5" s="1"/>
  <c r="H342" i="5" a="1"/>
  <c r="H342" i="5" s="1"/>
  <c r="H343" i="5" a="1"/>
  <c r="H343" i="5" s="1"/>
  <c r="H2" i="5" a="1"/>
  <c r="H2" i="5" s="1"/>
  <c r="G3" i="5" a="1"/>
  <c r="G3" i="5" s="1"/>
  <c r="G4" i="5" a="1"/>
  <c r="G4" i="5" s="1"/>
  <c r="G5" i="5" a="1"/>
  <c r="G5" i="5" s="1"/>
  <c r="G6" i="5" a="1"/>
  <c r="G6" i="5" s="1"/>
  <c r="G7" i="5" a="1"/>
  <c r="G7" i="5" s="1"/>
  <c r="G8" i="5" a="1"/>
  <c r="G8" i="5" s="1"/>
  <c r="G9" i="5" a="1"/>
  <c r="G9" i="5" s="1"/>
  <c r="G10" i="5" a="1"/>
  <c r="G10" i="5" s="1"/>
  <c r="G11" i="5" a="1"/>
  <c r="G11" i="5" s="1"/>
  <c r="G12" i="5" a="1"/>
  <c r="G12" i="5" s="1"/>
  <c r="G13" i="5" a="1"/>
  <c r="G13" i="5" s="1"/>
  <c r="G14" i="5" a="1"/>
  <c r="G14" i="5" s="1"/>
  <c r="G15" i="5" a="1"/>
  <c r="G15" i="5" s="1"/>
  <c r="G16" i="5" a="1"/>
  <c r="G16" i="5" s="1"/>
  <c r="G17" i="5" a="1"/>
  <c r="G17" i="5" s="1"/>
  <c r="G18" i="5" a="1"/>
  <c r="G18" i="5" s="1"/>
  <c r="G19" i="5" a="1"/>
  <c r="G19" i="5" s="1"/>
  <c r="G20" i="5" a="1"/>
  <c r="G20" i="5" s="1"/>
  <c r="G21" i="5" a="1"/>
  <c r="G21" i="5" s="1"/>
  <c r="G22" i="5" a="1"/>
  <c r="G22" i="5" s="1"/>
  <c r="G23" i="5" a="1"/>
  <c r="G23" i="5" s="1"/>
  <c r="G24" i="5" a="1"/>
  <c r="G24" i="5" s="1"/>
  <c r="G25" i="5" a="1"/>
  <c r="G25" i="5" s="1"/>
  <c r="G26" i="5" a="1"/>
  <c r="G26" i="5" s="1"/>
  <c r="G27" i="5" a="1"/>
  <c r="G27" i="5" s="1"/>
  <c r="G28" i="5" a="1"/>
  <c r="G28" i="5" s="1"/>
  <c r="G29" i="5" a="1"/>
  <c r="G29" i="5" s="1"/>
  <c r="G30" i="5" a="1"/>
  <c r="G30" i="5" s="1"/>
  <c r="G31" i="5" a="1"/>
  <c r="G31" i="5" s="1"/>
  <c r="G32" i="5" a="1"/>
  <c r="G32" i="5" s="1"/>
  <c r="G33" i="5" a="1"/>
  <c r="G33" i="5" s="1"/>
  <c r="G34" i="5" a="1"/>
  <c r="G34" i="5" s="1"/>
  <c r="G35" i="5" a="1"/>
  <c r="G35" i="5" s="1"/>
  <c r="G36" i="5" a="1"/>
  <c r="G36" i="5" s="1"/>
  <c r="G37" i="5" a="1"/>
  <c r="G37" i="5" s="1"/>
  <c r="G38" i="5" a="1"/>
  <c r="G38" i="5" s="1"/>
  <c r="G39" i="5" a="1"/>
  <c r="G39" i="5" s="1"/>
  <c r="G40" i="5" a="1"/>
  <c r="G40" i="5" s="1"/>
  <c r="G41" i="5" a="1"/>
  <c r="G41" i="5" s="1"/>
  <c r="G42" i="5" a="1"/>
  <c r="G42" i="5" s="1"/>
  <c r="G43" i="5" a="1"/>
  <c r="G43" i="5" s="1"/>
  <c r="G44" i="5" a="1"/>
  <c r="G44" i="5" s="1"/>
  <c r="G45" i="5" a="1"/>
  <c r="G45" i="5" s="1"/>
  <c r="G46" i="5" a="1"/>
  <c r="G46" i="5" s="1"/>
  <c r="G47" i="5" a="1"/>
  <c r="G47" i="5" s="1"/>
  <c r="G48" i="5" a="1"/>
  <c r="G48" i="5" s="1"/>
  <c r="G49" i="5" a="1"/>
  <c r="G49" i="5" s="1"/>
  <c r="G50" i="5" a="1"/>
  <c r="G50" i="5" s="1"/>
  <c r="G51" i="5" a="1"/>
  <c r="G51" i="5" s="1"/>
  <c r="G52" i="5" a="1"/>
  <c r="G52" i="5" s="1"/>
  <c r="G53" i="5" a="1"/>
  <c r="G53" i="5" s="1"/>
  <c r="G54" i="5" a="1"/>
  <c r="G54" i="5" s="1"/>
  <c r="G55" i="5" a="1"/>
  <c r="G55" i="5" s="1"/>
  <c r="G56" i="5" a="1"/>
  <c r="G56" i="5" s="1"/>
  <c r="G57" i="5" a="1"/>
  <c r="G57" i="5" s="1"/>
  <c r="G58" i="5" a="1"/>
  <c r="G58" i="5" s="1"/>
  <c r="G59" i="5" a="1"/>
  <c r="G59" i="5" s="1"/>
  <c r="G60" i="5" a="1"/>
  <c r="G60" i="5" s="1"/>
  <c r="G61" i="5" a="1"/>
  <c r="G61" i="5" s="1"/>
  <c r="G62" i="5" a="1"/>
  <c r="G62" i="5" s="1"/>
  <c r="G63" i="5" a="1"/>
  <c r="G63" i="5" s="1"/>
  <c r="G64" i="5" a="1"/>
  <c r="G64" i="5" s="1"/>
  <c r="G65" i="5" a="1"/>
  <c r="G65" i="5" s="1"/>
  <c r="G66" i="5" a="1"/>
  <c r="G66" i="5" s="1"/>
  <c r="G67" i="5" a="1"/>
  <c r="G67" i="5" s="1"/>
  <c r="G68" i="5" a="1"/>
  <c r="G68" i="5" s="1"/>
  <c r="G69" i="5" a="1"/>
  <c r="G69" i="5" s="1"/>
  <c r="G70" i="5" a="1"/>
  <c r="G70" i="5" s="1"/>
  <c r="G71" i="5" a="1"/>
  <c r="G71" i="5" s="1"/>
  <c r="G72" i="5" a="1"/>
  <c r="G72" i="5" s="1"/>
  <c r="G73" i="5" a="1"/>
  <c r="G73" i="5" s="1"/>
  <c r="G74" i="5" a="1"/>
  <c r="G74" i="5" s="1"/>
  <c r="G75" i="5" a="1"/>
  <c r="G75" i="5" s="1"/>
  <c r="G76" i="5" a="1"/>
  <c r="G76" i="5" s="1"/>
  <c r="G77" i="5" a="1"/>
  <c r="G77" i="5" s="1"/>
  <c r="G78" i="5" a="1"/>
  <c r="G78" i="5" s="1"/>
  <c r="G79" i="5" a="1"/>
  <c r="G79" i="5" s="1"/>
  <c r="G80" i="5" a="1"/>
  <c r="G80" i="5" s="1"/>
  <c r="G81" i="5" a="1"/>
  <c r="G81" i="5" s="1"/>
  <c r="G82" i="5" a="1"/>
  <c r="G82" i="5" s="1"/>
  <c r="G83" i="5" a="1"/>
  <c r="G83" i="5" s="1"/>
  <c r="G84" i="5" a="1"/>
  <c r="G84" i="5" s="1"/>
  <c r="G85" i="5" a="1"/>
  <c r="G85" i="5" s="1"/>
  <c r="G86" i="5" a="1"/>
  <c r="G86" i="5" s="1"/>
  <c r="G87" i="5" a="1"/>
  <c r="G87" i="5" s="1"/>
  <c r="G88" i="5" a="1"/>
  <c r="G88" i="5" s="1"/>
  <c r="G89" i="5" a="1"/>
  <c r="G89" i="5" s="1"/>
  <c r="G90" i="5" a="1"/>
  <c r="G90" i="5" s="1"/>
  <c r="G91" i="5" a="1"/>
  <c r="G91" i="5" s="1"/>
  <c r="G92" i="5" a="1"/>
  <c r="G92" i="5" s="1"/>
  <c r="G93" i="5" a="1"/>
  <c r="G93" i="5" s="1"/>
  <c r="G94" i="5" a="1"/>
  <c r="G94" i="5" s="1"/>
  <c r="G95" i="5" a="1"/>
  <c r="G95" i="5" s="1"/>
  <c r="G96" i="5" a="1"/>
  <c r="G96" i="5" s="1"/>
  <c r="G97" i="5" a="1"/>
  <c r="G97" i="5" s="1"/>
  <c r="G98" i="5" a="1"/>
  <c r="G98" i="5" s="1"/>
  <c r="G99" i="5" a="1"/>
  <c r="G99" i="5" s="1"/>
  <c r="G100" i="5" a="1"/>
  <c r="G100" i="5" s="1"/>
  <c r="G101" i="5" a="1"/>
  <c r="G101" i="5" s="1"/>
  <c r="G102" i="5" a="1"/>
  <c r="G102" i="5" s="1"/>
  <c r="G103" i="5" a="1"/>
  <c r="G103" i="5" s="1"/>
  <c r="G104" i="5" a="1"/>
  <c r="G104" i="5" s="1"/>
  <c r="G105" i="5" a="1"/>
  <c r="G105" i="5" s="1"/>
  <c r="G106" i="5" a="1"/>
  <c r="G106" i="5" s="1"/>
  <c r="G107" i="5" a="1"/>
  <c r="G107" i="5" s="1"/>
  <c r="G108" i="5" a="1"/>
  <c r="G108" i="5" s="1"/>
  <c r="G109" i="5" a="1"/>
  <c r="G109" i="5" s="1"/>
  <c r="G110" i="5" a="1"/>
  <c r="G110" i="5" s="1"/>
  <c r="G111" i="5" a="1"/>
  <c r="G111" i="5" s="1"/>
  <c r="G112" i="5" a="1"/>
  <c r="G112" i="5" s="1"/>
  <c r="G113" i="5" a="1"/>
  <c r="G113" i="5" s="1"/>
  <c r="G114" i="5" a="1"/>
  <c r="G114" i="5" s="1"/>
  <c r="G115" i="5" a="1"/>
  <c r="G115" i="5" s="1"/>
  <c r="G116" i="5" a="1"/>
  <c r="G116" i="5" s="1"/>
  <c r="G117" i="5" a="1"/>
  <c r="G117" i="5" s="1"/>
  <c r="G118" i="5" a="1"/>
  <c r="G118" i="5" s="1"/>
  <c r="G119" i="5" a="1"/>
  <c r="G119" i="5" s="1"/>
  <c r="G120" i="5" a="1"/>
  <c r="G120" i="5" s="1"/>
  <c r="G121" i="5" a="1"/>
  <c r="G121" i="5" s="1"/>
  <c r="G122" i="5" a="1"/>
  <c r="G122" i="5" s="1"/>
  <c r="G123" i="5" a="1"/>
  <c r="G123" i="5" s="1"/>
  <c r="G124" i="5" a="1"/>
  <c r="G124" i="5" s="1"/>
  <c r="G125" i="5" a="1"/>
  <c r="G125" i="5" s="1"/>
  <c r="G126" i="5" a="1"/>
  <c r="G126" i="5" s="1"/>
  <c r="G127" i="5" a="1"/>
  <c r="G127" i="5" s="1"/>
  <c r="G128" i="5" a="1"/>
  <c r="G128" i="5" s="1"/>
  <c r="G129" i="5" a="1"/>
  <c r="G129" i="5" s="1"/>
  <c r="G130" i="5" a="1"/>
  <c r="G130" i="5" s="1"/>
  <c r="G131" i="5" a="1"/>
  <c r="G131" i="5" s="1"/>
  <c r="G132" i="5" a="1"/>
  <c r="G132" i="5" s="1"/>
  <c r="G133" i="5" a="1"/>
  <c r="G133" i="5" s="1"/>
  <c r="G134" i="5" a="1"/>
  <c r="G134" i="5" s="1"/>
  <c r="G135" i="5" a="1"/>
  <c r="G135" i="5" s="1"/>
  <c r="G136" i="5" a="1"/>
  <c r="G136" i="5" s="1"/>
  <c r="G137" i="5" a="1"/>
  <c r="G137" i="5" s="1"/>
  <c r="G138" i="5" a="1"/>
  <c r="G138" i="5" s="1"/>
  <c r="G139" i="5" a="1"/>
  <c r="G139" i="5" s="1"/>
  <c r="G140" i="5" a="1"/>
  <c r="G140" i="5" s="1"/>
  <c r="G141" i="5" a="1"/>
  <c r="G141" i="5" s="1"/>
  <c r="G142" i="5" a="1"/>
  <c r="G142" i="5" s="1"/>
  <c r="G143" i="5" a="1"/>
  <c r="G143" i="5" s="1"/>
  <c r="G144" i="5" a="1"/>
  <c r="G144" i="5" s="1"/>
  <c r="G145" i="5" a="1"/>
  <c r="G145" i="5" s="1"/>
  <c r="G146" i="5" a="1"/>
  <c r="G146" i="5" s="1"/>
  <c r="G147" i="5" a="1"/>
  <c r="G147" i="5" s="1"/>
  <c r="G148" i="5" a="1"/>
  <c r="G148" i="5" s="1"/>
  <c r="G149" i="5" a="1"/>
  <c r="G149" i="5" s="1"/>
  <c r="G150" i="5" a="1"/>
  <c r="G150" i="5" s="1"/>
  <c r="G151" i="5" a="1"/>
  <c r="G151" i="5" s="1"/>
  <c r="G152" i="5" a="1"/>
  <c r="G152" i="5" s="1"/>
  <c r="G153" i="5" a="1"/>
  <c r="G153" i="5" s="1"/>
  <c r="G154" i="5" a="1"/>
  <c r="G154" i="5" s="1"/>
  <c r="G155" i="5" a="1"/>
  <c r="G155" i="5" s="1"/>
  <c r="G156" i="5" a="1"/>
  <c r="G156" i="5" s="1"/>
  <c r="G157" i="5" a="1"/>
  <c r="G157" i="5" s="1"/>
  <c r="G158" i="5" a="1"/>
  <c r="G158" i="5" s="1"/>
  <c r="G159" i="5" a="1"/>
  <c r="G159" i="5" s="1"/>
  <c r="G160" i="5" a="1"/>
  <c r="G160" i="5" s="1"/>
  <c r="G161" i="5" a="1"/>
  <c r="G161" i="5" s="1"/>
  <c r="G162" i="5" a="1"/>
  <c r="G162" i="5" s="1"/>
  <c r="G163" i="5" a="1"/>
  <c r="G163" i="5" s="1"/>
  <c r="G164" i="5" a="1"/>
  <c r="G164" i="5" s="1"/>
  <c r="G165" i="5" a="1"/>
  <c r="G165" i="5" s="1"/>
  <c r="G166" i="5" a="1"/>
  <c r="G166" i="5" s="1"/>
  <c r="G167" i="5" a="1"/>
  <c r="G167" i="5" s="1"/>
  <c r="G168" i="5" a="1"/>
  <c r="G168" i="5" s="1"/>
  <c r="G169" i="5" a="1"/>
  <c r="G169" i="5" s="1"/>
  <c r="G170" i="5" a="1"/>
  <c r="G170" i="5" s="1"/>
  <c r="G171" i="5" a="1"/>
  <c r="G171" i="5" s="1"/>
  <c r="G172" i="5" a="1"/>
  <c r="G172" i="5" s="1"/>
  <c r="G173" i="5" a="1"/>
  <c r="G173" i="5" s="1"/>
  <c r="G174" i="5" a="1"/>
  <c r="G174" i="5" s="1"/>
  <c r="G175" i="5" a="1"/>
  <c r="G175" i="5" s="1"/>
  <c r="G176" i="5" a="1"/>
  <c r="G176" i="5" s="1"/>
  <c r="G177" i="5" a="1"/>
  <c r="G177" i="5" s="1"/>
  <c r="G178" i="5" a="1"/>
  <c r="G178" i="5" s="1"/>
  <c r="G179" i="5" a="1"/>
  <c r="G179" i="5" s="1"/>
  <c r="G180" i="5" a="1"/>
  <c r="G180" i="5" s="1"/>
  <c r="G181" i="5" a="1"/>
  <c r="G181" i="5" s="1"/>
  <c r="G182" i="5" a="1"/>
  <c r="G182" i="5" s="1"/>
  <c r="G183" i="5" a="1"/>
  <c r="G183" i="5" s="1"/>
  <c r="G184" i="5" a="1"/>
  <c r="G184" i="5" s="1"/>
  <c r="G185" i="5" a="1"/>
  <c r="G185" i="5" s="1"/>
  <c r="G186" i="5" a="1"/>
  <c r="G186" i="5" s="1"/>
  <c r="G187" i="5" a="1"/>
  <c r="G187" i="5" s="1"/>
  <c r="G188" i="5" a="1"/>
  <c r="G188" i="5" s="1"/>
  <c r="G189" i="5" a="1"/>
  <c r="G189" i="5" s="1"/>
  <c r="G190" i="5" a="1"/>
  <c r="G190" i="5" s="1"/>
  <c r="G191" i="5" a="1"/>
  <c r="G191" i="5" s="1"/>
  <c r="G192" i="5" a="1"/>
  <c r="G192" i="5" s="1"/>
  <c r="G193" i="5" a="1"/>
  <c r="G193" i="5" s="1"/>
  <c r="G194" i="5" a="1"/>
  <c r="G194" i="5" s="1"/>
  <c r="G195" i="5" a="1"/>
  <c r="G195" i="5" s="1"/>
  <c r="G196" i="5" a="1"/>
  <c r="G196" i="5" s="1"/>
  <c r="G197" i="5" a="1"/>
  <c r="G197" i="5" s="1"/>
  <c r="G198" i="5" a="1"/>
  <c r="G198" i="5" s="1"/>
  <c r="G199" i="5" a="1"/>
  <c r="G199" i="5" s="1"/>
  <c r="G200" i="5" a="1"/>
  <c r="G200" i="5" s="1"/>
  <c r="G201" i="5" a="1"/>
  <c r="G201" i="5" s="1"/>
  <c r="G202" i="5" a="1"/>
  <c r="G202" i="5" s="1"/>
  <c r="G203" i="5" a="1"/>
  <c r="G203" i="5" s="1"/>
  <c r="G204" i="5" a="1"/>
  <c r="G204" i="5" s="1"/>
  <c r="G205" i="5" a="1"/>
  <c r="G205" i="5" s="1"/>
  <c r="G206" i="5" a="1"/>
  <c r="G206" i="5" s="1"/>
  <c r="G207" i="5" a="1"/>
  <c r="G207" i="5" s="1"/>
  <c r="G208" i="5" a="1"/>
  <c r="G208" i="5" s="1"/>
  <c r="G209" i="5" a="1"/>
  <c r="G209" i="5" s="1"/>
  <c r="G210" i="5" a="1"/>
  <c r="G210" i="5" s="1"/>
  <c r="G211" i="5" a="1"/>
  <c r="G211" i="5" s="1"/>
  <c r="G212" i="5" a="1"/>
  <c r="G212" i="5" s="1"/>
  <c r="G213" i="5" a="1"/>
  <c r="G213" i="5" s="1"/>
  <c r="G214" i="5" a="1"/>
  <c r="G214" i="5" s="1"/>
  <c r="G215" i="5" a="1"/>
  <c r="G215" i="5" s="1"/>
  <c r="G216" i="5" a="1"/>
  <c r="G216" i="5" s="1"/>
  <c r="G217" i="5" a="1"/>
  <c r="G217" i="5" s="1"/>
  <c r="G218" i="5" a="1"/>
  <c r="G218" i="5" s="1"/>
  <c r="G219" i="5" a="1"/>
  <c r="G219" i="5" s="1"/>
  <c r="G220" i="5" a="1"/>
  <c r="G220" i="5" s="1"/>
  <c r="G221" i="5" a="1"/>
  <c r="G221" i="5" s="1"/>
  <c r="G222" i="5" a="1"/>
  <c r="G222" i="5" s="1"/>
  <c r="G223" i="5" a="1"/>
  <c r="G223" i="5" s="1"/>
  <c r="G224" i="5" a="1"/>
  <c r="G224" i="5" s="1"/>
  <c r="G225" i="5" a="1"/>
  <c r="G225" i="5" s="1"/>
  <c r="G226" i="5" a="1"/>
  <c r="G226" i="5" s="1"/>
  <c r="G227" i="5" a="1"/>
  <c r="G227" i="5" s="1"/>
  <c r="G228" i="5" a="1"/>
  <c r="G228" i="5" s="1"/>
  <c r="G229" i="5" a="1"/>
  <c r="G229" i="5" s="1"/>
  <c r="G230" i="5" a="1"/>
  <c r="G230" i="5" s="1"/>
  <c r="G231" i="5" a="1"/>
  <c r="G231" i="5" s="1"/>
  <c r="G232" i="5" a="1"/>
  <c r="G232" i="5" s="1"/>
  <c r="G233" i="5" a="1"/>
  <c r="G233" i="5" s="1"/>
  <c r="G234" i="5" a="1"/>
  <c r="G234" i="5" s="1"/>
  <c r="G235" i="5" a="1"/>
  <c r="G235" i="5" s="1"/>
  <c r="G236" i="5" a="1"/>
  <c r="G236" i="5" s="1"/>
  <c r="G237" i="5" a="1"/>
  <c r="G237" i="5" s="1"/>
  <c r="G238" i="5" a="1"/>
  <c r="G238" i="5" s="1"/>
  <c r="G239" i="5" a="1"/>
  <c r="G239" i="5" s="1"/>
  <c r="G240" i="5" a="1"/>
  <c r="G240" i="5" s="1"/>
  <c r="G241" i="5" a="1"/>
  <c r="G241" i="5" s="1"/>
  <c r="G242" i="5" a="1"/>
  <c r="G242" i="5" s="1"/>
  <c r="G243" i="5" a="1"/>
  <c r="G243" i="5" s="1"/>
  <c r="G244" i="5" a="1"/>
  <c r="G244" i="5" s="1"/>
  <c r="G245" i="5" a="1"/>
  <c r="G245" i="5" s="1"/>
  <c r="G246" i="5" a="1"/>
  <c r="G246" i="5" s="1"/>
  <c r="G247" i="5" a="1"/>
  <c r="G247" i="5" s="1"/>
  <c r="G248" i="5" a="1"/>
  <c r="G248" i="5" s="1"/>
  <c r="G249" i="5" a="1"/>
  <c r="G249" i="5" s="1"/>
  <c r="G250" i="5" a="1"/>
  <c r="G250" i="5" s="1"/>
  <c r="G251" i="5" a="1"/>
  <c r="G251" i="5" s="1"/>
  <c r="G252" i="5" a="1"/>
  <c r="G252" i="5" s="1"/>
  <c r="G253" i="5" a="1"/>
  <c r="G253" i="5" s="1"/>
  <c r="G254" i="5" a="1"/>
  <c r="G254" i="5" s="1"/>
  <c r="G255" i="5" a="1"/>
  <c r="G255" i="5" s="1"/>
  <c r="G256" i="5" a="1"/>
  <c r="G256" i="5" s="1"/>
  <c r="G257" i="5" a="1"/>
  <c r="G257" i="5" s="1"/>
  <c r="G258" i="5" a="1"/>
  <c r="G258" i="5" s="1"/>
  <c r="G259" i="5" a="1"/>
  <c r="G259" i="5" s="1"/>
  <c r="G260" i="5" a="1"/>
  <c r="G260" i="5" s="1"/>
  <c r="G261" i="5" a="1"/>
  <c r="G261" i="5" s="1"/>
  <c r="G262" i="5" a="1"/>
  <c r="G262" i="5" s="1"/>
  <c r="G263" i="5" a="1"/>
  <c r="G263" i="5" s="1"/>
  <c r="G264" i="5" a="1"/>
  <c r="G264" i="5" s="1"/>
  <c r="G265" i="5" a="1"/>
  <c r="G265" i="5" s="1"/>
  <c r="G266" i="5" a="1"/>
  <c r="G266" i="5" s="1"/>
  <c r="G267" i="5" a="1"/>
  <c r="G267" i="5" s="1"/>
  <c r="G268" i="5" a="1"/>
  <c r="G268" i="5" s="1"/>
  <c r="G269" i="5" a="1"/>
  <c r="G269" i="5" s="1"/>
  <c r="G270" i="5" a="1"/>
  <c r="G270" i="5" s="1"/>
  <c r="G271" i="5" a="1"/>
  <c r="G271" i="5" s="1"/>
  <c r="G272" i="5" a="1"/>
  <c r="G272" i="5" s="1"/>
  <c r="G273" i="5" a="1"/>
  <c r="G273" i="5" s="1"/>
  <c r="G274" i="5" a="1"/>
  <c r="G274" i="5" s="1"/>
  <c r="G275" i="5" a="1"/>
  <c r="G275" i="5" s="1"/>
  <c r="G276" i="5" a="1"/>
  <c r="G276" i="5" s="1"/>
  <c r="G277" i="5" a="1"/>
  <c r="G277" i="5" s="1"/>
  <c r="G278" i="5" a="1"/>
  <c r="G278" i="5" s="1"/>
  <c r="G279" i="5" a="1"/>
  <c r="G279" i="5" s="1"/>
  <c r="G280" i="5" a="1"/>
  <c r="G280" i="5" s="1"/>
  <c r="G281" i="5" a="1"/>
  <c r="G281" i="5" s="1"/>
  <c r="G282" i="5" a="1"/>
  <c r="G282" i="5" s="1"/>
  <c r="G283" i="5" a="1"/>
  <c r="G283" i="5" s="1"/>
  <c r="G284" i="5" a="1"/>
  <c r="G284" i="5" s="1"/>
  <c r="G285" i="5" a="1"/>
  <c r="G285" i="5" s="1"/>
  <c r="G286" i="5" a="1"/>
  <c r="G286" i="5" s="1"/>
  <c r="G287" i="5" a="1"/>
  <c r="G287" i="5" s="1"/>
  <c r="G288" i="5" a="1"/>
  <c r="G288" i="5" s="1"/>
  <c r="G289" i="5" a="1"/>
  <c r="G289" i="5" s="1"/>
  <c r="G290" i="5" a="1"/>
  <c r="G290" i="5" s="1"/>
  <c r="G291" i="5" a="1"/>
  <c r="G291" i="5" s="1"/>
  <c r="G292" i="5" a="1"/>
  <c r="G292" i="5" s="1"/>
  <c r="G293" i="5" a="1"/>
  <c r="G293" i="5" s="1"/>
  <c r="G294" i="5" a="1"/>
  <c r="G294" i="5" s="1"/>
  <c r="G295" i="5" a="1"/>
  <c r="G295" i="5" s="1"/>
  <c r="G296" i="5" a="1"/>
  <c r="G296" i="5" s="1"/>
  <c r="G297" i="5" a="1"/>
  <c r="G297" i="5" s="1"/>
  <c r="G298" i="5" a="1"/>
  <c r="G298" i="5" s="1"/>
  <c r="G299" i="5" a="1"/>
  <c r="G299" i="5" s="1"/>
  <c r="G300" i="5" a="1"/>
  <c r="G300" i="5" s="1"/>
  <c r="G301" i="5" a="1"/>
  <c r="G301" i="5" s="1"/>
  <c r="G302" i="5" a="1"/>
  <c r="G302" i="5" s="1"/>
  <c r="G303" i="5" a="1"/>
  <c r="G303" i="5" s="1"/>
  <c r="G304" i="5" a="1"/>
  <c r="G304" i="5" s="1"/>
  <c r="G305" i="5" a="1"/>
  <c r="G305" i="5" s="1"/>
  <c r="G306" i="5" a="1"/>
  <c r="G306" i="5" s="1"/>
  <c r="G307" i="5" a="1"/>
  <c r="G307" i="5" s="1"/>
  <c r="G308" i="5" a="1"/>
  <c r="G308" i="5" s="1"/>
  <c r="G309" i="5" a="1"/>
  <c r="G309" i="5" s="1"/>
  <c r="G310" i="5" a="1"/>
  <c r="G310" i="5" s="1"/>
  <c r="G311" i="5" a="1"/>
  <c r="G311" i="5" s="1"/>
  <c r="G312" i="5" a="1"/>
  <c r="G312" i="5" s="1"/>
  <c r="G313" i="5" a="1"/>
  <c r="G313" i="5" s="1"/>
  <c r="G314" i="5" a="1"/>
  <c r="G314" i="5" s="1"/>
  <c r="G315" i="5" a="1"/>
  <c r="G315" i="5" s="1"/>
  <c r="G316" i="5" a="1"/>
  <c r="G316" i="5" s="1"/>
  <c r="G317" i="5" a="1"/>
  <c r="G317" i="5" s="1"/>
  <c r="G318" i="5" a="1"/>
  <c r="G318" i="5" s="1"/>
  <c r="G319" i="5" a="1"/>
  <c r="G319" i="5" s="1"/>
  <c r="G320" i="5" a="1"/>
  <c r="G320" i="5" s="1"/>
  <c r="G321" i="5" a="1"/>
  <c r="G321" i="5" s="1"/>
  <c r="G322" i="5" a="1"/>
  <c r="G322" i="5" s="1"/>
  <c r="G323" i="5" a="1"/>
  <c r="G323" i="5" s="1"/>
  <c r="G324" i="5" a="1"/>
  <c r="G324" i="5" s="1"/>
  <c r="G325" i="5" a="1"/>
  <c r="G325" i="5" s="1"/>
  <c r="G326" i="5" a="1"/>
  <c r="G326" i="5" s="1"/>
  <c r="G327" i="5" a="1"/>
  <c r="G327" i="5" s="1"/>
  <c r="G328" i="5" a="1"/>
  <c r="G328" i="5" s="1"/>
  <c r="G329" i="5" a="1"/>
  <c r="G329" i="5" s="1"/>
  <c r="G330" i="5" a="1"/>
  <c r="G330" i="5" s="1"/>
  <c r="G331" i="5" a="1"/>
  <c r="G331" i="5" s="1"/>
  <c r="G332" i="5" a="1"/>
  <c r="G332" i="5" s="1"/>
  <c r="G333" i="5" a="1"/>
  <c r="G333" i="5" s="1"/>
  <c r="G334" i="5" a="1"/>
  <c r="G334" i="5" s="1"/>
  <c r="G335" i="5" a="1"/>
  <c r="G335" i="5" s="1"/>
  <c r="G336" i="5" a="1"/>
  <c r="G336" i="5" s="1"/>
  <c r="G337" i="5" a="1"/>
  <c r="G337" i="5" s="1"/>
  <c r="G338" i="5" a="1"/>
  <c r="G338" i="5" s="1"/>
  <c r="G339" i="5" a="1"/>
  <c r="G339" i="5" s="1"/>
  <c r="G340" i="5" a="1"/>
  <c r="G340" i="5" s="1"/>
  <c r="G341" i="5" a="1"/>
  <c r="G341" i="5" s="1"/>
  <c r="G342" i="5" a="1"/>
  <c r="G342" i="5" s="1"/>
  <c r="G343" i="5" a="1"/>
  <c r="G343" i="5" s="1"/>
  <c r="G2" i="5" a="1"/>
  <c r="G2" i="5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R357" i="3" a="1"/>
  <c r="R357" i="3" s="1"/>
  <c r="S357" i="3" a="1"/>
  <c r="S357" i="3" s="1"/>
  <c r="T357" i="3" a="1"/>
  <c r="T357" i="3" s="1"/>
  <c r="U357" i="3" a="1"/>
  <c r="U357" i="3" s="1"/>
  <c r="V357" i="3" a="1"/>
  <c r="V357" i="3" s="1"/>
  <c r="X357" i="3" a="1"/>
  <c r="X357" i="3" s="1"/>
  <c r="Z339" i="1" s="1" a="1"/>
  <c r="Z339" i="1" s="1"/>
  <c r="AA339" i="1" s="1"/>
  <c r="Y357" i="3" a="1"/>
  <c r="Y357" i="3" s="1"/>
  <c r="AB339" i="1" s="1" a="1"/>
  <c r="AB339" i="1" s="1"/>
  <c r="Z357" i="3" a="1"/>
  <c r="Z357" i="3" s="1"/>
  <c r="AA357" i="3" a="1"/>
  <c r="AA357" i="3" s="1"/>
  <c r="AB357" i="3" a="1"/>
  <c r="AB357" i="3" s="1"/>
  <c r="AC357" i="3" a="1"/>
  <c r="AC357" i="3" s="1"/>
  <c r="AD357" i="3" a="1"/>
  <c r="AD357" i="3" s="1"/>
  <c r="R358" i="3" a="1"/>
  <c r="R358" i="3" s="1"/>
  <c r="S358" i="3" a="1"/>
  <c r="S358" i="3" s="1"/>
  <c r="T358" i="3" a="1"/>
  <c r="T358" i="3" s="1"/>
  <c r="U358" i="3" a="1"/>
  <c r="U358" i="3" s="1"/>
  <c r="V358" i="3" a="1"/>
  <c r="V358" i="3" s="1"/>
  <c r="X358" i="3" a="1"/>
  <c r="X358" i="3" s="1"/>
  <c r="Z340" i="1" s="1" a="1"/>
  <c r="Z340" i="1" s="1"/>
  <c r="AA340" i="1" s="1"/>
  <c r="Y358" i="3" a="1"/>
  <c r="Y358" i="3" s="1"/>
  <c r="AB340" i="1" s="1" a="1"/>
  <c r="AB340" i="1" s="1"/>
  <c r="Z358" i="3" a="1"/>
  <c r="Z358" i="3" s="1"/>
  <c r="AA358" i="3" a="1"/>
  <c r="AA358" i="3" s="1"/>
  <c r="AB358" i="3" a="1"/>
  <c r="AB358" i="3" s="1"/>
  <c r="AC358" i="3" a="1"/>
  <c r="AC358" i="3" s="1"/>
  <c r="AD358" i="3" a="1"/>
  <c r="AD358" i="3" s="1"/>
  <c r="R359" i="3" a="1"/>
  <c r="R359" i="3" s="1"/>
  <c r="S359" i="3" a="1"/>
  <c r="S359" i="3" s="1"/>
  <c r="T359" i="3" a="1"/>
  <c r="T359" i="3" s="1"/>
  <c r="U359" i="3" a="1"/>
  <c r="U359" i="3" s="1"/>
  <c r="V359" i="3" a="1"/>
  <c r="V359" i="3" s="1"/>
  <c r="X359" i="3" a="1"/>
  <c r="X359" i="3" s="1"/>
  <c r="Z341" i="1" s="1" a="1"/>
  <c r="Z341" i="1" s="1"/>
  <c r="AA341" i="1" s="1"/>
  <c r="Y359" i="3" a="1"/>
  <c r="Y359" i="3" s="1"/>
  <c r="Z359" i="3" a="1"/>
  <c r="Z359" i="3" s="1"/>
  <c r="AA359" i="3" a="1"/>
  <c r="AA359" i="3" s="1"/>
  <c r="AB359" i="3" a="1"/>
  <c r="AB359" i="3" s="1"/>
  <c r="AC359" i="3" a="1"/>
  <c r="AC359" i="3" s="1"/>
  <c r="AD359" i="3" a="1"/>
  <c r="AD359" i="3" s="1"/>
  <c r="R360" i="3" a="1"/>
  <c r="R360" i="3" s="1"/>
  <c r="S360" i="3" a="1"/>
  <c r="S360" i="3" s="1"/>
  <c r="T360" i="3" a="1"/>
  <c r="T360" i="3" s="1"/>
  <c r="U360" i="3" a="1"/>
  <c r="U360" i="3" s="1"/>
  <c r="V360" i="3" a="1"/>
  <c r="V360" i="3" s="1"/>
  <c r="X360" i="3" a="1"/>
  <c r="X360" i="3" s="1"/>
  <c r="Y360" i="3" a="1"/>
  <c r="Y360" i="3" s="1"/>
  <c r="Z360" i="3" a="1"/>
  <c r="Z360" i="3" s="1"/>
  <c r="AA360" i="3" a="1"/>
  <c r="AA360" i="3" s="1"/>
  <c r="AB360" i="3" a="1"/>
  <c r="AB360" i="3" s="1"/>
  <c r="AC360" i="3" a="1"/>
  <c r="AC360" i="3" s="1"/>
  <c r="AD360" i="3" a="1"/>
  <c r="AD360" i="3" s="1"/>
  <c r="R361" i="3" a="1"/>
  <c r="R361" i="3" s="1"/>
  <c r="S361" i="3" a="1"/>
  <c r="S361" i="3" s="1"/>
  <c r="T361" i="3" a="1"/>
  <c r="T361" i="3" s="1"/>
  <c r="U361" i="3" a="1"/>
  <c r="U361" i="3" s="1"/>
  <c r="V361" i="3" a="1"/>
  <c r="V361" i="3" s="1"/>
  <c r="X361" i="3" a="1"/>
  <c r="X361" i="3" s="1"/>
  <c r="Y361" i="3" a="1"/>
  <c r="Y361" i="3" s="1"/>
  <c r="Z361" i="3" a="1"/>
  <c r="Z361" i="3" s="1"/>
  <c r="AA361" i="3" a="1"/>
  <c r="AA361" i="3" s="1"/>
  <c r="AB361" i="3" a="1"/>
  <c r="AB361" i="3" s="1"/>
  <c r="AC361" i="3" a="1"/>
  <c r="AC361" i="3" s="1"/>
  <c r="AD361" i="3" a="1"/>
  <c r="AD361" i="3" s="1"/>
  <c r="P361" i="3" a="1"/>
  <c r="P361" i="3" s="1"/>
  <c r="O361" i="3" a="1"/>
  <c r="O361" i="3" s="1"/>
  <c r="M361" i="3" a="1"/>
  <c r="M361" i="3" s="1"/>
  <c r="L361" i="3" a="1"/>
  <c r="L361" i="3" s="1"/>
  <c r="K361" i="3" a="1"/>
  <c r="K361" i="3" s="1"/>
  <c r="J361" i="3" a="1"/>
  <c r="J361" i="3" s="1"/>
  <c r="I361" i="3" a="1"/>
  <c r="I361" i="3" s="1"/>
  <c r="H361" i="3" a="1"/>
  <c r="H361" i="3" s="1"/>
  <c r="G361" i="3" a="1"/>
  <c r="G361" i="3" s="1"/>
  <c r="P360" i="3" a="1"/>
  <c r="P360" i="3" s="1"/>
  <c r="O360" i="3" a="1"/>
  <c r="O360" i="3" s="1"/>
  <c r="M360" i="3" a="1"/>
  <c r="M360" i="3" s="1"/>
  <c r="L360" i="3" a="1"/>
  <c r="L360" i="3" s="1"/>
  <c r="K360" i="3" a="1"/>
  <c r="K360" i="3" s="1"/>
  <c r="J360" i="3" a="1"/>
  <c r="J360" i="3" s="1"/>
  <c r="I360" i="3" a="1"/>
  <c r="I360" i="3" s="1"/>
  <c r="H360" i="3" a="1"/>
  <c r="H360" i="3" s="1"/>
  <c r="G360" i="3" a="1"/>
  <c r="G360" i="3" s="1"/>
  <c r="P359" i="3" a="1"/>
  <c r="P359" i="3" s="1"/>
  <c r="O359" i="3" a="1"/>
  <c r="O359" i="3" s="1"/>
  <c r="M359" i="3" a="1"/>
  <c r="M359" i="3" s="1"/>
  <c r="L359" i="3" a="1"/>
  <c r="L359" i="3" s="1"/>
  <c r="K359" i="3" a="1"/>
  <c r="K359" i="3" s="1"/>
  <c r="J359" i="3" a="1"/>
  <c r="J359" i="3" s="1"/>
  <c r="I359" i="3" a="1"/>
  <c r="I359" i="3" s="1"/>
  <c r="H359" i="3" a="1"/>
  <c r="H359" i="3" s="1"/>
  <c r="G359" i="3" a="1"/>
  <c r="G359" i="3" s="1"/>
  <c r="P358" i="3" a="1"/>
  <c r="P358" i="3" s="1"/>
  <c r="O358" i="3" a="1"/>
  <c r="O358" i="3" s="1"/>
  <c r="M358" i="3" a="1"/>
  <c r="M358" i="3" s="1"/>
  <c r="L358" i="3" a="1"/>
  <c r="L358" i="3" s="1"/>
  <c r="K358" i="3" a="1"/>
  <c r="K358" i="3" s="1"/>
  <c r="J358" i="3" a="1"/>
  <c r="J358" i="3" s="1"/>
  <c r="I358" i="3" a="1"/>
  <c r="I358" i="3" s="1"/>
  <c r="H358" i="3" a="1"/>
  <c r="H358" i="3" s="1"/>
  <c r="G358" i="3" a="1"/>
  <c r="G358" i="3" s="1"/>
  <c r="P357" i="3" a="1"/>
  <c r="P357" i="3" s="1"/>
  <c r="O357" i="3" a="1"/>
  <c r="O357" i="3" s="1"/>
  <c r="M357" i="3" a="1"/>
  <c r="M357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H358" i="2" a="1"/>
  <c r="H358" i="2" s="1"/>
  <c r="AF340" i="1" s="1" a="1"/>
  <c r="AF340" i="1" s="1"/>
  <c r="I358" i="2" a="1"/>
  <c r="I358" i="2" s="1"/>
  <c r="J358" i="2" a="1"/>
  <c r="J358" i="2" s="1"/>
  <c r="K358" i="2" a="1"/>
  <c r="K358" i="2" s="1"/>
  <c r="L358" i="2" a="1"/>
  <c r="L358" i="2" s="1"/>
  <c r="M358" i="2" a="1"/>
  <c r="M358" i="2" s="1"/>
  <c r="O358" i="2" a="1"/>
  <c r="O358" i="2" s="1"/>
  <c r="P358" i="2" a="1"/>
  <c r="P358" i="2" s="1"/>
  <c r="H359" i="2" a="1"/>
  <c r="H359" i="2" s="1"/>
  <c r="I359" i="2" a="1"/>
  <c r="I359" i="2" s="1"/>
  <c r="J359" i="2" a="1"/>
  <c r="J359" i="2" s="1"/>
  <c r="K359" i="2" a="1"/>
  <c r="K359" i="2" s="1"/>
  <c r="L359" i="2" a="1"/>
  <c r="L359" i="2" s="1"/>
  <c r="M359" i="2" a="1"/>
  <c r="M359" i="2" s="1"/>
  <c r="O359" i="2" a="1"/>
  <c r="O359" i="2" s="1"/>
  <c r="P359" i="2" a="1"/>
  <c r="P359" i="2" s="1"/>
  <c r="H360" i="2" a="1"/>
  <c r="H360" i="2" s="1"/>
  <c r="I360" i="2" a="1"/>
  <c r="I360" i="2" s="1"/>
  <c r="J360" i="2" a="1"/>
  <c r="J360" i="2" s="1"/>
  <c r="K360" i="2" a="1"/>
  <c r="K360" i="2" s="1"/>
  <c r="L360" i="2" a="1"/>
  <c r="L360" i="2" s="1"/>
  <c r="M360" i="2" a="1"/>
  <c r="M360" i="2" s="1"/>
  <c r="O360" i="2" a="1"/>
  <c r="O360" i="2" s="1"/>
  <c r="P360" i="2" a="1"/>
  <c r="P360" i="2" s="1"/>
  <c r="H361" i="2" a="1"/>
  <c r="H361" i="2" s="1"/>
  <c r="I361" i="2" a="1"/>
  <c r="I361" i="2" s="1"/>
  <c r="J361" i="2" a="1"/>
  <c r="J361" i="2" s="1"/>
  <c r="K361" i="2" a="1"/>
  <c r="K361" i="2" s="1"/>
  <c r="L361" i="2" a="1"/>
  <c r="L361" i="2" s="1"/>
  <c r="M361" i="2" a="1"/>
  <c r="M361" i="2" s="1"/>
  <c r="O361" i="2" a="1"/>
  <c r="O361" i="2" s="1"/>
  <c r="P361" i="2" a="1"/>
  <c r="P361" i="2" s="1"/>
  <c r="G361" i="2" a="1"/>
  <c r="G361" i="2" s="1"/>
  <c r="G360" i="2" a="1"/>
  <c r="G360" i="2" s="1"/>
  <c r="G359" i="2" a="1"/>
  <c r="G359" i="2" s="1"/>
  <c r="G358" i="2" a="1"/>
  <c r="G358" i="2" s="1"/>
  <c r="AD340" i="1" s="1" a="1"/>
  <c r="AD340" i="1" s="1"/>
  <c r="H357" i="2" a="1"/>
  <c r="H357" i="2" s="1"/>
  <c r="AF339" i="1" s="1" a="1"/>
  <c r="AF339" i="1" s="1"/>
  <c r="I357" i="2" a="1"/>
  <c r="I357" i="2" s="1"/>
  <c r="J357" i="2" a="1"/>
  <c r="J357" i="2" s="1"/>
  <c r="K357" i="2" a="1"/>
  <c r="K357" i="2" s="1"/>
  <c r="L357" i="2" a="1"/>
  <c r="L357" i="2" s="1"/>
  <c r="M357" i="2" a="1"/>
  <c r="M357" i="2" s="1"/>
  <c r="O357" i="2" a="1"/>
  <c r="O357" i="2" s="1"/>
  <c r="P357" i="2" a="1"/>
  <c r="P357" i="2" s="1"/>
  <c r="G357" i="2" a="1"/>
  <c r="G357" i="2" s="1"/>
  <c r="AD339" i="1" s="1" a="1"/>
  <c r="AD339" i="1" s="1"/>
  <c r="AD3" i="1" a="1"/>
  <c r="AD3" i="1" s="1"/>
  <c r="AD4" i="1" a="1"/>
  <c r="AD4" i="1" s="1"/>
  <c r="AD5" i="1" a="1"/>
  <c r="AD5" i="1" s="1"/>
  <c r="AD6" i="1" a="1"/>
  <c r="AD6" i="1" s="1"/>
  <c r="AD7" i="1" a="1"/>
  <c r="AD7" i="1" s="1"/>
  <c r="AD8" i="1" a="1"/>
  <c r="AD8" i="1" s="1"/>
  <c r="AD9" i="1" a="1"/>
  <c r="AD9" i="1" s="1"/>
  <c r="AD10" i="1" a="1"/>
  <c r="AD10" i="1" s="1"/>
  <c r="AD11" i="1" a="1"/>
  <c r="AD11" i="1" s="1"/>
  <c r="AD12" i="1" a="1"/>
  <c r="AD12" i="1" s="1"/>
  <c r="AD13" i="1" a="1"/>
  <c r="AD13" i="1" s="1"/>
  <c r="AD14" i="1" a="1"/>
  <c r="AD14" i="1" s="1"/>
  <c r="AD15" i="1" a="1"/>
  <c r="AD15" i="1" s="1"/>
  <c r="AD16" i="1" a="1"/>
  <c r="AD16" i="1" s="1"/>
  <c r="AD17" i="1" a="1"/>
  <c r="AD17" i="1" s="1"/>
  <c r="AD18" i="1" a="1"/>
  <c r="AD18" i="1" s="1"/>
  <c r="AD19" i="1" a="1"/>
  <c r="AD19" i="1" s="1"/>
  <c r="AD20" i="1" a="1"/>
  <c r="AD20" i="1" s="1"/>
  <c r="AD21" i="1" a="1"/>
  <c r="AD21" i="1" s="1"/>
  <c r="AD22" i="1" a="1"/>
  <c r="AD22" i="1" s="1"/>
  <c r="AD23" i="1" a="1"/>
  <c r="AD23" i="1" s="1"/>
  <c r="AD24" i="1" a="1"/>
  <c r="AD24" i="1" s="1"/>
  <c r="AD25" i="1" a="1"/>
  <c r="AD25" i="1" s="1"/>
  <c r="AD26" i="1" a="1"/>
  <c r="AD26" i="1" s="1"/>
  <c r="AD27" i="1" a="1"/>
  <c r="AD27" i="1" s="1"/>
  <c r="AD28" i="1" a="1"/>
  <c r="AD28" i="1" s="1"/>
  <c r="AD29" i="1" a="1"/>
  <c r="AD29" i="1" s="1"/>
  <c r="AD30" i="1" a="1"/>
  <c r="AD30" i="1" s="1"/>
  <c r="AD31" i="1" a="1"/>
  <c r="AD31" i="1" s="1"/>
  <c r="AD32" i="1" a="1"/>
  <c r="AD32" i="1" s="1"/>
  <c r="AD33" i="1" a="1"/>
  <c r="AD33" i="1" s="1"/>
  <c r="AD34" i="1" a="1"/>
  <c r="AD34" i="1" s="1"/>
  <c r="AD35" i="1" a="1"/>
  <c r="AD35" i="1" s="1"/>
  <c r="AD36" i="1" a="1"/>
  <c r="AD36" i="1" s="1"/>
  <c r="AD37" i="1" a="1"/>
  <c r="AD37" i="1" s="1"/>
  <c r="AD38" i="1" a="1"/>
  <c r="AD38" i="1" s="1"/>
  <c r="AD39" i="1" a="1"/>
  <c r="AD39" i="1" s="1"/>
  <c r="AD40" i="1" a="1"/>
  <c r="AD40" i="1" s="1"/>
  <c r="AD41" i="1" a="1"/>
  <c r="AD41" i="1" s="1"/>
  <c r="AD42" i="1" a="1"/>
  <c r="AD42" i="1" s="1"/>
  <c r="AD43" i="1" a="1"/>
  <c r="AD43" i="1" s="1"/>
  <c r="AD44" i="1" a="1"/>
  <c r="AD44" i="1" s="1"/>
  <c r="AD45" i="1" a="1"/>
  <c r="AD45" i="1" s="1"/>
  <c r="AD46" i="1" a="1"/>
  <c r="AD46" i="1" s="1"/>
  <c r="AD47" i="1" a="1"/>
  <c r="AD47" i="1" s="1"/>
  <c r="AD48" i="1" a="1"/>
  <c r="AD48" i="1" s="1"/>
  <c r="AD49" i="1" a="1"/>
  <c r="AD49" i="1" s="1"/>
  <c r="AD50" i="1" a="1"/>
  <c r="AD50" i="1" s="1"/>
  <c r="AD51" i="1" a="1"/>
  <c r="AD51" i="1" s="1"/>
  <c r="AD52" i="1" a="1"/>
  <c r="AD52" i="1" s="1"/>
  <c r="AD53" i="1" a="1"/>
  <c r="AD53" i="1" s="1"/>
  <c r="AD54" i="1" a="1"/>
  <c r="AD54" i="1" s="1"/>
  <c r="AD55" i="1" a="1"/>
  <c r="AD55" i="1" s="1"/>
  <c r="AD56" i="1" a="1"/>
  <c r="AD56" i="1" s="1"/>
  <c r="AD57" i="1" a="1"/>
  <c r="AD57" i="1" s="1"/>
  <c r="AD58" i="1" a="1"/>
  <c r="AD58" i="1" s="1"/>
  <c r="AD59" i="1" a="1"/>
  <c r="AD59" i="1" s="1"/>
  <c r="AD60" i="1" a="1"/>
  <c r="AD60" i="1" s="1"/>
  <c r="AD61" i="1" a="1"/>
  <c r="AD61" i="1" s="1"/>
  <c r="AD62" i="1" a="1"/>
  <c r="AD62" i="1" s="1"/>
  <c r="AD63" i="1" a="1"/>
  <c r="AD63" i="1" s="1"/>
  <c r="AD64" i="1" a="1"/>
  <c r="AD64" i="1" s="1"/>
  <c r="AD65" i="1" a="1"/>
  <c r="AD65" i="1" s="1"/>
  <c r="AD66" i="1" a="1"/>
  <c r="AD66" i="1" s="1"/>
  <c r="AD67" i="1" a="1"/>
  <c r="AD67" i="1" s="1"/>
  <c r="AD68" i="1" a="1"/>
  <c r="AD68" i="1" s="1"/>
  <c r="AD69" i="1" a="1"/>
  <c r="AD69" i="1" s="1"/>
  <c r="AD70" i="1" a="1"/>
  <c r="AD70" i="1" s="1"/>
  <c r="AD71" i="1" a="1"/>
  <c r="AD71" i="1" s="1"/>
  <c r="AD72" i="1" a="1"/>
  <c r="AD72" i="1" s="1"/>
  <c r="AD73" i="1" a="1"/>
  <c r="AD73" i="1" s="1"/>
  <c r="AD74" i="1" a="1"/>
  <c r="AD74" i="1" s="1"/>
  <c r="AD75" i="1" a="1"/>
  <c r="AD75" i="1" s="1"/>
  <c r="AD76" i="1" a="1"/>
  <c r="AD76" i="1" s="1"/>
  <c r="AD77" i="1" a="1"/>
  <c r="AD77" i="1" s="1"/>
  <c r="AD78" i="1" a="1"/>
  <c r="AD78" i="1" s="1"/>
  <c r="AD79" i="1" a="1"/>
  <c r="AD79" i="1" s="1"/>
  <c r="AD80" i="1" a="1"/>
  <c r="AD80" i="1" s="1"/>
  <c r="AD81" i="1" a="1"/>
  <c r="AD81" i="1" s="1"/>
  <c r="AD82" i="1" a="1"/>
  <c r="AD82" i="1" s="1"/>
  <c r="AD83" i="1" a="1"/>
  <c r="AD83" i="1" s="1"/>
  <c r="AD84" i="1" a="1"/>
  <c r="AD84" i="1" s="1"/>
  <c r="AD85" i="1" a="1"/>
  <c r="AD85" i="1" s="1"/>
  <c r="AD86" i="1" a="1"/>
  <c r="AD86" i="1" s="1"/>
  <c r="AD87" i="1" a="1"/>
  <c r="AD87" i="1" s="1"/>
  <c r="AD88" i="1" a="1"/>
  <c r="AD88" i="1" s="1"/>
  <c r="AD89" i="1" a="1"/>
  <c r="AD89" i="1" s="1"/>
  <c r="AD90" i="1" a="1"/>
  <c r="AD90" i="1" s="1"/>
  <c r="AD91" i="1" a="1"/>
  <c r="AD91" i="1" s="1"/>
  <c r="AD92" i="1" a="1"/>
  <c r="AD92" i="1" s="1"/>
  <c r="AD93" i="1" a="1"/>
  <c r="AD93" i="1" s="1"/>
  <c r="AD94" i="1" a="1"/>
  <c r="AD94" i="1" s="1"/>
  <c r="AD95" i="1" a="1"/>
  <c r="AD95" i="1" s="1"/>
  <c r="AD96" i="1" a="1"/>
  <c r="AD96" i="1" s="1"/>
  <c r="AD97" i="1" a="1"/>
  <c r="AD97" i="1" s="1"/>
  <c r="AD98" i="1" a="1"/>
  <c r="AD98" i="1" s="1"/>
  <c r="AD99" i="1" a="1"/>
  <c r="AD99" i="1" s="1"/>
  <c r="AD100" i="1" a="1"/>
  <c r="AD100" i="1" s="1"/>
  <c r="AD101" i="1" a="1"/>
  <c r="AD101" i="1" s="1"/>
  <c r="AD102" i="1" a="1"/>
  <c r="AD102" i="1" s="1"/>
  <c r="AD103" i="1" a="1"/>
  <c r="AD103" i="1" s="1"/>
  <c r="AD104" i="1" a="1"/>
  <c r="AD104" i="1" s="1"/>
  <c r="AD105" i="1" a="1"/>
  <c r="AD105" i="1" s="1"/>
  <c r="AD106" i="1" a="1"/>
  <c r="AD106" i="1" s="1"/>
  <c r="AD107" i="1" a="1"/>
  <c r="AD107" i="1" s="1"/>
  <c r="AD108" i="1" a="1"/>
  <c r="AD108" i="1" s="1"/>
  <c r="AD109" i="1" a="1"/>
  <c r="AD109" i="1" s="1"/>
  <c r="AD110" i="1" a="1"/>
  <c r="AD110" i="1" s="1"/>
  <c r="AD111" i="1" a="1"/>
  <c r="AD111" i="1" s="1"/>
  <c r="AD112" i="1" a="1"/>
  <c r="AD112" i="1" s="1"/>
  <c r="AD113" i="1" a="1"/>
  <c r="AD113" i="1" s="1"/>
  <c r="AD114" i="1" a="1"/>
  <c r="AD114" i="1" s="1"/>
  <c r="AD115" i="1" a="1"/>
  <c r="AD115" i="1" s="1"/>
  <c r="AD116" i="1" a="1"/>
  <c r="AD116" i="1" s="1"/>
  <c r="AD117" i="1" a="1"/>
  <c r="AD117" i="1" s="1"/>
  <c r="AD118" i="1" a="1"/>
  <c r="AD118" i="1" s="1"/>
  <c r="AD119" i="1" a="1"/>
  <c r="AD119" i="1" s="1"/>
  <c r="AD120" i="1" a="1"/>
  <c r="AD120" i="1" s="1"/>
  <c r="AD121" i="1" a="1"/>
  <c r="AD121" i="1" s="1"/>
  <c r="AD122" i="1" a="1"/>
  <c r="AD122" i="1" s="1"/>
  <c r="AD123" i="1" a="1"/>
  <c r="AD123" i="1" s="1"/>
  <c r="AD124" i="1" a="1"/>
  <c r="AD124" i="1" s="1"/>
  <c r="AD125" i="1" a="1"/>
  <c r="AD125" i="1" s="1"/>
  <c r="AD126" i="1" a="1"/>
  <c r="AD126" i="1" s="1"/>
  <c r="AD127" i="1" a="1"/>
  <c r="AD127" i="1" s="1"/>
  <c r="AD128" i="1" a="1"/>
  <c r="AD128" i="1" s="1"/>
  <c r="AD129" i="1" a="1"/>
  <c r="AD129" i="1" s="1"/>
  <c r="AD130" i="1" a="1"/>
  <c r="AD130" i="1" s="1"/>
  <c r="AD131" i="1" a="1"/>
  <c r="AD131" i="1" s="1"/>
  <c r="AD132" i="1" a="1"/>
  <c r="AD132" i="1" s="1"/>
  <c r="AD133" i="1" a="1"/>
  <c r="AD133" i="1" s="1"/>
  <c r="AD134" i="1" a="1"/>
  <c r="AD134" i="1" s="1"/>
  <c r="AD135" i="1" a="1"/>
  <c r="AD135" i="1" s="1"/>
  <c r="AD136" i="1" a="1"/>
  <c r="AD136" i="1" s="1"/>
  <c r="AD137" i="1" a="1"/>
  <c r="AD137" i="1" s="1"/>
  <c r="AD138" i="1" a="1"/>
  <c r="AD138" i="1" s="1"/>
  <c r="AD139" i="1" a="1"/>
  <c r="AD139" i="1" s="1"/>
  <c r="AD140" i="1" a="1"/>
  <c r="AD140" i="1" s="1"/>
  <c r="AD141" i="1" a="1"/>
  <c r="AD141" i="1" s="1"/>
  <c r="AD142" i="1" a="1"/>
  <c r="AD142" i="1" s="1"/>
  <c r="AD143" i="1" a="1"/>
  <c r="AD143" i="1" s="1"/>
  <c r="AD144" i="1" a="1"/>
  <c r="AD144" i="1" s="1"/>
  <c r="AD145" i="1" a="1"/>
  <c r="AD145" i="1" s="1"/>
  <c r="AD146" i="1" a="1"/>
  <c r="AD146" i="1" s="1"/>
  <c r="AD147" i="1" a="1"/>
  <c r="AD147" i="1" s="1"/>
  <c r="AD148" i="1" a="1"/>
  <c r="AD148" i="1" s="1"/>
  <c r="AD149" i="1" a="1"/>
  <c r="AD149" i="1" s="1"/>
  <c r="AD150" i="1" a="1"/>
  <c r="AD150" i="1" s="1"/>
  <c r="AD151" i="1" a="1"/>
  <c r="AD151" i="1" s="1"/>
  <c r="AD152" i="1" a="1"/>
  <c r="AD152" i="1" s="1"/>
  <c r="AD153" i="1" a="1"/>
  <c r="AD153" i="1" s="1"/>
  <c r="AD154" i="1" a="1"/>
  <c r="AD154" i="1" s="1"/>
  <c r="AD155" i="1" a="1"/>
  <c r="AD155" i="1" s="1"/>
  <c r="AD156" i="1" a="1"/>
  <c r="AD156" i="1" s="1"/>
  <c r="AD157" i="1" a="1"/>
  <c r="AD157" i="1" s="1"/>
  <c r="AD158" i="1" a="1"/>
  <c r="AD158" i="1" s="1"/>
  <c r="AD159" i="1" a="1"/>
  <c r="AD159" i="1" s="1"/>
  <c r="AD160" i="1" a="1"/>
  <c r="AD160" i="1" s="1"/>
  <c r="AD161" i="1" a="1"/>
  <c r="AD161" i="1" s="1"/>
  <c r="AD162" i="1" a="1"/>
  <c r="AD162" i="1" s="1"/>
  <c r="AD163" i="1" a="1"/>
  <c r="AD163" i="1" s="1"/>
  <c r="AD164" i="1" a="1"/>
  <c r="AD164" i="1" s="1"/>
  <c r="AD165" i="1" a="1"/>
  <c r="AD165" i="1" s="1"/>
  <c r="AD166" i="1" a="1"/>
  <c r="AD166" i="1" s="1"/>
  <c r="AD167" i="1" a="1"/>
  <c r="AD167" i="1" s="1"/>
  <c r="AD168" i="1" a="1"/>
  <c r="AD168" i="1" s="1"/>
  <c r="AD169" i="1" a="1"/>
  <c r="AD169" i="1" s="1"/>
  <c r="AD170" i="1" a="1"/>
  <c r="AD170" i="1" s="1"/>
  <c r="AD171" i="1" a="1"/>
  <c r="AD171" i="1" s="1"/>
  <c r="AD172" i="1" a="1"/>
  <c r="AD172" i="1" s="1"/>
  <c r="AD173" i="1" a="1"/>
  <c r="AD173" i="1" s="1"/>
  <c r="AD174" i="1" a="1"/>
  <c r="AD174" i="1" s="1"/>
  <c r="AD175" i="1" a="1"/>
  <c r="AD175" i="1" s="1"/>
  <c r="AD176" i="1" a="1"/>
  <c r="AD176" i="1" s="1"/>
  <c r="AD177" i="1" a="1"/>
  <c r="AD177" i="1" s="1"/>
  <c r="AD178" i="1" a="1"/>
  <c r="AD178" i="1" s="1"/>
  <c r="AD179" i="1" a="1"/>
  <c r="AD179" i="1" s="1"/>
  <c r="AD180" i="1" a="1"/>
  <c r="AD180" i="1" s="1"/>
  <c r="AD181" i="1" a="1"/>
  <c r="AD181" i="1" s="1"/>
  <c r="AD182" i="1" a="1"/>
  <c r="AD182" i="1" s="1"/>
  <c r="AD183" i="1" a="1"/>
  <c r="AD183" i="1" s="1"/>
  <c r="AD184" i="1" a="1"/>
  <c r="AD184" i="1" s="1"/>
  <c r="AD185" i="1" a="1"/>
  <c r="AD185" i="1" s="1"/>
  <c r="AD186" i="1" a="1"/>
  <c r="AD186" i="1" s="1"/>
  <c r="AD187" i="1" a="1"/>
  <c r="AD187" i="1" s="1"/>
  <c r="AD188" i="1" a="1"/>
  <c r="AD188" i="1" s="1"/>
  <c r="AD189" i="1" a="1"/>
  <c r="AD189" i="1" s="1"/>
  <c r="AD190" i="1" a="1"/>
  <c r="AD190" i="1" s="1"/>
  <c r="AD191" i="1" a="1"/>
  <c r="AD191" i="1" s="1"/>
  <c r="AD192" i="1" a="1"/>
  <c r="AD192" i="1" s="1"/>
  <c r="AD193" i="1" a="1"/>
  <c r="AD193" i="1" s="1"/>
  <c r="AD194" i="1" a="1"/>
  <c r="AD194" i="1" s="1"/>
  <c r="AD195" i="1" a="1"/>
  <c r="AD195" i="1" s="1"/>
  <c r="AD196" i="1" a="1"/>
  <c r="AD196" i="1" s="1"/>
  <c r="AD197" i="1" a="1"/>
  <c r="AD197" i="1" s="1"/>
  <c r="AD198" i="1" a="1"/>
  <c r="AD198" i="1" s="1"/>
  <c r="AD199" i="1" a="1"/>
  <c r="AD199" i="1" s="1"/>
  <c r="AD200" i="1" a="1"/>
  <c r="AD200" i="1" s="1"/>
  <c r="AD201" i="1" a="1"/>
  <c r="AD201" i="1" s="1"/>
  <c r="AD202" i="1" a="1"/>
  <c r="AD202" i="1" s="1"/>
  <c r="AD203" i="1" a="1"/>
  <c r="AD203" i="1" s="1"/>
  <c r="AD204" i="1" a="1"/>
  <c r="AD204" i="1" s="1"/>
  <c r="AD205" i="1" a="1"/>
  <c r="AD205" i="1" s="1"/>
  <c r="AD206" i="1" a="1"/>
  <c r="AD206" i="1" s="1"/>
  <c r="AD207" i="1" a="1"/>
  <c r="AD207" i="1" s="1"/>
  <c r="AD208" i="1" a="1"/>
  <c r="AD208" i="1" s="1"/>
  <c r="AD209" i="1" a="1"/>
  <c r="AD209" i="1" s="1"/>
  <c r="AD210" i="1" a="1"/>
  <c r="AD210" i="1" s="1"/>
  <c r="AD211" i="1" a="1"/>
  <c r="AD211" i="1" s="1"/>
  <c r="AD212" i="1" a="1"/>
  <c r="AD212" i="1" s="1"/>
  <c r="AD213" i="1" a="1"/>
  <c r="AD213" i="1" s="1"/>
  <c r="AD214" i="1" a="1"/>
  <c r="AD214" i="1" s="1"/>
  <c r="AD215" i="1" a="1"/>
  <c r="AD215" i="1" s="1"/>
  <c r="AD216" i="1" a="1"/>
  <c r="AD216" i="1" s="1"/>
  <c r="AD217" i="1" a="1"/>
  <c r="AD217" i="1" s="1"/>
  <c r="AD218" i="1" a="1"/>
  <c r="AD218" i="1" s="1"/>
  <c r="AD219" i="1" a="1"/>
  <c r="AD219" i="1" s="1"/>
  <c r="AD220" i="1" a="1"/>
  <c r="AD220" i="1" s="1"/>
  <c r="AD221" i="1" a="1"/>
  <c r="AD221" i="1" s="1"/>
  <c r="AD222" i="1" a="1"/>
  <c r="AD222" i="1" s="1"/>
  <c r="AD223" i="1" a="1"/>
  <c r="AD223" i="1" s="1"/>
  <c r="AD224" i="1" a="1"/>
  <c r="AD224" i="1" s="1"/>
  <c r="AD225" i="1" a="1"/>
  <c r="AD225" i="1" s="1"/>
  <c r="AD226" i="1" a="1"/>
  <c r="AD226" i="1" s="1"/>
  <c r="AD227" i="1" a="1"/>
  <c r="AD227" i="1" s="1"/>
  <c r="AD228" i="1" a="1"/>
  <c r="AD228" i="1" s="1"/>
  <c r="AD229" i="1" a="1"/>
  <c r="AD229" i="1" s="1"/>
  <c r="AD230" i="1" a="1"/>
  <c r="AD230" i="1" s="1"/>
  <c r="AD231" i="1" a="1"/>
  <c r="AD231" i="1" s="1"/>
  <c r="AD232" i="1" a="1"/>
  <c r="AD232" i="1" s="1"/>
  <c r="AD233" i="1" a="1"/>
  <c r="AD233" i="1" s="1"/>
  <c r="AD234" i="1" a="1"/>
  <c r="AD234" i="1" s="1"/>
  <c r="AD235" i="1" a="1"/>
  <c r="AD235" i="1" s="1"/>
  <c r="AD236" i="1" a="1"/>
  <c r="AD236" i="1" s="1"/>
  <c r="AD237" i="1" a="1"/>
  <c r="AD237" i="1" s="1"/>
  <c r="AD238" i="1" a="1"/>
  <c r="AD238" i="1" s="1"/>
  <c r="AD239" i="1" a="1"/>
  <c r="AD239" i="1" s="1"/>
  <c r="AD240" i="1" a="1"/>
  <c r="AD240" i="1" s="1"/>
  <c r="AD241" i="1" a="1"/>
  <c r="AD241" i="1" s="1"/>
  <c r="AD242" i="1" a="1"/>
  <c r="AD242" i="1" s="1"/>
  <c r="AD243" i="1" a="1"/>
  <c r="AD243" i="1" s="1"/>
  <c r="AD244" i="1" a="1"/>
  <c r="AD244" i="1" s="1"/>
  <c r="AD245" i="1" a="1"/>
  <c r="AD245" i="1" s="1"/>
  <c r="AD246" i="1" a="1"/>
  <c r="AD246" i="1" s="1"/>
  <c r="AD247" i="1" a="1"/>
  <c r="AD247" i="1" s="1"/>
  <c r="AD248" i="1" a="1"/>
  <c r="AD248" i="1" s="1"/>
  <c r="AD249" i="1" a="1"/>
  <c r="AD249" i="1" s="1"/>
  <c r="AD250" i="1" a="1"/>
  <c r="AD250" i="1" s="1"/>
  <c r="AD251" i="1" a="1"/>
  <c r="AD251" i="1" s="1"/>
  <c r="AD252" i="1" a="1"/>
  <c r="AD252" i="1" s="1"/>
  <c r="AD253" i="1" a="1"/>
  <c r="AD253" i="1" s="1"/>
  <c r="AD254" i="1" a="1"/>
  <c r="AD254" i="1" s="1"/>
  <c r="AD255" i="1" a="1"/>
  <c r="AD255" i="1" s="1"/>
  <c r="AD256" i="1" a="1"/>
  <c r="AD256" i="1" s="1"/>
  <c r="AD257" i="1" a="1"/>
  <c r="AD257" i="1" s="1"/>
  <c r="AD258" i="1" a="1"/>
  <c r="AD258" i="1" s="1"/>
  <c r="AD259" i="1" a="1"/>
  <c r="AD259" i="1" s="1"/>
  <c r="AD260" i="1" a="1"/>
  <c r="AD260" i="1" s="1"/>
  <c r="AD261" i="1" a="1"/>
  <c r="AD261" i="1" s="1"/>
  <c r="AD262" i="1" a="1"/>
  <c r="AD262" i="1" s="1"/>
  <c r="AD263" i="1" a="1"/>
  <c r="AD263" i="1" s="1"/>
  <c r="AD264" i="1" a="1"/>
  <c r="AD264" i="1" s="1"/>
  <c r="AD265" i="1" a="1"/>
  <c r="AD265" i="1" s="1"/>
  <c r="AD266" i="1" a="1"/>
  <c r="AD266" i="1" s="1"/>
  <c r="AD267" i="1" a="1"/>
  <c r="AD267" i="1" s="1"/>
  <c r="AD268" i="1" a="1"/>
  <c r="AD268" i="1" s="1"/>
  <c r="AD269" i="1" a="1"/>
  <c r="AD269" i="1" s="1"/>
  <c r="AD270" i="1" a="1"/>
  <c r="AD270" i="1" s="1"/>
  <c r="AD271" i="1" a="1"/>
  <c r="AD271" i="1" s="1"/>
  <c r="AD272" i="1" a="1"/>
  <c r="AD272" i="1" s="1"/>
  <c r="AD273" i="1" a="1"/>
  <c r="AD273" i="1" s="1"/>
  <c r="AD274" i="1" a="1"/>
  <c r="AD274" i="1" s="1"/>
  <c r="AD275" i="1" a="1"/>
  <c r="AD275" i="1" s="1"/>
  <c r="AD276" i="1" a="1"/>
  <c r="AD276" i="1" s="1"/>
  <c r="AD277" i="1" a="1"/>
  <c r="AD277" i="1" s="1"/>
  <c r="AD278" i="1" a="1"/>
  <c r="AD278" i="1" s="1"/>
  <c r="AD279" i="1" a="1"/>
  <c r="AD279" i="1" s="1"/>
  <c r="AD280" i="1" a="1"/>
  <c r="AD280" i="1" s="1"/>
  <c r="AD281" i="1" a="1"/>
  <c r="AD281" i="1" s="1"/>
  <c r="AD282" i="1" a="1"/>
  <c r="AD282" i="1" s="1"/>
  <c r="AD283" i="1" a="1"/>
  <c r="AD283" i="1" s="1"/>
  <c r="AD284" i="1" a="1"/>
  <c r="AD284" i="1" s="1"/>
  <c r="AD285" i="1" a="1"/>
  <c r="AD285" i="1" s="1"/>
  <c r="AD286" i="1" a="1"/>
  <c r="AD286" i="1" s="1"/>
  <c r="AD287" i="1" a="1"/>
  <c r="AD287" i="1" s="1"/>
  <c r="AD288" i="1" a="1"/>
  <c r="AD288" i="1" s="1"/>
  <c r="AD289" i="1" a="1"/>
  <c r="AD289" i="1" s="1"/>
  <c r="AD290" i="1" a="1"/>
  <c r="AD290" i="1" s="1"/>
  <c r="AD291" i="1" a="1"/>
  <c r="AD291" i="1" s="1"/>
  <c r="AD292" i="1" a="1"/>
  <c r="AD292" i="1" s="1"/>
  <c r="AD293" i="1" a="1"/>
  <c r="AD293" i="1" s="1"/>
  <c r="AD294" i="1" a="1"/>
  <c r="AD294" i="1" s="1"/>
  <c r="AD295" i="1" a="1"/>
  <c r="AD295" i="1" s="1"/>
  <c r="AD296" i="1" a="1"/>
  <c r="AD296" i="1" s="1"/>
  <c r="AD297" i="1" a="1"/>
  <c r="AD297" i="1" s="1"/>
  <c r="AD298" i="1" a="1"/>
  <c r="AD298" i="1" s="1"/>
  <c r="AD299" i="1" a="1"/>
  <c r="AD299" i="1" s="1"/>
  <c r="AD300" i="1" a="1"/>
  <c r="AD300" i="1" s="1"/>
  <c r="AD301" i="1" a="1"/>
  <c r="AD301" i="1" s="1"/>
  <c r="AD302" i="1" a="1"/>
  <c r="AD302" i="1" s="1"/>
  <c r="AD303" i="1" a="1"/>
  <c r="AD303" i="1" s="1"/>
  <c r="AD304" i="1" a="1"/>
  <c r="AD304" i="1" s="1"/>
  <c r="AD305" i="1" a="1"/>
  <c r="AD305" i="1" s="1"/>
  <c r="AD306" i="1" a="1"/>
  <c r="AD306" i="1" s="1"/>
  <c r="AD307" i="1" a="1"/>
  <c r="AD307" i="1" s="1"/>
  <c r="AD308" i="1" a="1"/>
  <c r="AD308" i="1" s="1"/>
  <c r="AD309" i="1" a="1"/>
  <c r="AD309" i="1" s="1"/>
  <c r="AD310" i="1" a="1"/>
  <c r="AD310" i="1" s="1"/>
  <c r="AD311" i="1" a="1"/>
  <c r="AD311" i="1" s="1"/>
  <c r="AD312" i="1" a="1"/>
  <c r="AD312" i="1" s="1"/>
  <c r="AD313" i="1" a="1"/>
  <c r="AD313" i="1" s="1"/>
  <c r="AD314" i="1" a="1"/>
  <c r="AD314" i="1" s="1"/>
  <c r="AD315" i="1" a="1"/>
  <c r="AD315" i="1" s="1"/>
  <c r="AD316" i="1" a="1"/>
  <c r="AD316" i="1" s="1"/>
  <c r="AD317" i="1" a="1"/>
  <c r="AD317" i="1" s="1"/>
  <c r="AD318" i="1" a="1"/>
  <c r="AD318" i="1" s="1"/>
  <c r="AD319" i="1" a="1"/>
  <c r="AD319" i="1" s="1"/>
  <c r="AD320" i="1" a="1"/>
  <c r="AD320" i="1" s="1"/>
  <c r="AD321" i="1" a="1"/>
  <c r="AD321" i="1" s="1"/>
  <c r="AD322" i="1" a="1"/>
  <c r="AD322" i="1" s="1"/>
  <c r="AD323" i="1" a="1"/>
  <c r="AD323" i="1" s="1"/>
  <c r="AD324" i="1" a="1"/>
  <c r="AD324" i="1" s="1"/>
  <c r="AD325" i="1" a="1"/>
  <c r="AD325" i="1" s="1"/>
  <c r="AD326" i="1" a="1"/>
  <c r="AD326" i="1" s="1"/>
  <c r="AD327" i="1" a="1"/>
  <c r="AD327" i="1" s="1"/>
  <c r="AD328" i="1" a="1"/>
  <c r="AD328" i="1" s="1"/>
  <c r="AD329" i="1" a="1"/>
  <c r="AD329" i="1" s="1"/>
  <c r="AD330" i="1" a="1"/>
  <c r="AD330" i="1" s="1"/>
  <c r="AD331" i="1" a="1"/>
  <c r="AD331" i="1" s="1"/>
  <c r="AD332" i="1" a="1"/>
  <c r="AD332" i="1" s="1"/>
  <c r="AD333" i="1" a="1"/>
  <c r="AD333" i="1" s="1"/>
  <c r="AD334" i="1" a="1"/>
  <c r="AD334" i="1" s="1"/>
  <c r="AD335" i="1" a="1"/>
  <c r="AD335" i="1" s="1"/>
  <c r="AD336" i="1" a="1"/>
  <c r="AD336" i="1" s="1"/>
  <c r="AD337" i="1" a="1"/>
  <c r="AD337" i="1" s="1"/>
  <c r="AD338" i="1" a="1"/>
  <c r="AD338" i="1" s="1"/>
  <c r="AD2" i="1" a="1"/>
  <c r="AD2" i="1" s="1"/>
  <c r="AF3" i="1" a="1"/>
  <c r="AF3" i="1" s="1"/>
  <c r="AF4" i="1" a="1"/>
  <c r="AF4" i="1" s="1"/>
  <c r="AF5" i="1" a="1"/>
  <c r="AF5" i="1" s="1"/>
  <c r="AF6" i="1" a="1"/>
  <c r="AF6" i="1" s="1"/>
  <c r="AF7" i="1" a="1"/>
  <c r="AF7" i="1" s="1"/>
  <c r="AF8" i="1" a="1"/>
  <c r="AF8" i="1" s="1"/>
  <c r="AF9" i="1" a="1"/>
  <c r="AF9" i="1" s="1"/>
  <c r="AF10" i="1" a="1"/>
  <c r="AF10" i="1" s="1"/>
  <c r="AF11" i="1" a="1"/>
  <c r="AF11" i="1" s="1"/>
  <c r="AF12" i="1" a="1"/>
  <c r="AF12" i="1" s="1"/>
  <c r="AF13" i="1" a="1"/>
  <c r="AF13" i="1" s="1"/>
  <c r="AF14" i="1" a="1"/>
  <c r="AF14" i="1" s="1"/>
  <c r="AF15" i="1" a="1"/>
  <c r="AF15" i="1" s="1"/>
  <c r="AF16" i="1" a="1"/>
  <c r="AF16" i="1" s="1"/>
  <c r="AF17" i="1" a="1"/>
  <c r="AF17" i="1" s="1"/>
  <c r="AF18" i="1" a="1"/>
  <c r="AF18" i="1" s="1"/>
  <c r="AF19" i="1" a="1"/>
  <c r="AF19" i="1" s="1"/>
  <c r="AF20" i="1" a="1"/>
  <c r="AF20" i="1" s="1"/>
  <c r="AF21" i="1" a="1"/>
  <c r="AF21" i="1" s="1"/>
  <c r="AF22" i="1" a="1"/>
  <c r="AF22" i="1" s="1"/>
  <c r="AF23" i="1" a="1"/>
  <c r="AF23" i="1" s="1"/>
  <c r="AF24" i="1" a="1"/>
  <c r="AF24" i="1" s="1"/>
  <c r="AF25" i="1" a="1"/>
  <c r="AF25" i="1" s="1"/>
  <c r="AF26" i="1" a="1"/>
  <c r="AF26" i="1" s="1"/>
  <c r="AF27" i="1" a="1"/>
  <c r="AF27" i="1" s="1"/>
  <c r="AF28" i="1" a="1"/>
  <c r="AF28" i="1" s="1"/>
  <c r="AF29" i="1" a="1"/>
  <c r="AF29" i="1" s="1"/>
  <c r="AF30" i="1" a="1"/>
  <c r="AF30" i="1" s="1"/>
  <c r="AF31" i="1" a="1"/>
  <c r="AF31" i="1" s="1"/>
  <c r="AF32" i="1" a="1"/>
  <c r="AF32" i="1" s="1"/>
  <c r="AF33" i="1" a="1"/>
  <c r="AF33" i="1" s="1"/>
  <c r="AF34" i="1" a="1"/>
  <c r="AF34" i="1" s="1"/>
  <c r="AF35" i="1" a="1"/>
  <c r="AF35" i="1" s="1"/>
  <c r="AF36" i="1" a="1"/>
  <c r="AF36" i="1" s="1"/>
  <c r="AF37" i="1" a="1"/>
  <c r="AF37" i="1" s="1"/>
  <c r="AF38" i="1" a="1"/>
  <c r="AF38" i="1" s="1"/>
  <c r="AF39" i="1" a="1"/>
  <c r="AF39" i="1" s="1"/>
  <c r="AF40" i="1" a="1"/>
  <c r="AF40" i="1" s="1"/>
  <c r="AF41" i="1" a="1"/>
  <c r="AF41" i="1" s="1"/>
  <c r="AF42" i="1" a="1"/>
  <c r="AF42" i="1" s="1"/>
  <c r="AF43" i="1" a="1"/>
  <c r="AF43" i="1" s="1"/>
  <c r="AF44" i="1" a="1"/>
  <c r="AF44" i="1" s="1"/>
  <c r="AF45" i="1" a="1"/>
  <c r="AF45" i="1" s="1"/>
  <c r="AF46" i="1" a="1"/>
  <c r="AF46" i="1" s="1"/>
  <c r="AF47" i="1" a="1"/>
  <c r="AF47" i="1" s="1"/>
  <c r="AF48" i="1" a="1"/>
  <c r="AF48" i="1" s="1"/>
  <c r="AF49" i="1" a="1"/>
  <c r="AF49" i="1" s="1"/>
  <c r="AF50" i="1" a="1"/>
  <c r="AF50" i="1" s="1"/>
  <c r="AF51" i="1" a="1"/>
  <c r="AF51" i="1" s="1"/>
  <c r="AF52" i="1" a="1"/>
  <c r="AF52" i="1" s="1"/>
  <c r="AF53" i="1" a="1"/>
  <c r="AF53" i="1" s="1"/>
  <c r="AF54" i="1" a="1"/>
  <c r="AF54" i="1" s="1"/>
  <c r="AF55" i="1" a="1"/>
  <c r="AF55" i="1" s="1"/>
  <c r="AF56" i="1" a="1"/>
  <c r="AF56" i="1" s="1"/>
  <c r="AF57" i="1" a="1"/>
  <c r="AF57" i="1" s="1"/>
  <c r="AF58" i="1" a="1"/>
  <c r="AF58" i="1" s="1"/>
  <c r="AF59" i="1" a="1"/>
  <c r="AF59" i="1" s="1"/>
  <c r="AF60" i="1" a="1"/>
  <c r="AF60" i="1" s="1"/>
  <c r="AF61" i="1" a="1"/>
  <c r="AF61" i="1" s="1"/>
  <c r="AF62" i="1" a="1"/>
  <c r="AF62" i="1" s="1"/>
  <c r="AF63" i="1" a="1"/>
  <c r="AF63" i="1" s="1"/>
  <c r="AF64" i="1" a="1"/>
  <c r="AF64" i="1" s="1"/>
  <c r="AF65" i="1" a="1"/>
  <c r="AF65" i="1" s="1"/>
  <c r="AF66" i="1" a="1"/>
  <c r="AF66" i="1" s="1"/>
  <c r="AF67" i="1" a="1"/>
  <c r="AF67" i="1" s="1"/>
  <c r="AF68" i="1" a="1"/>
  <c r="AF68" i="1" s="1"/>
  <c r="AF69" i="1" a="1"/>
  <c r="AF69" i="1" s="1"/>
  <c r="AF70" i="1" a="1"/>
  <c r="AF70" i="1" s="1"/>
  <c r="AF71" i="1" a="1"/>
  <c r="AF71" i="1" s="1"/>
  <c r="AF72" i="1" a="1"/>
  <c r="AF72" i="1" s="1"/>
  <c r="AF73" i="1" a="1"/>
  <c r="AF73" i="1" s="1"/>
  <c r="AF74" i="1" a="1"/>
  <c r="AF74" i="1" s="1"/>
  <c r="AF75" i="1" a="1"/>
  <c r="AF75" i="1" s="1"/>
  <c r="AF76" i="1" a="1"/>
  <c r="AF76" i="1" s="1"/>
  <c r="AF77" i="1" a="1"/>
  <c r="AF77" i="1" s="1"/>
  <c r="AF78" i="1" a="1"/>
  <c r="AF78" i="1" s="1"/>
  <c r="AF79" i="1" a="1"/>
  <c r="AF79" i="1" s="1"/>
  <c r="AF80" i="1" a="1"/>
  <c r="AF80" i="1" s="1"/>
  <c r="AF81" i="1" a="1"/>
  <c r="AF81" i="1" s="1"/>
  <c r="AF82" i="1" a="1"/>
  <c r="AF82" i="1" s="1"/>
  <c r="AF83" i="1" a="1"/>
  <c r="AF83" i="1" s="1"/>
  <c r="AF84" i="1" a="1"/>
  <c r="AF84" i="1" s="1"/>
  <c r="AF85" i="1" a="1"/>
  <c r="AF85" i="1" s="1"/>
  <c r="AF86" i="1" a="1"/>
  <c r="AF86" i="1" s="1"/>
  <c r="AF87" i="1" a="1"/>
  <c r="AF87" i="1" s="1"/>
  <c r="AF88" i="1" a="1"/>
  <c r="AF88" i="1" s="1"/>
  <c r="AF89" i="1" a="1"/>
  <c r="AF89" i="1" s="1"/>
  <c r="AF90" i="1" a="1"/>
  <c r="AF90" i="1" s="1"/>
  <c r="AF91" i="1" a="1"/>
  <c r="AF91" i="1" s="1"/>
  <c r="AF92" i="1" a="1"/>
  <c r="AF92" i="1" s="1"/>
  <c r="AF93" i="1" a="1"/>
  <c r="AF93" i="1" s="1"/>
  <c r="AF94" i="1" a="1"/>
  <c r="AF94" i="1" s="1"/>
  <c r="AF95" i="1" a="1"/>
  <c r="AF95" i="1" s="1"/>
  <c r="AF96" i="1" a="1"/>
  <c r="AF96" i="1" s="1"/>
  <c r="AF97" i="1" a="1"/>
  <c r="AF97" i="1" s="1"/>
  <c r="AF98" i="1" a="1"/>
  <c r="AF98" i="1" s="1"/>
  <c r="AF99" i="1" a="1"/>
  <c r="AF99" i="1" s="1"/>
  <c r="AF100" i="1" a="1"/>
  <c r="AF100" i="1" s="1"/>
  <c r="AF101" i="1" a="1"/>
  <c r="AF101" i="1" s="1"/>
  <c r="AF102" i="1" a="1"/>
  <c r="AF102" i="1" s="1"/>
  <c r="AF103" i="1" a="1"/>
  <c r="AF103" i="1" s="1"/>
  <c r="AF104" i="1" a="1"/>
  <c r="AF104" i="1" s="1"/>
  <c r="AF105" i="1" a="1"/>
  <c r="AF105" i="1" s="1"/>
  <c r="AF106" i="1" a="1"/>
  <c r="AF106" i="1" s="1"/>
  <c r="AF107" i="1" a="1"/>
  <c r="AF107" i="1" s="1"/>
  <c r="AF108" i="1" a="1"/>
  <c r="AF108" i="1" s="1"/>
  <c r="AF109" i="1" a="1"/>
  <c r="AF109" i="1" s="1"/>
  <c r="AF110" i="1" a="1"/>
  <c r="AF110" i="1" s="1"/>
  <c r="AF111" i="1" a="1"/>
  <c r="AF111" i="1" s="1"/>
  <c r="AF112" i="1" a="1"/>
  <c r="AF112" i="1" s="1"/>
  <c r="AF113" i="1" a="1"/>
  <c r="AF113" i="1" s="1"/>
  <c r="AF114" i="1" a="1"/>
  <c r="AF114" i="1" s="1"/>
  <c r="AF115" i="1" a="1"/>
  <c r="AF115" i="1" s="1"/>
  <c r="AF116" i="1" a="1"/>
  <c r="AF116" i="1" s="1"/>
  <c r="AF117" i="1" a="1"/>
  <c r="AF117" i="1" s="1"/>
  <c r="AF118" i="1" a="1"/>
  <c r="AF118" i="1" s="1"/>
  <c r="AF119" i="1" a="1"/>
  <c r="AF119" i="1" s="1"/>
  <c r="AF120" i="1" a="1"/>
  <c r="AF120" i="1" s="1"/>
  <c r="AF121" i="1" a="1"/>
  <c r="AF121" i="1" s="1"/>
  <c r="AF122" i="1" a="1"/>
  <c r="AF122" i="1" s="1"/>
  <c r="AF123" i="1" a="1"/>
  <c r="AF123" i="1" s="1"/>
  <c r="AF124" i="1" a="1"/>
  <c r="AF124" i="1" s="1"/>
  <c r="AF125" i="1" a="1"/>
  <c r="AF125" i="1" s="1"/>
  <c r="AF126" i="1" a="1"/>
  <c r="AF126" i="1" s="1"/>
  <c r="AF127" i="1" a="1"/>
  <c r="AF127" i="1" s="1"/>
  <c r="AF128" i="1" a="1"/>
  <c r="AF128" i="1" s="1"/>
  <c r="AF129" i="1" a="1"/>
  <c r="AF129" i="1" s="1"/>
  <c r="AF130" i="1" a="1"/>
  <c r="AF130" i="1" s="1"/>
  <c r="AF131" i="1" a="1"/>
  <c r="AF131" i="1" s="1"/>
  <c r="AF132" i="1" a="1"/>
  <c r="AF132" i="1" s="1"/>
  <c r="AF133" i="1" a="1"/>
  <c r="AF133" i="1" s="1"/>
  <c r="AF134" i="1" a="1"/>
  <c r="AF134" i="1" s="1"/>
  <c r="AF135" i="1" a="1"/>
  <c r="AF135" i="1" s="1"/>
  <c r="AF136" i="1" a="1"/>
  <c r="AF136" i="1" s="1"/>
  <c r="AF137" i="1" a="1"/>
  <c r="AF137" i="1" s="1"/>
  <c r="AF138" i="1" a="1"/>
  <c r="AF138" i="1" s="1"/>
  <c r="AF139" i="1" a="1"/>
  <c r="AF139" i="1" s="1"/>
  <c r="AF140" i="1" a="1"/>
  <c r="AF140" i="1" s="1"/>
  <c r="AF141" i="1" a="1"/>
  <c r="AF141" i="1" s="1"/>
  <c r="AF142" i="1" a="1"/>
  <c r="AF142" i="1" s="1"/>
  <c r="AF143" i="1" a="1"/>
  <c r="AF143" i="1" s="1"/>
  <c r="AF144" i="1" a="1"/>
  <c r="AF144" i="1" s="1"/>
  <c r="AF145" i="1" a="1"/>
  <c r="AF145" i="1" s="1"/>
  <c r="AF146" i="1" a="1"/>
  <c r="AF146" i="1" s="1"/>
  <c r="AF147" i="1" a="1"/>
  <c r="AF147" i="1" s="1"/>
  <c r="AF148" i="1" a="1"/>
  <c r="AF148" i="1" s="1"/>
  <c r="AF149" i="1" a="1"/>
  <c r="AF149" i="1" s="1"/>
  <c r="AF150" i="1" a="1"/>
  <c r="AF150" i="1" s="1"/>
  <c r="AF151" i="1" a="1"/>
  <c r="AF151" i="1" s="1"/>
  <c r="AF152" i="1" a="1"/>
  <c r="AF152" i="1" s="1"/>
  <c r="AF153" i="1" a="1"/>
  <c r="AF153" i="1" s="1"/>
  <c r="AF154" i="1" a="1"/>
  <c r="AF154" i="1" s="1"/>
  <c r="AF155" i="1" a="1"/>
  <c r="AF155" i="1" s="1"/>
  <c r="AF156" i="1" a="1"/>
  <c r="AF156" i="1" s="1"/>
  <c r="AF157" i="1" a="1"/>
  <c r="AF157" i="1" s="1"/>
  <c r="AF158" i="1" a="1"/>
  <c r="AF158" i="1" s="1"/>
  <c r="AF159" i="1" a="1"/>
  <c r="AF159" i="1" s="1"/>
  <c r="AF160" i="1" a="1"/>
  <c r="AF160" i="1" s="1"/>
  <c r="AF161" i="1" a="1"/>
  <c r="AF161" i="1" s="1"/>
  <c r="AF162" i="1" a="1"/>
  <c r="AF162" i="1" s="1"/>
  <c r="AF163" i="1" a="1"/>
  <c r="AF163" i="1" s="1"/>
  <c r="AF164" i="1" a="1"/>
  <c r="AF164" i="1" s="1"/>
  <c r="AF165" i="1" a="1"/>
  <c r="AF165" i="1" s="1"/>
  <c r="AF166" i="1" a="1"/>
  <c r="AF166" i="1" s="1"/>
  <c r="AF167" i="1" a="1"/>
  <c r="AF167" i="1" s="1"/>
  <c r="AF168" i="1" a="1"/>
  <c r="AF168" i="1" s="1"/>
  <c r="AF169" i="1" a="1"/>
  <c r="AF169" i="1" s="1"/>
  <c r="AF170" i="1" a="1"/>
  <c r="AF170" i="1" s="1"/>
  <c r="AF171" i="1" a="1"/>
  <c r="AF171" i="1" s="1"/>
  <c r="AF172" i="1" a="1"/>
  <c r="AF172" i="1" s="1"/>
  <c r="AF173" i="1" a="1"/>
  <c r="AF173" i="1" s="1"/>
  <c r="AF174" i="1" a="1"/>
  <c r="AF174" i="1" s="1"/>
  <c r="AF175" i="1" a="1"/>
  <c r="AF175" i="1" s="1"/>
  <c r="AF176" i="1" a="1"/>
  <c r="AF176" i="1" s="1"/>
  <c r="AF177" i="1" a="1"/>
  <c r="AF177" i="1" s="1"/>
  <c r="AF178" i="1" a="1"/>
  <c r="AF178" i="1" s="1"/>
  <c r="AF179" i="1" a="1"/>
  <c r="AF179" i="1" s="1"/>
  <c r="AF180" i="1" a="1"/>
  <c r="AF180" i="1" s="1"/>
  <c r="AF181" i="1" a="1"/>
  <c r="AF181" i="1" s="1"/>
  <c r="AF182" i="1" a="1"/>
  <c r="AF182" i="1" s="1"/>
  <c r="AF183" i="1" a="1"/>
  <c r="AF183" i="1" s="1"/>
  <c r="AF184" i="1" a="1"/>
  <c r="AF184" i="1" s="1"/>
  <c r="AF185" i="1" a="1"/>
  <c r="AF185" i="1" s="1"/>
  <c r="AF186" i="1" a="1"/>
  <c r="AF186" i="1" s="1"/>
  <c r="AF187" i="1" a="1"/>
  <c r="AF187" i="1" s="1"/>
  <c r="AF188" i="1" a="1"/>
  <c r="AF188" i="1" s="1"/>
  <c r="AF189" i="1" a="1"/>
  <c r="AF189" i="1" s="1"/>
  <c r="AF190" i="1" a="1"/>
  <c r="AF190" i="1" s="1"/>
  <c r="AF191" i="1" a="1"/>
  <c r="AF191" i="1" s="1"/>
  <c r="AF192" i="1" a="1"/>
  <c r="AF192" i="1" s="1"/>
  <c r="AF193" i="1" a="1"/>
  <c r="AF193" i="1" s="1"/>
  <c r="AF194" i="1" a="1"/>
  <c r="AF194" i="1" s="1"/>
  <c r="AF195" i="1" a="1"/>
  <c r="AF195" i="1" s="1"/>
  <c r="AF196" i="1" a="1"/>
  <c r="AF196" i="1" s="1"/>
  <c r="AF197" i="1" a="1"/>
  <c r="AF197" i="1" s="1"/>
  <c r="AF198" i="1" a="1"/>
  <c r="AF198" i="1" s="1"/>
  <c r="AF199" i="1" a="1"/>
  <c r="AF199" i="1" s="1"/>
  <c r="AF200" i="1" a="1"/>
  <c r="AF200" i="1" s="1"/>
  <c r="AF201" i="1" a="1"/>
  <c r="AF201" i="1" s="1"/>
  <c r="AF202" i="1" a="1"/>
  <c r="AF202" i="1" s="1"/>
  <c r="AF203" i="1" a="1"/>
  <c r="AF203" i="1" s="1"/>
  <c r="AF204" i="1" a="1"/>
  <c r="AF204" i="1" s="1"/>
  <c r="AF205" i="1" a="1"/>
  <c r="AF205" i="1" s="1"/>
  <c r="AF206" i="1" a="1"/>
  <c r="AF206" i="1" s="1"/>
  <c r="AF207" i="1" a="1"/>
  <c r="AF207" i="1" s="1"/>
  <c r="AF208" i="1" a="1"/>
  <c r="AF208" i="1" s="1"/>
  <c r="AF209" i="1" a="1"/>
  <c r="AF209" i="1" s="1"/>
  <c r="AF210" i="1" a="1"/>
  <c r="AF210" i="1" s="1"/>
  <c r="AF211" i="1" a="1"/>
  <c r="AF211" i="1" s="1"/>
  <c r="AF212" i="1" a="1"/>
  <c r="AF212" i="1" s="1"/>
  <c r="AF213" i="1" a="1"/>
  <c r="AF213" i="1" s="1"/>
  <c r="AF214" i="1" a="1"/>
  <c r="AF214" i="1" s="1"/>
  <c r="AF215" i="1" a="1"/>
  <c r="AF215" i="1" s="1"/>
  <c r="AF216" i="1" a="1"/>
  <c r="AF216" i="1" s="1"/>
  <c r="AF217" i="1" a="1"/>
  <c r="AF217" i="1" s="1"/>
  <c r="AF218" i="1" a="1"/>
  <c r="AF218" i="1" s="1"/>
  <c r="AF219" i="1" a="1"/>
  <c r="AF219" i="1" s="1"/>
  <c r="AF220" i="1" a="1"/>
  <c r="AF220" i="1" s="1"/>
  <c r="AF221" i="1" a="1"/>
  <c r="AF221" i="1" s="1"/>
  <c r="AF222" i="1" a="1"/>
  <c r="AF222" i="1" s="1"/>
  <c r="AF223" i="1" a="1"/>
  <c r="AF223" i="1" s="1"/>
  <c r="AF224" i="1" a="1"/>
  <c r="AF224" i="1" s="1"/>
  <c r="AF225" i="1" a="1"/>
  <c r="AF225" i="1" s="1"/>
  <c r="AF226" i="1" a="1"/>
  <c r="AF226" i="1" s="1"/>
  <c r="AF227" i="1" a="1"/>
  <c r="AF227" i="1" s="1"/>
  <c r="AF228" i="1" a="1"/>
  <c r="AF228" i="1" s="1"/>
  <c r="AF229" i="1" a="1"/>
  <c r="AF229" i="1" s="1"/>
  <c r="AF230" i="1" a="1"/>
  <c r="AF230" i="1" s="1"/>
  <c r="AF231" i="1" a="1"/>
  <c r="AF231" i="1" s="1"/>
  <c r="AF232" i="1" a="1"/>
  <c r="AF232" i="1" s="1"/>
  <c r="AF233" i="1" a="1"/>
  <c r="AF233" i="1" s="1"/>
  <c r="AF234" i="1" a="1"/>
  <c r="AF234" i="1" s="1"/>
  <c r="AF235" i="1" a="1"/>
  <c r="AF235" i="1" s="1"/>
  <c r="AF236" i="1" a="1"/>
  <c r="AF236" i="1" s="1"/>
  <c r="AF237" i="1" a="1"/>
  <c r="AF237" i="1" s="1"/>
  <c r="AF238" i="1" a="1"/>
  <c r="AF238" i="1" s="1"/>
  <c r="AF239" i="1" a="1"/>
  <c r="AF239" i="1" s="1"/>
  <c r="AF240" i="1" a="1"/>
  <c r="AF240" i="1" s="1"/>
  <c r="AF241" i="1" a="1"/>
  <c r="AF241" i="1" s="1"/>
  <c r="AF242" i="1" a="1"/>
  <c r="AF242" i="1" s="1"/>
  <c r="AF243" i="1" a="1"/>
  <c r="AF243" i="1" s="1"/>
  <c r="AF244" i="1" a="1"/>
  <c r="AF244" i="1" s="1"/>
  <c r="AF245" i="1" a="1"/>
  <c r="AF245" i="1" s="1"/>
  <c r="AF246" i="1" a="1"/>
  <c r="AF246" i="1" s="1"/>
  <c r="AF247" i="1" a="1"/>
  <c r="AF247" i="1" s="1"/>
  <c r="AF248" i="1" a="1"/>
  <c r="AF248" i="1" s="1"/>
  <c r="AF249" i="1" a="1"/>
  <c r="AF249" i="1" s="1"/>
  <c r="AF250" i="1" a="1"/>
  <c r="AF250" i="1" s="1"/>
  <c r="AF251" i="1" a="1"/>
  <c r="AF251" i="1" s="1"/>
  <c r="AF252" i="1" a="1"/>
  <c r="AF252" i="1" s="1"/>
  <c r="AF253" i="1" a="1"/>
  <c r="AF253" i="1" s="1"/>
  <c r="AF254" i="1" a="1"/>
  <c r="AF254" i="1" s="1"/>
  <c r="AF255" i="1" a="1"/>
  <c r="AF255" i="1" s="1"/>
  <c r="AF256" i="1" a="1"/>
  <c r="AF256" i="1" s="1"/>
  <c r="AF257" i="1" a="1"/>
  <c r="AF257" i="1" s="1"/>
  <c r="AF258" i="1" a="1"/>
  <c r="AF258" i="1" s="1"/>
  <c r="AF259" i="1" a="1"/>
  <c r="AF259" i="1" s="1"/>
  <c r="AF260" i="1" a="1"/>
  <c r="AF260" i="1" s="1"/>
  <c r="AF261" i="1" a="1"/>
  <c r="AF261" i="1" s="1"/>
  <c r="AF262" i="1" a="1"/>
  <c r="AF262" i="1" s="1"/>
  <c r="AF263" i="1" a="1"/>
  <c r="AF263" i="1" s="1"/>
  <c r="AF264" i="1" a="1"/>
  <c r="AF264" i="1" s="1"/>
  <c r="AF265" i="1" a="1"/>
  <c r="AF265" i="1" s="1"/>
  <c r="AF266" i="1" a="1"/>
  <c r="AF266" i="1" s="1"/>
  <c r="AF267" i="1" a="1"/>
  <c r="AF267" i="1" s="1"/>
  <c r="AF268" i="1" a="1"/>
  <c r="AF268" i="1" s="1"/>
  <c r="AF269" i="1" a="1"/>
  <c r="AF269" i="1" s="1"/>
  <c r="AF270" i="1" a="1"/>
  <c r="AF270" i="1" s="1"/>
  <c r="AF271" i="1" a="1"/>
  <c r="AF271" i="1" s="1"/>
  <c r="AF272" i="1" a="1"/>
  <c r="AF272" i="1" s="1"/>
  <c r="AF273" i="1" a="1"/>
  <c r="AF273" i="1" s="1"/>
  <c r="AF274" i="1" a="1"/>
  <c r="AF274" i="1" s="1"/>
  <c r="AF275" i="1" a="1"/>
  <c r="AF275" i="1" s="1"/>
  <c r="AF276" i="1" a="1"/>
  <c r="AF276" i="1" s="1"/>
  <c r="AF277" i="1" a="1"/>
  <c r="AF277" i="1" s="1"/>
  <c r="AF278" i="1" a="1"/>
  <c r="AF278" i="1" s="1"/>
  <c r="AF279" i="1" a="1"/>
  <c r="AF279" i="1" s="1"/>
  <c r="AF280" i="1" a="1"/>
  <c r="AF280" i="1" s="1"/>
  <c r="AF281" i="1" a="1"/>
  <c r="AF281" i="1" s="1"/>
  <c r="AF282" i="1" a="1"/>
  <c r="AF282" i="1" s="1"/>
  <c r="AF283" i="1" a="1"/>
  <c r="AF283" i="1" s="1"/>
  <c r="AF284" i="1" a="1"/>
  <c r="AF284" i="1" s="1"/>
  <c r="AF285" i="1" a="1"/>
  <c r="AF285" i="1" s="1"/>
  <c r="AF286" i="1" a="1"/>
  <c r="AF286" i="1" s="1"/>
  <c r="AF287" i="1" a="1"/>
  <c r="AF287" i="1" s="1"/>
  <c r="AF288" i="1" a="1"/>
  <c r="AF288" i="1" s="1"/>
  <c r="AF289" i="1" a="1"/>
  <c r="AF289" i="1" s="1"/>
  <c r="AF290" i="1" a="1"/>
  <c r="AF290" i="1" s="1"/>
  <c r="AF291" i="1" a="1"/>
  <c r="AF291" i="1" s="1"/>
  <c r="AF292" i="1" a="1"/>
  <c r="AF292" i="1" s="1"/>
  <c r="AF293" i="1" a="1"/>
  <c r="AF293" i="1" s="1"/>
  <c r="AF294" i="1" a="1"/>
  <c r="AF294" i="1" s="1"/>
  <c r="AF295" i="1" a="1"/>
  <c r="AF295" i="1" s="1"/>
  <c r="AF296" i="1" a="1"/>
  <c r="AF296" i="1" s="1"/>
  <c r="AF297" i="1" a="1"/>
  <c r="AF297" i="1" s="1"/>
  <c r="AF298" i="1" a="1"/>
  <c r="AF298" i="1" s="1"/>
  <c r="AF299" i="1" a="1"/>
  <c r="AF299" i="1" s="1"/>
  <c r="AF300" i="1" a="1"/>
  <c r="AF300" i="1" s="1"/>
  <c r="AF301" i="1" a="1"/>
  <c r="AF301" i="1" s="1"/>
  <c r="AF302" i="1" a="1"/>
  <c r="AF302" i="1" s="1"/>
  <c r="AF303" i="1" a="1"/>
  <c r="AF303" i="1" s="1"/>
  <c r="AF304" i="1" a="1"/>
  <c r="AF304" i="1" s="1"/>
  <c r="AF305" i="1" a="1"/>
  <c r="AF305" i="1" s="1"/>
  <c r="AF306" i="1" a="1"/>
  <c r="AF306" i="1" s="1"/>
  <c r="AF307" i="1" a="1"/>
  <c r="AF307" i="1" s="1"/>
  <c r="AF308" i="1" a="1"/>
  <c r="AF308" i="1" s="1"/>
  <c r="AF309" i="1" a="1"/>
  <c r="AF309" i="1" s="1"/>
  <c r="AF310" i="1" a="1"/>
  <c r="AF310" i="1" s="1"/>
  <c r="AF311" i="1" a="1"/>
  <c r="AF311" i="1" s="1"/>
  <c r="AF312" i="1" a="1"/>
  <c r="AF312" i="1" s="1"/>
  <c r="AF313" i="1" a="1"/>
  <c r="AF313" i="1" s="1"/>
  <c r="AF314" i="1" a="1"/>
  <c r="AF314" i="1" s="1"/>
  <c r="AF315" i="1" a="1"/>
  <c r="AF315" i="1" s="1"/>
  <c r="AF316" i="1" a="1"/>
  <c r="AF316" i="1" s="1"/>
  <c r="AF317" i="1" a="1"/>
  <c r="AF317" i="1" s="1"/>
  <c r="AF318" i="1" a="1"/>
  <c r="AF318" i="1" s="1"/>
  <c r="AF319" i="1" a="1"/>
  <c r="AF319" i="1" s="1"/>
  <c r="AF320" i="1" a="1"/>
  <c r="AF320" i="1" s="1"/>
  <c r="AF321" i="1" a="1"/>
  <c r="AF321" i="1" s="1"/>
  <c r="AF322" i="1" a="1"/>
  <c r="AF322" i="1" s="1"/>
  <c r="AF323" i="1" a="1"/>
  <c r="AF323" i="1" s="1"/>
  <c r="AF324" i="1" a="1"/>
  <c r="AF324" i="1" s="1"/>
  <c r="AF325" i="1" a="1"/>
  <c r="AF325" i="1" s="1"/>
  <c r="AF326" i="1" a="1"/>
  <c r="AF326" i="1" s="1"/>
  <c r="AF327" i="1" a="1"/>
  <c r="AF327" i="1" s="1"/>
  <c r="AF328" i="1" a="1"/>
  <c r="AF328" i="1" s="1"/>
  <c r="AF329" i="1" a="1"/>
  <c r="AF329" i="1" s="1"/>
  <c r="AF330" i="1" a="1"/>
  <c r="AF330" i="1" s="1"/>
  <c r="AF331" i="1" a="1"/>
  <c r="AF331" i="1" s="1"/>
  <c r="AF332" i="1" a="1"/>
  <c r="AF332" i="1" s="1"/>
  <c r="AF333" i="1" a="1"/>
  <c r="AF333" i="1" s="1"/>
  <c r="AF334" i="1" a="1"/>
  <c r="AF334" i="1" s="1"/>
  <c r="AF335" i="1" a="1"/>
  <c r="AF335" i="1" s="1"/>
  <c r="AF336" i="1" a="1"/>
  <c r="AF336" i="1" s="1"/>
  <c r="AF337" i="1" a="1"/>
  <c r="AF337" i="1" s="1"/>
  <c r="AF338" i="1" a="1"/>
  <c r="AF338" i="1" s="1"/>
  <c r="AF2" i="1" a="1"/>
  <c r="AF2" i="1" s="1"/>
  <c r="AH3" i="1"/>
  <c r="AC98" i="1" s="1"/>
  <c r="AB3" i="1" a="1"/>
  <c r="AB3" i="1" s="1"/>
  <c r="AB4" i="1" a="1"/>
  <c r="AB4" i="1" s="1"/>
  <c r="AB5" i="1" a="1"/>
  <c r="AB5" i="1" s="1"/>
  <c r="AB6" i="1" a="1"/>
  <c r="AB6" i="1" s="1"/>
  <c r="AB7" i="1" a="1"/>
  <c r="AB7" i="1" s="1"/>
  <c r="AB8" i="1" a="1"/>
  <c r="AB8" i="1" s="1"/>
  <c r="AB9" i="1" a="1"/>
  <c r="AB9" i="1" s="1"/>
  <c r="AB10" i="1" a="1"/>
  <c r="AB10" i="1" s="1"/>
  <c r="AB11" i="1" a="1"/>
  <c r="AB11" i="1" s="1"/>
  <c r="AB12" i="1" a="1"/>
  <c r="AB12" i="1" s="1"/>
  <c r="AB13" i="1" a="1"/>
  <c r="AB13" i="1" s="1"/>
  <c r="AB14" i="1" a="1"/>
  <c r="AB14" i="1" s="1"/>
  <c r="AB15" i="1" a="1"/>
  <c r="AB15" i="1" s="1"/>
  <c r="AB16" i="1" a="1"/>
  <c r="AB16" i="1" s="1"/>
  <c r="AB17" i="1" a="1"/>
  <c r="AB17" i="1" s="1"/>
  <c r="AB18" i="1" a="1"/>
  <c r="AB18" i="1" s="1"/>
  <c r="AB19" i="1" a="1"/>
  <c r="AB19" i="1" s="1"/>
  <c r="AB20" i="1" a="1"/>
  <c r="AB20" i="1" s="1"/>
  <c r="AB21" i="1" a="1"/>
  <c r="AB21" i="1" s="1"/>
  <c r="AB22" i="1" a="1"/>
  <c r="AB22" i="1" s="1"/>
  <c r="AB23" i="1" a="1"/>
  <c r="AB23" i="1" s="1"/>
  <c r="AB24" i="1" a="1"/>
  <c r="AB24" i="1" s="1"/>
  <c r="AB25" i="1" a="1"/>
  <c r="AB25" i="1" s="1"/>
  <c r="AB26" i="1" a="1"/>
  <c r="AB26" i="1" s="1"/>
  <c r="AB27" i="1" a="1"/>
  <c r="AB27" i="1" s="1"/>
  <c r="AB28" i="1" a="1"/>
  <c r="AB28" i="1" s="1"/>
  <c r="AB29" i="1" a="1"/>
  <c r="AB29" i="1" s="1"/>
  <c r="AB30" i="1" a="1"/>
  <c r="AB30" i="1" s="1"/>
  <c r="AB31" i="1" a="1"/>
  <c r="AB31" i="1" s="1"/>
  <c r="AB32" i="1" a="1"/>
  <c r="AB32" i="1" s="1"/>
  <c r="AB33" i="1" a="1"/>
  <c r="AB33" i="1" s="1"/>
  <c r="AB34" i="1" a="1"/>
  <c r="AB34" i="1" s="1"/>
  <c r="AB35" i="1" a="1"/>
  <c r="AB35" i="1" s="1"/>
  <c r="AB36" i="1" a="1"/>
  <c r="AB36" i="1" s="1"/>
  <c r="AB37" i="1" a="1"/>
  <c r="AB37" i="1" s="1"/>
  <c r="AB38" i="1" a="1"/>
  <c r="AB38" i="1" s="1"/>
  <c r="AB39" i="1" a="1"/>
  <c r="AB39" i="1" s="1"/>
  <c r="AB40" i="1" a="1"/>
  <c r="AB40" i="1" s="1"/>
  <c r="AB41" i="1" a="1"/>
  <c r="AB41" i="1" s="1"/>
  <c r="AB42" i="1" a="1"/>
  <c r="AB42" i="1" s="1"/>
  <c r="AB43" i="1" a="1"/>
  <c r="AB43" i="1" s="1"/>
  <c r="AB44" i="1" a="1"/>
  <c r="AB44" i="1" s="1"/>
  <c r="AB45" i="1" a="1"/>
  <c r="AB45" i="1" s="1"/>
  <c r="AB46" i="1" a="1"/>
  <c r="AB46" i="1" s="1"/>
  <c r="AB47" i="1" a="1"/>
  <c r="AB47" i="1" s="1"/>
  <c r="AB48" i="1" a="1"/>
  <c r="AB48" i="1" s="1"/>
  <c r="AB49" i="1" a="1"/>
  <c r="AB49" i="1" s="1"/>
  <c r="AB50" i="1" a="1"/>
  <c r="AB50" i="1" s="1"/>
  <c r="AB51" i="1" a="1"/>
  <c r="AB51" i="1" s="1"/>
  <c r="AB52" i="1" a="1"/>
  <c r="AB52" i="1" s="1"/>
  <c r="AB53" i="1" a="1"/>
  <c r="AB53" i="1" s="1"/>
  <c r="AB54" i="1" a="1"/>
  <c r="AB54" i="1" s="1"/>
  <c r="AB55" i="1" a="1"/>
  <c r="AB55" i="1" s="1"/>
  <c r="AB56" i="1" a="1"/>
  <c r="AB56" i="1" s="1"/>
  <c r="AB57" i="1" a="1"/>
  <c r="AB57" i="1" s="1"/>
  <c r="AB58" i="1" a="1"/>
  <c r="AB58" i="1" s="1"/>
  <c r="AB59" i="1" a="1"/>
  <c r="AB59" i="1" s="1"/>
  <c r="AB60" i="1" a="1"/>
  <c r="AB60" i="1" s="1"/>
  <c r="AB61" i="1" a="1"/>
  <c r="AB61" i="1" s="1"/>
  <c r="AB62" i="1" a="1"/>
  <c r="AB62" i="1" s="1"/>
  <c r="AB63" i="1" a="1"/>
  <c r="AB63" i="1" s="1"/>
  <c r="AB64" i="1" a="1"/>
  <c r="AB64" i="1" s="1"/>
  <c r="AB65" i="1" a="1"/>
  <c r="AB65" i="1" s="1"/>
  <c r="AB66" i="1" a="1"/>
  <c r="AB66" i="1" s="1"/>
  <c r="AB67" i="1" a="1"/>
  <c r="AB67" i="1" s="1"/>
  <c r="AB68" i="1" a="1"/>
  <c r="AB68" i="1" s="1"/>
  <c r="AB69" i="1" a="1"/>
  <c r="AB69" i="1" s="1"/>
  <c r="AB70" i="1" a="1"/>
  <c r="AB70" i="1" s="1"/>
  <c r="AB71" i="1" a="1"/>
  <c r="AB71" i="1" s="1"/>
  <c r="AB72" i="1" a="1"/>
  <c r="AB72" i="1" s="1"/>
  <c r="AB73" i="1" a="1"/>
  <c r="AB73" i="1" s="1"/>
  <c r="AB74" i="1" a="1"/>
  <c r="AB74" i="1" s="1"/>
  <c r="AB75" i="1" a="1"/>
  <c r="AB75" i="1" s="1"/>
  <c r="AB76" i="1" a="1"/>
  <c r="AB76" i="1" s="1"/>
  <c r="AB77" i="1" a="1"/>
  <c r="AB77" i="1" s="1"/>
  <c r="AB78" i="1" a="1"/>
  <c r="AB78" i="1" s="1"/>
  <c r="AB79" i="1" a="1"/>
  <c r="AB79" i="1" s="1"/>
  <c r="AB80" i="1" a="1"/>
  <c r="AB80" i="1" s="1"/>
  <c r="AB81" i="1" a="1"/>
  <c r="AB81" i="1" s="1"/>
  <c r="AB82" i="1" a="1"/>
  <c r="AB82" i="1" s="1"/>
  <c r="AB83" i="1" a="1"/>
  <c r="AB83" i="1" s="1"/>
  <c r="AB84" i="1" a="1"/>
  <c r="AB84" i="1" s="1"/>
  <c r="AB85" i="1" a="1"/>
  <c r="AB85" i="1" s="1"/>
  <c r="AB86" i="1" a="1"/>
  <c r="AB86" i="1" s="1"/>
  <c r="AB87" i="1" a="1"/>
  <c r="AB87" i="1" s="1"/>
  <c r="AB88" i="1" a="1"/>
  <c r="AB88" i="1" s="1"/>
  <c r="AB89" i="1" a="1"/>
  <c r="AB89" i="1" s="1"/>
  <c r="AB90" i="1" a="1"/>
  <c r="AB90" i="1" s="1"/>
  <c r="AB91" i="1" a="1"/>
  <c r="AB91" i="1" s="1"/>
  <c r="AB92" i="1" a="1"/>
  <c r="AB92" i="1" s="1"/>
  <c r="AB93" i="1" a="1"/>
  <c r="AB93" i="1" s="1"/>
  <c r="AB94" i="1" a="1"/>
  <c r="AB94" i="1" s="1"/>
  <c r="AB95" i="1" a="1"/>
  <c r="AB95" i="1" s="1"/>
  <c r="AB96" i="1" a="1"/>
  <c r="AB96" i="1" s="1"/>
  <c r="AB97" i="1" a="1"/>
  <c r="AB97" i="1" s="1"/>
  <c r="AB98" i="1" a="1"/>
  <c r="AB98" i="1" s="1"/>
  <c r="AB99" i="1" a="1"/>
  <c r="AB99" i="1" s="1"/>
  <c r="AB100" i="1" a="1"/>
  <c r="AB100" i="1" s="1"/>
  <c r="AB101" i="1" a="1"/>
  <c r="AB101" i="1" s="1"/>
  <c r="AB102" i="1" a="1"/>
  <c r="AB102" i="1" s="1"/>
  <c r="AB103" i="1" a="1"/>
  <c r="AB103" i="1" s="1"/>
  <c r="AB104" i="1" a="1"/>
  <c r="AB104" i="1" s="1"/>
  <c r="AB105" i="1" a="1"/>
  <c r="AB105" i="1" s="1"/>
  <c r="AB106" i="1" a="1"/>
  <c r="AB106" i="1" s="1"/>
  <c r="AB107" i="1" a="1"/>
  <c r="AB107" i="1" s="1"/>
  <c r="AB108" i="1" a="1"/>
  <c r="AB108" i="1" s="1"/>
  <c r="AB109" i="1" a="1"/>
  <c r="AB109" i="1" s="1"/>
  <c r="AB110" i="1" a="1"/>
  <c r="AB110" i="1" s="1"/>
  <c r="AB111" i="1" a="1"/>
  <c r="AB111" i="1" s="1"/>
  <c r="AB112" i="1" a="1"/>
  <c r="AB112" i="1" s="1"/>
  <c r="AB113" i="1" a="1"/>
  <c r="AB113" i="1" s="1"/>
  <c r="AB114" i="1" a="1"/>
  <c r="AB114" i="1" s="1"/>
  <c r="AB115" i="1" a="1"/>
  <c r="AB115" i="1" s="1"/>
  <c r="AB116" i="1" a="1"/>
  <c r="AB116" i="1" s="1"/>
  <c r="AB117" i="1" a="1"/>
  <c r="AB117" i="1" s="1"/>
  <c r="AB118" i="1" a="1"/>
  <c r="AB118" i="1" s="1"/>
  <c r="AB119" i="1" a="1"/>
  <c r="AB119" i="1" s="1"/>
  <c r="AB120" i="1" a="1"/>
  <c r="AB120" i="1" s="1"/>
  <c r="AB121" i="1" a="1"/>
  <c r="AB121" i="1" s="1"/>
  <c r="AB122" i="1" a="1"/>
  <c r="AB122" i="1" s="1"/>
  <c r="AB123" i="1" a="1"/>
  <c r="AB123" i="1" s="1"/>
  <c r="AB124" i="1" a="1"/>
  <c r="AB124" i="1" s="1"/>
  <c r="AB125" i="1" a="1"/>
  <c r="AB125" i="1" s="1"/>
  <c r="AB126" i="1" a="1"/>
  <c r="AB126" i="1" s="1"/>
  <c r="AB127" i="1" a="1"/>
  <c r="AB127" i="1" s="1"/>
  <c r="AB128" i="1" a="1"/>
  <c r="AB128" i="1" s="1"/>
  <c r="AB129" i="1" a="1"/>
  <c r="AB129" i="1" s="1"/>
  <c r="AB130" i="1" a="1"/>
  <c r="AB130" i="1" s="1"/>
  <c r="AB131" i="1" a="1"/>
  <c r="AB131" i="1" s="1"/>
  <c r="AB132" i="1" a="1"/>
  <c r="AB132" i="1" s="1"/>
  <c r="AB133" i="1" a="1"/>
  <c r="AB133" i="1" s="1"/>
  <c r="AB134" i="1" a="1"/>
  <c r="AB134" i="1" s="1"/>
  <c r="AB135" i="1" a="1"/>
  <c r="AB135" i="1" s="1"/>
  <c r="AB136" i="1" a="1"/>
  <c r="AB136" i="1" s="1"/>
  <c r="AB137" i="1" a="1"/>
  <c r="AB137" i="1" s="1"/>
  <c r="AB138" i="1" a="1"/>
  <c r="AB138" i="1" s="1"/>
  <c r="AB139" i="1" a="1"/>
  <c r="AB139" i="1" s="1"/>
  <c r="AB140" i="1" a="1"/>
  <c r="AB140" i="1" s="1"/>
  <c r="AB141" i="1" a="1"/>
  <c r="AB141" i="1" s="1"/>
  <c r="AB142" i="1" a="1"/>
  <c r="AB142" i="1" s="1"/>
  <c r="AB143" i="1" a="1"/>
  <c r="AB143" i="1" s="1"/>
  <c r="AB144" i="1" a="1"/>
  <c r="AB144" i="1" s="1"/>
  <c r="AB145" i="1" a="1"/>
  <c r="AB145" i="1" s="1"/>
  <c r="AB146" i="1" a="1"/>
  <c r="AB146" i="1" s="1"/>
  <c r="AB147" i="1" a="1"/>
  <c r="AB147" i="1" s="1"/>
  <c r="AB148" i="1" a="1"/>
  <c r="AB148" i="1" s="1"/>
  <c r="AB149" i="1" a="1"/>
  <c r="AB149" i="1" s="1"/>
  <c r="AB150" i="1" a="1"/>
  <c r="AB150" i="1" s="1"/>
  <c r="AB151" i="1" a="1"/>
  <c r="AB151" i="1" s="1"/>
  <c r="AB152" i="1" a="1"/>
  <c r="AB152" i="1" s="1"/>
  <c r="AB153" i="1" a="1"/>
  <c r="AB153" i="1" s="1"/>
  <c r="AB154" i="1" a="1"/>
  <c r="AB154" i="1" s="1"/>
  <c r="AB155" i="1" a="1"/>
  <c r="AB155" i="1" s="1"/>
  <c r="AB156" i="1" a="1"/>
  <c r="AB156" i="1" s="1"/>
  <c r="AB157" i="1" a="1"/>
  <c r="AB157" i="1" s="1"/>
  <c r="AB158" i="1" a="1"/>
  <c r="AB158" i="1" s="1"/>
  <c r="AB159" i="1" a="1"/>
  <c r="AB159" i="1" s="1"/>
  <c r="AB160" i="1" a="1"/>
  <c r="AB160" i="1" s="1"/>
  <c r="AB161" i="1" a="1"/>
  <c r="AB161" i="1" s="1"/>
  <c r="AB162" i="1" a="1"/>
  <c r="AB162" i="1" s="1"/>
  <c r="AB163" i="1" a="1"/>
  <c r="AB163" i="1" s="1"/>
  <c r="AB164" i="1" a="1"/>
  <c r="AB164" i="1" s="1"/>
  <c r="AB165" i="1" a="1"/>
  <c r="AB165" i="1" s="1"/>
  <c r="AB166" i="1" a="1"/>
  <c r="AB166" i="1" s="1"/>
  <c r="AB167" i="1" a="1"/>
  <c r="AB167" i="1" s="1"/>
  <c r="AB168" i="1" a="1"/>
  <c r="AB168" i="1" s="1"/>
  <c r="AB169" i="1" a="1"/>
  <c r="AB169" i="1" s="1"/>
  <c r="AB170" i="1" a="1"/>
  <c r="AB170" i="1" s="1"/>
  <c r="AB171" i="1" a="1"/>
  <c r="AB171" i="1" s="1"/>
  <c r="AB172" i="1" a="1"/>
  <c r="AB172" i="1" s="1"/>
  <c r="AB173" i="1" a="1"/>
  <c r="AB173" i="1" s="1"/>
  <c r="AB174" i="1" a="1"/>
  <c r="AB174" i="1" s="1"/>
  <c r="AB175" i="1" a="1"/>
  <c r="AB175" i="1" s="1"/>
  <c r="AB176" i="1" a="1"/>
  <c r="AB176" i="1" s="1"/>
  <c r="AB177" i="1" a="1"/>
  <c r="AB177" i="1" s="1"/>
  <c r="AB178" i="1" a="1"/>
  <c r="AB178" i="1" s="1"/>
  <c r="AB179" i="1" a="1"/>
  <c r="AB179" i="1" s="1"/>
  <c r="AB180" i="1" a="1"/>
  <c r="AB180" i="1" s="1"/>
  <c r="AB181" i="1" a="1"/>
  <c r="AB181" i="1" s="1"/>
  <c r="AB182" i="1" a="1"/>
  <c r="AB182" i="1" s="1"/>
  <c r="AB183" i="1" a="1"/>
  <c r="AB183" i="1" s="1"/>
  <c r="AB184" i="1" a="1"/>
  <c r="AB184" i="1" s="1"/>
  <c r="AB185" i="1" a="1"/>
  <c r="AB185" i="1" s="1"/>
  <c r="AB186" i="1" a="1"/>
  <c r="AB186" i="1" s="1"/>
  <c r="AB187" i="1" a="1"/>
  <c r="AB187" i="1" s="1"/>
  <c r="AB188" i="1" a="1"/>
  <c r="AB188" i="1" s="1"/>
  <c r="AB189" i="1" a="1"/>
  <c r="AB189" i="1" s="1"/>
  <c r="AB190" i="1" a="1"/>
  <c r="AB190" i="1" s="1"/>
  <c r="AB191" i="1" a="1"/>
  <c r="AB191" i="1" s="1"/>
  <c r="AB192" i="1" a="1"/>
  <c r="AB192" i="1" s="1"/>
  <c r="AB193" i="1" a="1"/>
  <c r="AB193" i="1" s="1"/>
  <c r="AB194" i="1" a="1"/>
  <c r="AB194" i="1" s="1"/>
  <c r="AB195" i="1" a="1"/>
  <c r="AB195" i="1" s="1"/>
  <c r="AB196" i="1" a="1"/>
  <c r="AB196" i="1" s="1"/>
  <c r="AB197" i="1" a="1"/>
  <c r="AB197" i="1" s="1"/>
  <c r="AB198" i="1" a="1"/>
  <c r="AB198" i="1" s="1"/>
  <c r="AB199" i="1" a="1"/>
  <c r="AB199" i="1" s="1"/>
  <c r="AB200" i="1" a="1"/>
  <c r="AB200" i="1" s="1"/>
  <c r="AB201" i="1" a="1"/>
  <c r="AB201" i="1" s="1"/>
  <c r="AB202" i="1" a="1"/>
  <c r="AB202" i="1" s="1"/>
  <c r="AB203" i="1" a="1"/>
  <c r="AB203" i="1" s="1"/>
  <c r="AB204" i="1" a="1"/>
  <c r="AB204" i="1" s="1"/>
  <c r="AB205" i="1" a="1"/>
  <c r="AB205" i="1" s="1"/>
  <c r="AB206" i="1" a="1"/>
  <c r="AB206" i="1" s="1"/>
  <c r="AB207" i="1" a="1"/>
  <c r="AB207" i="1" s="1"/>
  <c r="AB208" i="1" a="1"/>
  <c r="AB208" i="1" s="1"/>
  <c r="AB209" i="1" a="1"/>
  <c r="AB209" i="1" s="1"/>
  <c r="AB210" i="1" a="1"/>
  <c r="AB210" i="1" s="1"/>
  <c r="AB211" i="1" a="1"/>
  <c r="AB211" i="1" s="1"/>
  <c r="AB212" i="1" a="1"/>
  <c r="AB212" i="1" s="1"/>
  <c r="AB213" i="1" a="1"/>
  <c r="AB213" i="1" s="1"/>
  <c r="AB214" i="1" a="1"/>
  <c r="AB214" i="1" s="1"/>
  <c r="AB215" i="1" a="1"/>
  <c r="AB215" i="1" s="1"/>
  <c r="AB216" i="1" a="1"/>
  <c r="AB216" i="1" s="1"/>
  <c r="AB217" i="1" a="1"/>
  <c r="AB217" i="1" s="1"/>
  <c r="AB218" i="1" a="1"/>
  <c r="AB218" i="1" s="1"/>
  <c r="AB219" i="1" a="1"/>
  <c r="AB219" i="1" s="1"/>
  <c r="AB220" i="1" a="1"/>
  <c r="AB220" i="1" s="1"/>
  <c r="AB221" i="1" a="1"/>
  <c r="AB221" i="1" s="1"/>
  <c r="AB222" i="1" a="1"/>
  <c r="AB222" i="1" s="1"/>
  <c r="AB223" i="1" a="1"/>
  <c r="AB223" i="1" s="1"/>
  <c r="AB224" i="1" a="1"/>
  <c r="AB224" i="1" s="1"/>
  <c r="AB225" i="1" a="1"/>
  <c r="AB225" i="1" s="1"/>
  <c r="AB226" i="1" a="1"/>
  <c r="AB226" i="1" s="1"/>
  <c r="AB227" i="1" a="1"/>
  <c r="AB227" i="1" s="1"/>
  <c r="AB228" i="1" a="1"/>
  <c r="AB228" i="1" s="1"/>
  <c r="AB229" i="1" a="1"/>
  <c r="AB229" i="1" s="1"/>
  <c r="AB230" i="1" a="1"/>
  <c r="AB230" i="1" s="1"/>
  <c r="AB231" i="1" a="1"/>
  <c r="AB231" i="1" s="1"/>
  <c r="AB232" i="1" a="1"/>
  <c r="AB232" i="1" s="1"/>
  <c r="AB233" i="1" a="1"/>
  <c r="AB233" i="1" s="1"/>
  <c r="AB234" i="1" a="1"/>
  <c r="AB234" i="1" s="1"/>
  <c r="AB235" i="1" a="1"/>
  <c r="AB235" i="1" s="1"/>
  <c r="AB236" i="1" a="1"/>
  <c r="AB236" i="1" s="1"/>
  <c r="AB237" i="1" a="1"/>
  <c r="AB237" i="1" s="1"/>
  <c r="AB238" i="1" a="1"/>
  <c r="AB238" i="1" s="1"/>
  <c r="AB239" i="1" a="1"/>
  <c r="AB239" i="1" s="1"/>
  <c r="AB240" i="1" a="1"/>
  <c r="AB240" i="1" s="1"/>
  <c r="AB241" i="1" a="1"/>
  <c r="AB241" i="1" s="1"/>
  <c r="AB242" i="1" a="1"/>
  <c r="AB242" i="1" s="1"/>
  <c r="AB243" i="1" a="1"/>
  <c r="AB243" i="1" s="1"/>
  <c r="AB244" i="1" a="1"/>
  <c r="AB244" i="1" s="1"/>
  <c r="AB245" i="1" a="1"/>
  <c r="AB245" i="1" s="1"/>
  <c r="AB246" i="1" a="1"/>
  <c r="AB246" i="1" s="1"/>
  <c r="AB247" i="1" a="1"/>
  <c r="AB247" i="1" s="1"/>
  <c r="AB248" i="1" a="1"/>
  <c r="AB248" i="1" s="1"/>
  <c r="AB249" i="1" a="1"/>
  <c r="AB249" i="1" s="1"/>
  <c r="AB250" i="1" a="1"/>
  <c r="AB250" i="1" s="1"/>
  <c r="AB251" i="1" a="1"/>
  <c r="AB251" i="1" s="1"/>
  <c r="AB252" i="1" a="1"/>
  <c r="AB252" i="1" s="1"/>
  <c r="AB253" i="1" a="1"/>
  <c r="AB253" i="1" s="1"/>
  <c r="AB254" i="1" a="1"/>
  <c r="AB254" i="1" s="1"/>
  <c r="AB255" i="1" a="1"/>
  <c r="AB255" i="1" s="1"/>
  <c r="AB256" i="1" a="1"/>
  <c r="AB256" i="1" s="1"/>
  <c r="AB257" i="1" a="1"/>
  <c r="AB257" i="1" s="1"/>
  <c r="AB258" i="1" a="1"/>
  <c r="AB258" i="1" s="1"/>
  <c r="AB259" i="1" a="1"/>
  <c r="AB259" i="1" s="1"/>
  <c r="AB260" i="1" a="1"/>
  <c r="AB260" i="1" s="1"/>
  <c r="AB261" i="1" a="1"/>
  <c r="AB261" i="1" s="1"/>
  <c r="AB262" i="1" a="1"/>
  <c r="AB262" i="1" s="1"/>
  <c r="AB263" i="1" a="1"/>
  <c r="AB263" i="1" s="1"/>
  <c r="AB264" i="1" a="1"/>
  <c r="AB264" i="1" s="1"/>
  <c r="AB265" i="1" a="1"/>
  <c r="AB265" i="1" s="1"/>
  <c r="AB266" i="1" a="1"/>
  <c r="AB266" i="1" s="1"/>
  <c r="AB267" i="1" a="1"/>
  <c r="AB267" i="1" s="1"/>
  <c r="AB268" i="1" a="1"/>
  <c r="AB268" i="1" s="1"/>
  <c r="AB269" i="1" a="1"/>
  <c r="AB269" i="1" s="1"/>
  <c r="AB270" i="1" a="1"/>
  <c r="AB270" i="1" s="1"/>
  <c r="AB271" i="1" a="1"/>
  <c r="AB271" i="1" s="1"/>
  <c r="AB272" i="1" a="1"/>
  <c r="AB272" i="1" s="1"/>
  <c r="AB273" i="1" a="1"/>
  <c r="AB273" i="1" s="1"/>
  <c r="AB274" i="1" a="1"/>
  <c r="AB274" i="1" s="1"/>
  <c r="AB275" i="1" a="1"/>
  <c r="AB275" i="1" s="1"/>
  <c r="AB276" i="1" a="1"/>
  <c r="AB276" i="1" s="1"/>
  <c r="AB277" i="1" a="1"/>
  <c r="AB277" i="1" s="1"/>
  <c r="AB278" i="1" a="1"/>
  <c r="AB278" i="1" s="1"/>
  <c r="AB279" i="1" a="1"/>
  <c r="AB279" i="1" s="1"/>
  <c r="AB280" i="1" a="1"/>
  <c r="AB280" i="1" s="1"/>
  <c r="AB281" i="1" a="1"/>
  <c r="AB281" i="1" s="1"/>
  <c r="AB282" i="1" a="1"/>
  <c r="AB282" i="1" s="1"/>
  <c r="AB283" i="1" a="1"/>
  <c r="AB283" i="1" s="1"/>
  <c r="AB284" i="1" a="1"/>
  <c r="AB284" i="1" s="1"/>
  <c r="AB285" i="1" a="1"/>
  <c r="AB285" i="1" s="1"/>
  <c r="AB286" i="1" a="1"/>
  <c r="AB286" i="1" s="1"/>
  <c r="AB287" i="1" a="1"/>
  <c r="AB287" i="1" s="1"/>
  <c r="AB288" i="1" a="1"/>
  <c r="AB288" i="1" s="1"/>
  <c r="AB289" i="1" a="1"/>
  <c r="AB289" i="1" s="1"/>
  <c r="AB290" i="1" a="1"/>
  <c r="AB290" i="1" s="1"/>
  <c r="AB291" i="1" a="1"/>
  <c r="AB291" i="1" s="1"/>
  <c r="AB292" i="1" a="1"/>
  <c r="AB292" i="1" s="1"/>
  <c r="AB293" i="1" a="1"/>
  <c r="AB293" i="1" s="1"/>
  <c r="AB294" i="1" a="1"/>
  <c r="AB294" i="1" s="1"/>
  <c r="AB295" i="1" a="1"/>
  <c r="AB295" i="1" s="1"/>
  <c r="AB296" i="1" a="1"/>
  <c r="AB296" i="1" s="1"/>
  <c r="AB297" i="1" a="1"/>
  <c r="AB297" i="1" s="1"/>
  <c r="AB298" i="1" a="1"/>
  <c r="AB298" i="1" s="1"/>
  <c r="AB299" i="1" a="1"/>
  <c r="AB299" i="1" s="1"/>
  <c r="AB300" i="1" a="1"/>
  <c r="AB300" i="1" s="1"/>
  <c r="AB301" i="1" a="1"/>
  <c r="AB301" i="1" s="1"/>
  <c r="AB302" i="1" a="1"/>
  <c r="AB302" i="1" s="1"/>
  <c r="AB303" i="1" a="1"/>
  <c r="AB303" i="1" s="1"/>
  <c r="AB304" i="1" a="1"/>
  <c r="AB304" i="1" s="1"/>
  <c r="AB305" i="1" a="1"/>
  <c r="AB305" i="1" s="1"/>
  <c r="AB306" i="1" a="1"/>
  <c r="AB306" i="1" s="1"/>
  <c r="AB307" i="1" a="1"/>
  <c r="AB307" i="1" s="1"/>
  <c r="AB308" i="1" a="1"/>
  <c r="AB308" i="1" s="1"/>
  <c r="AB309" i="1" a="1"/>
  <c r="AB309" i="1" s="1"/>
  <c r="AB310" i="1" a="1"/>
  <c r="AB310" i="1" s="1"/>
  <c r="AB311" i="1" a="1"/>
  <c r="AB311" i="1" s="1"/>
  <c r="AB312" i="1" a="1"/>
  <c r="AB312" i="1" s="1"/>
  <c r="AB313" i="1" a="1"/>
  <c r="AB313" i="1" s="1"/>
  <c r="AB314" i="1" a="1"/>
  <c r="AB314" i="1" s="1"/>
  <c r="AB315" i="1" a="1"/>
  <c r="AB315" i="1" s="1"/>
  <c r="AB316" i="1" a="1"/>
  <c r="AB316" i="1" s="1"/>
  <c r="AB317" i="1" a="1"/>
  <c r="AB317" i="1" s="1"/>
  <c r="AB318" i="1" a="1"/>
  <c r="AB318" i="1" s="1"/>
  <c r="AB319" i="1" a="1"/>
  <c r="AB319" i="1" s="1"/>
  <c r="AB320" i="1" a="1"/>
  <c r="AB320" i="1" s="1"/>
  <c r="AB321" i="1" a="1"/>
  <c r="AB321" i="1" s="1"/>
  <c r="AB322" i="1" a="1"/>
  <c r="AB322" i="1" s="1"/>
  <c r="AB323" i="1" a="1"/>
  <c r="AB323" i="1" s="1"/>
  <c r="AB324" i="1" a="1"/>
  <c r="AB324" i="1" s="1"/>
  <c r="AB325" i="1" a="1"/>
  <c r="AB325" i="1" s="1"/>
  <c r="AB326" i="1" a="1"/>
  <c r="AB326" i="1" s="1"/>
  <c r="AB327" i="1" a="1"/>
  <c r="AB327" i="1" s="1"/>
  <c r="AB328" i="1" a="1"/>
  <c r="AB328" i="1" s="1"/>
  <c r="AB329" i="1" a="1"/>
  <c r="AB329" i="1" s="1"/>
  <c r="AB330" i="1" a="1"/>
  <c r="AB330" i="1" s="1"/>
  <c r="AB331" i="1" a="1"/>
  <c r="AB331" i="1" s="1"/>
  <c r="AB332" i="1" a="1"/>
  <c r="AB332" i="1" s="1"/>
  <c r="AB333" i="1" a="1"/>
  <c r="AB333" i="1" s="1"/>
  <c r="AB334" i="1" a="1"/>
  <c r="AB334" i="1" s="1"/>
  <c r="AB335" i="1" a="1"/>
  <c r="AB335" i="1" s="1"/>
  <c r="AB336" i="1" a="1"/>
  <c r="AB336" i="1" s="1"/>
  <c r="AB337" i="1" a="1"/>
  <c r="AB337" i="1" s="1"/>
  <c r="AB338" i="1" a="1"/>
  <c r="AB338" i="1" s="1"/>
  <c r="AB2" i="1" a="1"/>
  <c r="AB2" i="1" s="1"/>
  <c r="Z3" i="1" a="1"/>
  <c r="Z3" i="1" s="1"/>
  <c r="AA3" i="1" s="1"/>
  <c r="Z4" i="1" a="1"/>
  <c r="Z4" i="1" s="1"/>
  <c r="AA4" i="1" s="1"/>
  <c r="Z5" i="1" a="1"/>
  <c r="Z5" i="1" s="1"/>
  <c r="AA5" i="1" s="1"/>
  <c r="Z6" i="1" a="1"/>
  <c r="Z6" i="1" s="1"/>
  <c r="AA6" i="1" s="1"/>
  <c r="Z7" i="1" a="1"/>
  <c r="Z7" i="1" s="1"/>
  <c r="AA7" i="1" s="1"/>
  <c r="Z8" i="1" a="1"/>
  <c r="Z8" i="1" s="1"/>
  <c r="AA8" i="1" s="1"/>
  <c r="Z9" i="1" a="1"/>
  <c r="Z9" i="1" s="1"/>
  <c r="AA9" i="1" s="1"/>
  <c r="Z10" i="1" a="1"/>
  <c r="Z10" i="1" s="1"/>
  <c r="AA10" i="1" s="1"/>
  <c r="Z11" i="1" a="1"/>
  <c r="Z11" i="1" s="1"/>
  <c r="AA11" i="1" s="1"/>
  <c r="Z12" i="1" a="1"/>
  <c r="Z12" i="1" s="1"/>
  <c r="AA12" i="1" s="1"/>
  <c r="Z13" i="1" a="1"/>
  <c r="Z13" i="1" s="1"/>
  <c r="AA13" i="1" s="1"/>
  <c r="Z14" i="1" a="1"/>
  <c r="Z14" i="1" s="1"/>
  <c r="AA14" i="1" s="1"/>
  <c r="Z15" i="1" a="1"/>
  <c r="Z15" i="1" s="1"/>
  <c r="AA15" i="1" s="1"/>
  <c r="Z16" i="1" a="1"/>
  <c r="Z16" i="1" s="1"/>
  <c r="AA16" i="1" s="1"/>
  <c r="Z17" i="1" a="1"/>
  <c r="Z17" i="1" s="1"/>
  <c r="AA17" i="1" s="1"/>
  <c r="Z18" i="1" a="1"/>
  <c r="Z18" i="1" s="1"/>
  <c r="AA18" i="1" s="1"/>
  <c r="Z19" i="1" a="1"/>
  <c r="Z19" i="1" s="1"/>
  <c r="AA19" i="1" s="1"/>
  <c r="Z20" i="1" a="1"/>
  <c r="Z20" i="1" s="1"/>
  <c r="AA20" i="1" s="1"/>
  <c r="Z21" i="1" a="1"/>
  <c r="Z21" i="1" s="1"/>
  <c r="AA21" i="1" s="1"/>
  <c r="Z22" i="1" a="1"/>
  <c r="Z22" i="1" s="1"/>
  <c r="AA22" i="1" s="1"/>
  <c r="Z23" i="1" a="1"/>
  <c r="Z23" i="1" s="1"/>
  <c r="AA23" i="1" s="1"/>
  <c r="Z24" i="1" a="1"/>
  <c r="Z24" i="1" s="1"/>
  <c r="AA24" i="1" s="1"/>
  <c r="Z25" i="1" a="1"/>
  <c r="Z25" i="1" s="1"/>
  <c r="AA25" i="1" s="1"/>
  <c r="Z26" i="1" a="1"/>
  <c r="Z26" i="1" s="1"/>
  <c r="AA26" i="1" s="1"/>
  <c r="Z27" i="1" a="1"/>
  <c r="Z27" i="1" s="1"/>
  <c r="AA27" i="1" s="1"/>
  <c r="Z28" i="1" a="1"/>
  <c r="Z28" i="1" s="1"/>
  <c r="AA28" i="1" s="1"/>
  <c r="Z29" i="1" a="1"/>
  <c r="Z29" i="1" s="1"/>
  <c r="AA29" i="1" s="1"/>
  <c r="Z30" i="1" a="1"/>
  <c r="Z30" i="1" s="1"/>
  <c r="AA30" i="1" s="1"/>
  <c r="Z31" i="1" a="1"/>
  <c r="Z31" i="1" s="1"/>
  <c r="AA31" i="1" s="1"/>
  <c r="Z32" i="1" a="1"/>
  <c r="Z32" i="1" s="1"/>
  <c r="AA32" i="1" s="1"/>
  <c r="Z33" i="1" a="1"/>
  <c r="Z33" i="1" s="1"/>
  <c r="AA33" i="1" s="1"/>
  <c r="Z34" i="1" a="1"/>
  <c r="Z34" i="1" s="1"/>
  <c r="AA34" i="1" s="1"/>
  <c r="Z35" i="1" a="1"/>
  <c r="Z35" i="1" s="1"/>
  <c r="AA35" i="1" s="1"/>
  <c r="Z36" i="1" a="1"/>
  <c r="Z36" i="1" s="1"/>
  <c r="AA36" i="1" s="1"/>
  <c r="Z37" i="1" a="1"/>
  <c r="Z37" i="1" s="1"/>
  <c r="AA37" i="1" s="1"/>
  <c r="Z38" i="1" a="1"/>
  <c r="Z38" i="1" s="1"/>
  <c r="AA38" i="1" s="1"/>
  <c r="Z39" i="1" a="1"/>
  <c r="Z39" i="1" s="1"/>
  <c r="AA39" i="1" s="1"/>
  <c r="Z40" i="1" a="1"/>
  <c r="Z40" i="1" s="1"/>
  <c r="AA40" i="1" s="1"/>
  <c r="Z41" i="1" a="1"/>
  <c r="Z41" i="1" s="1"/>
  <c r="AA41" i="1" s="1"/>
  <c r="Z42" i="1" a="1"/>
  <c r="Z42" i="1" s="1"/>
  <c r="AA42" i="1" s="1"/>
  <c r="Z43" i="1" a="1"/>
  <c r="Z43" i="1" s="1"/>
  <c r="AA43" i="1" s="1"/>
  <c r="Z44" i="1" a="1"/>
  <c r="Z44" i="1" s="1"/>
  <c r="AA44" i="1" s="1"/>
  <c r="Z45" i="1" a="1"/>
  <c r="Z45" i="1" s="1"/>
  <c r="AA45" i="1" s="1"/>
  <c r="Z46" i="1" a="1"/>
  <c r="Z46" i="1" s="1"/>
  <c r="AA46" i="1" s="1"/>
  <c r="Z47" i="1" a="1"/>
  <c r="Z47" i="1" s="1"/>
  <c r="AA47" i="1" s="1"/>
  <c r="Z48" i="1" a="1"/>
  <c r="Z48" i="1" s="1"/>
  <c r="AA48" i="1" s="1"/>
  <c r="Z49" i="1" a="1"/>
  <c r="Z49" i="1" s="1"/>
  <c r="AA49" i="1" s="1"/>
  <c r="Z50" i="1" a="1"/>
  <c r="Z50" i="1" s="1"/>
  <c r="AA50" i="1" s="1"/>
  <c r="Z51" i="1" a="1"/>
  <c r="Z51" i="1" s="1"/>
  <c r="AA51" i="1" s="1"/>
  <c r="Z52" i="1" a="1"/>
  <c r="Z52" i="1" s="1"/>
  <c r="AA52" i="1" s="1"/>
  <c r="Z53" i="1" a="1"/>
  <c r="Z53" i="1" s="1"/>
  <c r="AA53" i="1" s="1"/>
  <c r="Z54" i="1" a="1"/>
  <c r="Z54" i="1" s="1"/>
  <c r="AA54" i="1" s="1"/>
  <c r="Z55" i="1" a="1"/>
  <c r="Z55" i="1" s="1"/>
  <c r="AA55" i="1" s="1"/>
  <c r="Z56" i="1" a="1"/>
  <c r="Z56" i="1" s="1"/>
  <c r="AA56" i="1" s="1"/>
  <c r="Z57" i="1" a="1"/>
  <c r="Z57" i="1" s="1"/>
  <c r="AA57" i="1" s="1"/>
  <c r="Z58" i="1" a="1"/>
  <c r="Z58" i="1" s="1"/>
  <c r="AA58" i="1" s="1"/>
  <c r="Z59" i="1" a="1"/>
  <c r="Z59" i="1" s="1"/>
  <c r="AA59" i="1" s="1"/>
  <c r="Z60" i="1" a="1"/>
  <c r="Z60" i="1" s="1"/>
  <c r="AA60" i="1" s="1"/>
  <c r="Z61" i="1" a="1"/>
  <c r="Z61" i="1" s="1"/>
  <c r="AA61" i="1" s="1"/>
  <c r="Z62" i="1" a="1"/>
  <c r="Z62" i="1" s="1"/>
  <c r="AA62" i="1" s="1"/>
  <c r="Z63" i="1" a="1"/>
  <c r="Z63" i="1" s="1"/>
  <c r="AA63" i="1" s="1"/>
  <c r="Z64" i="1" a="1"/>
  <c r="Z64" i="1" s="1"/>
  <c r="AA64" i="1" s="1"/>
  <c r="Z65" i="1" a="1"/>
  <c r="Z65" i="1" s="1"/>
  <c r="AA65" i="1" s="1"/>
  <c r="Z66" i="1" a="1"/>
  <c r="Z66" i="1" s="1"/>
  <c r="AA66" i="1" s="1"/>
  <c r="Z67" i="1" a="1"/>
  <c r="Z67" i="1" s="1"/>
  <c r="AA67" i="1" s="1"/>
  <c r="Z68" i="1" a="1"/>
  <c r="Z68" i="1" s="1"/>
  <c r="AA68" i="1" s="1"/>
  <c r="Z69" i="1" a="1"/>
  <c r="Z69" i="1" s="1"/>
  <c r="AA69" i="1" s="1"/>
  <c r="Z70" i="1" a="1"/>
  <c r="Z70" i="1" s="1"/>
  <c r="AA70" i="1" s="1"/>
  <c r="Z71" i="1" a="1"/>
  <c r="Z71" i="1" s="1"/>
  <c r="AA71" i="1" s="1"/>
  <c r="Z72" i="1" a="1"/>
  <c r="Z72" i="1" s="1"/>
  <c r="AA72" i="1" s="1"/>
  <c r="Z73" i="1" a="1"/>
  <c r="Z73" i="1" s="1"/>
  <c r="AA73" i="1" s="1"/>
  <c r="Z74" i="1" a="1"/>
  <c r="Z74" i="1" s="1"/>
  <c r="AA74" i="1" s="1"/>
  <c r="Z75" i="1" a="1"/>
  <c r="Z75" i="1" s="1"/>
  <c r="AA75" i="1" s="1"/>
  <c r="Z76" i="1" a="1"/>
  <c r="Z76" i="1" s="1"/>
  <c r="AA76" i="1" s="1"/>
  <c r="Z77" i="1" a="1"/>
  <c r="Z77" i="1" s="1"/>
  <c r="AA77" i="1" s="1"/>
  <c r="Z78" i="1" a="1"/>
  <c r="Z78" i="1" s="1"/>
  <c r="AA78" i="1" s="1"/>
  <c r="Z79" i="1" a="1"/>
  <c r="Z79" i="1" s="1"/>
  <c r="AA79" i="1" s="1"/>
  <c r="Z80" i="1" a="1"/>
  <c r="Z80" i="1" s="1"/>
  <c r="AA80" i="1" s="1"/>
  <c r="Z81" i="1" a="1"/>
  <c r="Z81" i="1" s="1"/>
  <c r="AA81" i="1" s="1"/>
  <c r="Z82" i="1" a="1"/>
  <c r="Z82" i="1" s="1"/>
  <c r="AA82" i="1" s="1"/>
  <c r="Z83" i="1" a="1"/>
  <c r="Z83" i="1" s="1"/>
  <c r="AA83" i="1" s="1"/>
  <c r="Z84" i="1" a="1"/>
  <c r="Z84" i="1" s="1"/>
  <c r="AA84" i="1" s="1"/>
  <c r="Z85" i="1" a="1"/>
  <c r="Z85" i="1" s="1"/>
  <c r="AA85" i="1" s="1"/>
  <c r="Z86" i="1" a="1"/>
  <c r="Z86" i="1" s="1"/>
  <c r="AA86" i="1" s="1"/>
  <c r="Z87" i="1" a="1"/>
  <c r="Z87" i="1" s="1"/>
  <c r="AA87" i="1" s="1"/>
  <c r="Z88" i="1" a="1"/>
  <c r="Z88" i="1" s="1"/>
  <c r="AA88" i="1" s="1"/>
  <c r="Z89" i="1" a="1"/>
  <c r="Z89" i="1" s="1"/>
  <c r="AA89" i="1" s="1"/>
  <c r="Z90" i="1" a="1"/>
  <c r="Z90" i="1" s="1"/>
  <c r="AA90" i="1" s="1"/>
  <c r="Z91" i="1" a="1"/>
  <c r="Z91" i="1" s="1"/>
  <c r="AA91" i="1" s="1"/>
  <c r="Z92" i="1" a="1"/>
  <c r="Z92" i="1" s="1"/>
  <c r="AA92" i="1" s="1"/>
  <c r="Z93" i="1" a="1"/>
  <c r="Z93" i="1" s="1"/>
  <c r="AA93" i="1" s="1"/>
  <c r="Z94" i="1" a="1"/>
  <c r="Z94" i="1" s="1"/>
  <c r="AA94" i="1" s="1"/>
  <c r="Z95" i="1" a="1"/>
  <c r="Z95" i="1" s="1"/>
  <c r="AA95" i="1" s="1"/>
  <c r="Z96" i="1" a="1"/>
  <c r="Z96" i="1" s="1"/>
  <c r="AA96" i="1" s="1"/>
  <c r="Z97" i="1" a="1"/>
  <c r="Z97" i="1" s="1"/>
  <c r="AA97" i="1" s="1"/>
  <c r="Z98" i="1" a="1"/>
  <c r="Z98" i="1" s="1"/>
  <c r="AA98" i="1" s="1"/>
  <c r="Z99" i="1" a="1"/>
  <c r="Z99" i="1" s="1"/>
  <c r="AA99" i="1" s="1"/>
  <c r="Z100" i="1" a="1"/>
  <c r="Z100" i="1" s="1"/>
  <c r="AA100" i="1" s="1"/>
  <c r="Z101" i="1" a="1"/>
  <c r="Z101" i="1" s="1"/>
  <c r="AA101" i="1" s="1"/>
  <c r="Z102" i="1" a="1"/>
  <c r="Z102" i="1" s="1"/>
  <c r="AA102" i="1" s="1"/>
  <c r="Z103" i="1" a="1"/>
  <c r="Z103" i="1" s="1"/>
  <c r="AA103" i="1" s="1"/>
  <c r="Z104" i="1" a="1"/>
  <c r="Z104" i="1" s="1"/>
  <c r="AA104" i="1" s="1"/>
  <c r="Z105" i="1" a="1"/>
  <c r="Z105" i="1" s="1"/>
  <c r="AA105" i="1" s="1"/>
  <c r="Z106" i="1" a="1"/>
  <c r="Z106" i="1" s="1"/>
  <c r="AA106" i="1" s="1"/>
  <c r="Z107" i="1" a="1"/>
  <c r="Z107" i="1" s="1"/>
  <c r="AA107" i="1" s="1"/>
  <c r="Z108" i="1" a="1"/>
  <c r="Z108" i="1" s="1"/>
  <c r="AA108" i="1" s="1"/>
  <c r="Z109" i="1" a="1"/>
  <c r="Z109" i="1" s="1"/>
  <c r="AA109" i="1" s="1"/>
  <c r="Z110" i="1" a="1"/>
  <c r="Z110" i="1" s="1"/>
  <c r="AA110" i="1" s="1"/>
  <c r="Z111" i="1" a="1"/>
  <c r="Z111" i="1" s="1"/>
  <c r="AA111" i="1" s="1"/>
  <c r="Z112" i="1" a="1"/>
  <c r="Z112" i="1" s="1"/>
  <c r="AA112" i="1" s="1"/>
  <c r="Z113" i="1" a="1"/>
  <c r="Z113" i="1" s="1"/>
  <c r="AA113" i="1" s="1"/>
  <c r="Z114" i="1" a="1"/>
  <c r="Z114" i="1" s="1"/>
  <c r="AA114" i="1" s="1"/>
  <c r="Z115" i="1" a="1"/>
  <c r="Z115" i="1" s="1"/>
  <c r="AA115" i="1" s="1"/>
  <c r="Z116" i="1" a="1"/>
  <c r="Z116" i="1" s="1"/>
  <c r="AA116" i="1" s="1"/>
  <c r="Z117" i="1" a="1"/>
  <c r="Z117" i="1" s="1"/>
  <c r="AA117" i="1" s="1"/>
  <c r="Z118" i="1" a="1"/>
  <c r="Z118" i="1" s="1"/>
  <c r="AA118" i="1" s="1"/>
  <c r="Z119" i="1" a="1"/>
  <c r="Z119" i="1" s="1"/>
  <c r="AA119" i="1" s="1"/>
  <c r="Z120" i="1" a="1"/>
  <c r="Z120" i="1" s="1"/>
  <c r="AA120" i="1" s="1"/>
  <c r="Z121" i="1" a="1"/>
  <c r="Z121" i="1" s="1"/>
  <c r="AA121" i="1" s="1"/>
  <c r="Z122" i="1" a="1"/>
  <c r="Z122" i="1" s="1"/>
  <c r="AA122" i="1" s="1"/>
  <c r="Z123" i="1" a="1"/>
  <c r="Z123" i="1" s="1"/>
  <c r="AA123" i="1" s="1"/>
  <c r="Z124" i="1" a="1"/>
  <c r="Z124" i="1" s="1"/>
  <c r="AA124" i="1" s="1"/>
  <c r="Z125" i="1" a="1"/>
  <c r="Z125" i="1" s="1"/>
  <c r="AA125" i="1" s="1"/>
  <c r="Z126" i="1" a="1"/>
  <c r="Z126" i="1" s="1"/>
  <c r="AA126" i="1" s="1"/>
  <c r="Z127" i="1" a="1"/>
  <c r="Z127" i="1" s="1"/>
  <c r="AA127" i="1" s="1"/>
  <c r="Z128" i="1" a="1"/>
  <c r="Z128" i="1" s="1"/>
  <c r="AA128" i="1" s="1"/>
  <c r="Z129" i="1" a="1"/>
  <c r="Z129" i="1" s="1"/>
  <c r="AA129" i="1" s="1"/>
  <c r="Z130" i="1" a="1"/>
  <c r="Z130" i="1" s="1"/>
  <c r="AA130" i="1" s="1"/>
  <c r="Z131" i="1" a="1"/>
  <c r="Z131" i="1" s="1"/>
  <c r="AA131" i="1" s="1"/>
  <c r="Z132" i="1" a="1"/>
  <c r="Z132" i="1" s="1"/>
  <c r="AA132" i="1" s="1"/>
  <c r="Z133" i="1" a="1"/>
  <c r="Z133" i="1" s="1"/>
  <c r="AA133" i="1" s="1"/>
  <c r="Z134" i="1" a="1"/>
  <c r="Z134" i="1" s="1"/>
  <c r="AA134" i="1" s="1"/>
  <c r="Z135" i="1" a="1"/>
  <c r="Z135" i="1" s="1"/>
  <c r="AA135" i="1" s="1"/>
  <c r="Z136" i="1" a="1"/>
  <c r="Z136" i="1" s="1"/>
  <c r="AA136" i="1" s="1"/>
  <c r="Z137" i="1" a="1"/>
  <c r="Z137" i="1" s="1"/>
  <c r="AA137" i="1" s="1"/>
  <c r="Z138" i="1" a="1"/>
  <c r="Z138" i="1" s="1"/>
  <c r="AA138" i="1" s="1"/>
  <c r="Z139" i="1" a="1"/>
  <c r="Z139" i="1" s="1"/>
  <c r="AA139" i="1" s="1"/>
  <c r="Z140" i="1" a="1"/>
  <c r="Z140" i="1" s="1"/>
  <c r="AA140" i="1" s="1"/>
  <c r="Z141" i="1" a="1"/>
  <c r="Z141" i="1" s="1"/>
  <c r="AA141" i="1" s="1"/>
  <c r="Z142" i="1" a="1"/>
  <c r="Z142" i="1" s="1"/>
  <c r="AA142" i="1" s="1"/>
  <c r="Z143" i="1" a="1"/>
  <c r="Z143" i="1" s="1"/>
  <c r="AA143" i="1" s="1"/>
  <c r="Z144" i="1" a="1"/>
  <c r="Z144" i="1" s="1"/>
  <c r="AA144" i="1" s="1"/>
  <c r="Z145" i="1" a="1"/>
  <c r="Z145" i="1" s="1"/>
  <c r="AA145" i="1" s="1"/>
  <c r="Z146" i="1" a="1"/>
  <c r="Z146" i="1" s="1"/>
  <c r="AA146" i="1" s="1"/>
  <c r="Z147" i="1" a="1"/>
  <c r="Z147" i="1" s="1"/>
  <c r="AA147" i="1" s="1"/>
  <c r="Z148" i="1" a="1"/>
  <c r="Z148" i="1" s="1"/>
  <c r="AA148" i="1" s="1"/>
  <c r="Z149" i="1" a="1"/>
  <c r="Z149" i="1" s="1"/>
  <c r="AA149" i="1" s="1"/>
  <c r="Z150" i="1" a="1"/>
  <c r="Z150" i="1" s="1"/>
  <c r="AA150" i="1" s="1"/>
  <c r="Z151" i="1" a="1"/>
  <c r="Z151" i="1" s="1"/>
  <c r="AA151" i="1" s="1"/>
  <c r="Z152" i="1" a="1"/>
  <c r="Z152" i="1" s="1"/>
  <c r="AA152" i="1" s="1"/>
  <c r="Z153" i="1" a="1"/>
  <c r="Z153" i="1" s="1"/>
  <c r="AA153" i="1" s="1"/>
  <c r="Z154" i="1" a="1"/>
  <c r="Z154" i="1" s="1"/>
  <c r="AA154" i="1" s="1"/>
  <c r="Z155" i="1" a="1"/>
  <c r="Z155" i="1" s="1"/>
  <c r="AA155" i="1" s="1"/>
  <c r="Z156" i="1" a="1"/>
  <c r="Z156" i="1" s="1"/>
  <c r="AA156" i="1" s="1"/>
  <c r="Z157" i="1" a="1"/>
  <c r="Z157" i="1" s="1"/>
  <c r="AA157" i="1" s="1"/>
  <c r="Z158" i="1" a="1"/>
  <c r="Z158" i="1" s="1"/>
  <c r="AA158" i="1" s="1"/>
  <c r="Z159" i="1" a="1"/>
  <c r="Z159" i="1" s="1"/>
  <c r="AA159" i="1" s="1"/>
  <c r="Z160" i="1" a="1"/>
  <c r="Z160" i="1" s="1"/>
  <c r="AA160" i="1" s="1"/>
  <c r="Z161" i="1" a="1"/>
  <c r="Z161" i="1" s="1"/>
  <c r="AA161" i="1" s="1"/>
  <c r="Z162" i="1" a="1"/>
  <c r="Z162" i="1" s="1"/>
  <c r="AA162" i="1" s="1"/>
  <c r="Z163" i="1" a="1"/>
  <c r="Z163" i="1" s="1"/>
  <c r="AA163" i="1" s="1"/>
  <c r="Z164" i="1" a="1"/>
  <c r="Z164" i="1" s="1"/>
  <c r="AA164" i="1" s="1"/>
  <c r="Z165" i="1" a="1"/>
  <c r="Z165" i="1" s="1"/>
  <c r="AA165" i="1" s="1"/>
  <c r="Z166" i="1" a="1"/>
  <c r="Z166" i="1" s="1"/>
  <c r="AA166" i="1" s="1"/>
  <c r="Z167" i="1" a="1"/>
  <c r="Z167" i="1" s="1"/>
  <c r="AA167" i="1" s="1"/>
  <c r="Z168" i="1" a="1"/>
  <c r="Z168" i="1" s="1"/>
  <c r="AA168" i="1" s="1"/>
  <c r="Z169" i="1" a="1"/>
  <c r="Z169" i="1" s="1"/>
  <c r="AA169" i="1" s="1"/>
  <c r="Z170" i="1" a="1"/>
  <c r="Z170" i="1" s="1"/>
  <c r="AA170" i="1" s="1"/>
  <c r="Z171" i="1" a="1"/>
  <c r="Z171" i="1" s="1"/>
  <c r="AA171" i="1" s="1"/>
  <c r="Z172" i="1" a="1"/>
  <c r="Z172" i="1" s="1"/>
  <c r="AA172" i="1" s="1"/>
  <c r="Z173" i="1" a="1"/>
  <c r="Z173" i="1" s="1"/>
  <c r="AA173" i="1" s="1"/>
  <c r="Z174" i="1" a="1"/>
  <c r="Z174" i="1" s="1"/>
  <c r="AA174" i="1" s="1"/>
  <c r="Z175" i="1" a="1"/>
  <c r="Z175" i="1" s="1"/>
  <c r="AA175" i="1" s="1"/>
  <c r="Z176" i="1" a="1"/>
  <c r="Z176" i="1" s="1"/>
  <c r="AA176" i="1" s="1"/>
  <c r="Z177" i="1" a="1"/>
  <c r="Z177" i="1" s="1"/>
  <c r="AA177" i="1" s="1"/>
  <c r="Z178" i="1" a="1"/>
  <c r="Z178" i="1" s="1"/>
  <c r="AA178" i="1" s="1"/>
  <c r="Z179" i="1" a="1"/>
  <c r="Z179" i="1" s="1"/>
  <c r="AA179" i="1" s="1"/>
  <c r="Z180" i="1" a="1"/>
  <c r="Z180" i="1" s="1"/>
  <c r="AA180" i="1" s="1"/>
  <c r="Z181" i="1" a="1"/>
  <c r="Z181" i="1" s="1"/>
  <c r="AA181" i="1" s="1"/>
  <c r="Z182" i="1" a="1"/>
  <c r="Z182" i="1" s="1"/>
  <c r="AA182" i="1" s="1"/>
  <c r="Z183" i="1" a="1"/>
  <c r="Z183" i="1" s="1"/>
  <c r="AA183" i="1" s="1"/>
  <c r="Z184" i="1" a="1"/>
  <c r="Z184" i="1" s="1"/>
  <c r="AA184" i="1" s="1"/>
  <c r="Z185" i="1" a="1"/>
  <c r="Z185" i="1" s="1"/>
  <c r="AA185" i="1" s="1"/>
  <c r="Z186" i="1" a="1"/>
  <c r="Z186" i="1" s="1"/>
  <c r="AA186" i="1" s="1"/>
  <c r="Z187" i="1" a="1"/>
  <c r="Z187" i="1" s="1"/>
  <c r="AA187" i="1" s="1"/>
  <c r="Z188" i="1" a="1"/>
  <c r="Z188" i="1" s="1"/>
  <c r="AA188" i="1" s="1"/>
  <c r="Z189" i="1" a="1"/>
  <c r="Z189" i="1" s="1"/>
  <c r="AA189" i="1" s="1"/>
  <c r="Z190" i="1" a="1"/>
  <c r="Z190" i="1" s="1"/>
  <c r="AA190" i="1" s="1"/>
  <c r="Z191" i="1" a="1"/>
  <c r="Z191" i="1" s="1"/>
  <c r="AA191" i="1" s="1"/>
  <c r="Z192" i="1" a="1"/>
  <c r="Z192" i="1" s="1"/>
  <c r="AA192" i="1" s="1"/>
  <c r="Z193" i="1" a="1"/>
  <c r="Z193" i="1" s="1"/>
  <c r="AA193" i="1" s="1"/>
  <c r="Z194" i="1" a="1"/>
  <c r="Z194" i="1" s="1"/>
  <c r="AA194" i="1" s="1"/>
  <c r="Z195" i="1" a="1"/>
  <c r="Z195" i="1" s="1"/>
  <c r="AA195" i="1" s="1"/>
  <c r="Z196" i="1" a="1"/>
  <c r="Z196" i="1" s="1"/>
  <c r="AA196" i="1" s="1"/>
  <c r="Z197" i="1" a="1"/>
  <c r="Z197" i="1" s="1"/>
  <c r="AA197" i="1" s="1"/>
  <c r="Z198" i="1" a="1"/>
  <c r="Z198" i="1" s="1"/>
  <c r="AA198" i="1" s="1"/>
  <c r="Z199" i="1" a="1"/>
  <c r="Z199" i="1" s="1"/>
  <c r="AA199" i="1" s="1"/>
  <c r="Z200" i="1" a="1"/>
  <c r="Z200" i="1" s="1"/>
  <c r="AA200" i="1" s="1"/>
  <c r="Z201" i="1" a="1"/>
  <c r="Z201" i="1" s="1"/>
  <c r="AA201" i="1" s="1"/>
  <c r="Z202" i="1" a="1"/>
  <c r="Z202" i="1" s="1"/>
  <c r="AA202" i="1" s="1"/>
  <c r="Z203" i="1" a="1"/>
  <c r="Z203" i="1" s="1"/>
  <c r="AA203" i="1" s="1"/>
  <c r="Z204" i="1" a="1"/>
  <c r="Z204" i="1" s="1"/>
  <c r="AA204" i="1" s="1"/>
  <c r="Z205" i="1" a="1"/>
  <c r="Z205" i="1" s="1"/>
  <c r="AA205" i="1" s="1"/>
  <c r="Z206" i="1" a="1"/>
  <c r="Z206" i="1" s="1"/>
  <c r="AA206" i="1" s="1"/>
  <c r="Z207" i="1" a="1"/>
  <c r="Z207" i="1" s="1"/>
  <c r="AA207" i="1" s="1"/>
  <c r="Z208" i="1" a="1"/>
  <c r="Z208" i="1" s="1"/>
  <c r="AA208" i="1" s="1"/>
  <c r="Z209" i="1" a="1"/>
  <c r="Z209" i="1" s="1"/>
  <c r="AA209" i="1" s="1"/>
  <c r="Z210" i="1" a="1"/>
  <c r="Z210" i="1" s="1"/>
  <c r="AA210" i="1" s="1"/>
  <c r="Z211" i="1" a="1"/>
  <c r="Z211" i="1" s="1"/>
  <c r="AA211" i="1" s="1"/>
  <c r="Z212" i="1" a="1"/>
  <c r="Z212" i="1" s="1"/>
  <c r="AA212" i="1" s="1"/>
  <c r="Z213" i="1" a="1"/>
  <c r="Z213" i="1" s="1"/>
  <c r="AA213" i="1" s="1"/>
  <c r="Z214" i="1" a="1"/>
  <c r="Z214" i="1" s="1"/>
  <c r="AA214" i="1" s="1"/>
  <c r="Z215" i="1" a="1"/>
  <c r="Z215" i="1" s="1"/>
  <c r="AA215" i="1" s="1"/>
  <c r="Z216" i="1" a="1"/>
  <c r="Z216" i="1" s="1"/>
  <c r="AA216" i="1" s="1"/>
  <c r="Z217" i="1" a="1"/>
  <c r="Z217" i="1" s="1"/>
  <c r="AA217" i="1" s="1"/>
  <c r="Z218" i="1" a="1"/>
  <c r="Z218" i="1" s="1"/>
  <c r="AA218" i="1" s="1"/>
  <c r="Z219" i="1" a="1"/>
  <c r="Z219" i="1" s="1"/>
  <c r="AA219" i="1" s="1"/>
  <c r="Z220" i="1" a="1"/>
  <c r="Z220" i="1" s="1"/>
  <c r="AA220" i="1" s="1"/>
  <c r="Z221" i="1" a="1"/>
  <c r="Z221" i="1" s="1"/>
  <c r="AA221" i="1" s="1"/>
  <c r="Z222" i="1" a="1"/>
  <c r="Z222" i="1" s="1"/>
  <c r="AA222" i="1" s="1"/>
  <c r="Z223" i="1" a="1"/>
  <c r="Z223" i="1" s="1"/>
  <c r="AA223" i="1" s="1"/>
  <c r="Z224" i="1" a="1"/>
  <c r="Z224" i="1" s="1"/>
  <c r="AA224" i="1" s="1"/>
  <c r="Z225" i="1" a="1"/>
  <c r="Z225" i="1" s="1"/>
  <c r="AA225" i="1" s="1"/>
  <c r="Z226" i="1" a="1"/>
  <c r="Z226" i="1" s="1"/>
  <c r="AA226" i="1" s="1"/>
  <c r="Z227" i="1" a="1"/>
  <c r="Z227" i="1" s="1"/>
  <c r="AA227" i="1" s="1"/>
  <c r="Z228" i="1" a="1"/>
  <c r="Z228" i="1" s="1"/>
  <c r="AA228" i="1" s="1"/>
  <c r="Z229" i="1" a="1"/>
  <c r="Z229" i="1" s="1"/>
  <c r="AA229" i="1" s="1"/>
  <c r="Z230" i="1" a="1"/>
  <c r="Z230" i="1" s="1"/>
  <c r="AA230" i="1" s="1"/>
  <c r="Z231" i="1" a="1"/>
  <c r="Z231" i="1" s="1"/>
  <c r="AA231" i="1" s="1"/>
  <c r="Z232" i="1" a="1"/>
  <c r="Z232" i="1" s="1"/>
  <c r="AA232" i="1" s="1"/>
  <c r="Z233" i="1" a="1"/>
  <c r="Z233" i="1" s="1"/>
  <c r="AA233" i="1" s="1"/>
  <c r="Z234" i="1" a="1"/>
  <c r="Z234" i="1" s="1"/>
  <c r="AA234" i="1" s="1"/>
  <c r="Z235" i="1" a="1"/>
  <c r="Z235" i="1" s="1"/>
  <c r="AA235" i="1" s="1"/>
  <c r="Z236" i="1" a="1"/>
  <c r="Z236" i="1" s="1"/>
  <c r="AA236" i="1" s="1"/>
  <c r="Z237" i="1" a="1"/>
  <c r="Z237" i="1" s="1"/>
  <c r="AA237" i="1" s="1"/>
  <c r="Z238" i="1" a="1"/>
  <c r="Z238" i="1" s="1"/>
  <c r="AA238" i="1" s="1"/>
  <c r="Z239" i="1" a="1"/>
  <c r="Z239" i="1" s="1"/>
  <c r="AA239" i="1" s="1"/>
  <c r="Z240" i="1" a="1"/>
  <c r="Z240" i="1" s="1"/>
  <c r="AA240" i="1" s="1"/>
  <c r="Z241" i="1" a="1"/>
  <c r="Z241" i="1" s="1"/>
  <c r="AA241" i="1" s="1"/>
  <c r="Z242" i="1" a="1"/>
  <c r="Z242" i="1" s="1"/>
  <c r="AA242" i="1" s="1"/>
  <c r="Z243" i="1" a="1"/>
  <c r="Z243" i="1" s="1"/>
  <c r="AA243" i="1" s="1"/>
  <c r="Z244" i="1" a="1"/>
  <c r="Z244" i="1" s="1"/>
  <c r="AA244" i="1" s="1"/>
  <c r="Z245" i="1" a="1"/>
  <c r="Z245" i="1" s="1"/>
  <c r="AA245" i="1" s="1"/>
  <c r="Z246" i="1" a="1"/>
  <c r="Z246" i="1" s="1"/>
  <c r="AA246" i="1" s="1"/>
  <c r="Z247" i="1" a="1"/>
  <c r="Z247" i="1" s="1"/>
  <c r="AA247" i="1" s="1"/>
  <c r="Z248" i="1" a="1"/>
  <c r="Z248" i="1" s="1"/>
  <c r="AA248" i="1" s="1"/>
  <c r="Z249" i="1" a="1"/>
  <c r="Z249" i="1" s="1"/>
  <c r="AA249" i="1" s="1"/>
  <c r="Z250" i="1" a="1"/>
  <c r="Z250" i="1" s="1"/>
  <c r="AA250" i="1" s="1"/>
  <c r="Z251" i="1" a="1"/>
  <c r="Z251" i="1" s="1"/>
  <c r="AA251" i="1" s="1"/>
  <c r="Z252" i="1" a="1"/>
  <c r="Z252" i="1" s="1"/>
  <c r="AA252" i="1" s="1"/>
  <c r="Z253" i="1" a="1"/>
  <c r="Z253" i="1" s="1"/>
  <c r="AA253" i="1" s="1"/>
  <c r="Z254" i="1" a="1"/>
  <c r="Z254" i="1" s="1"/>
  <c r="AA254" i="1" s="1"/>
  <c r="Z255" i="1" a="1"/>
  <c r="Z255" i="1" s="1"/>
  <c r="AA255" i="1" s="1"/>
  <c r="Z256" i="1" a="1"/>
  <c r="Z256" i="1" s="1"/>
  <c r="AA256" i="1" s="1"/>
  <c r="Z257" i="1" a="1"/>
  <c r="Z257" i="1" s="1"/>
  <c r="AA257" i="1" s="1"/>
  <c r="Z258" i="1" a="1"/>
  <c r="Z258" i="1" s="1"/>
  <c r="AA258" i="1" s="1"/>
  <c r="Z259" i="1" a="1"/>
  <c r="Z259" i="1" s="1"/>
  <c r="AA259" i="1" s="1"/>
  <c r="Z260" i="1" a="1"/>
  <c r="Z260" i="1" s="1"/>
  <c r="AA260" i="1" s="1"/>
  <c r="Z261" i="1" a="1"/>
  <c r="Z261" i="1" s="1"/>
  <c r="AA261" i="1" s="1"/>
  <c r="Z262" i="1" a="1"/>
  <c r="Z262" i="1" s="1"/>
  <c r="AA262" i="1" s="1"/>
  <c r="Z263" i="1" a="1"/>
  <c r="Z263" i="1" s="1"/>
  <c r="AA263" i="1" s="1"/>
  <c r="Z264" i="1" a="1"/>
  <c r="Z264" i="1" s="1"/>
  <c r="AA264" i="1" s="1"/>
  <c r="Z265" i="1" a="1"/>
  <c r="Z265" i="1" s="1"/>
  <c r="AA265" i="1" s="1"/>
  <c r="Z266" i="1" a="1"/>
  <c r="Z266" i="1" s="1"/>
  <c r="AA266" i="1" s="1"/>
  <c r="Z267" i="1" a="1"/>
  <c r="Z267" i="1" s="1"/>
  <c r="AA267" i="1" s="1"/>
  <c r="Z268" i="1" a="1"/>
  <c r="Z268" i="1" s="1"/>
  <c r="AA268" i="1" s="1"/>
  <c r="Z269" i="1" a="1"/>
  <c r="Z269" i="1" s="1"/>
  <c r="AA269" i="1" s="1"/>
  <c r="Z270" i="1" a="1"/>
  <c r="Z270" i="1" s="1"/>
  <c r="AA270" i="1" s="1"/>
  <c r="Z271" i="1" a="1"/>
  <c r="Z271" i="1" s="1"/>
  <c r="AA271" i="1" s="1"/>
  <c r="Z272" i="1" a="1"/>
  <c r="Z272" i="1" s="1"/>
  <c r="AA272" i="1" s="1"/>
  <c r="Z273" i="1" a="1"/>
  <c r="Z273" i="1" s="1"/>
  <c r="AA273" i="1" s="1"/>
  <c r="Z274" i="1" a="1"/>
  <c r="Z274" i="1" s="1"/>
  <c r="AA274" i="1" s="1"/>
  <c r="Z275" i="1" a="1"/>
  <c r="Z275" i="1" s="1"/>
  <c r="AA275" i="1" s="1"/>
  <c r="Z276" i="1" a="1"/>
  <c r="Z276" i="1" s="1"/>
  <c r="AA276" i="1" s="1"/>
  <c r="Z277" i="1" a="1"/>
  <c r="Z277" i="1" s="1"/>
  <c r="AA277" i="1" s="1"/>
  <c r="Z278" i="1" a="1"/>
  <c r="Z278" i="1" s="1"/>
  <c r="AA278" i="1" s="1"/>
  <c r="Z279" i="1" a="1"/>
  <c r="Z279" i="1" s="1"/>
  <c r="AA279" i="1" s="1"/>
  <c r="Z280" i="1" a="1"/>
  <c r="Z280" i="1" s="1"/>
  <c r="AA280" i="1" s="1"/>
  <c r="Z281" i="1" a="1"/>
  <c r="Z281" i="1" s="1"/>
  <c r="AA281" i="1" s="1"/>
  <c r="Z282" i="1" a="1"/>
  <c r="Z282" i="1" s="1"/>
  <c r="AA282" i="1" s="1"/>
  <c r="Z283" i="1" a="1"/>
  <c r="Z283" i="1" s="1"/>
  <c r="AA283" i="1" s="1"/>
  <c r="Z284" i="1" a="1"/>
  <c r="Z284" i="1" s="1"/>
  <c r="AA284" i="1" s="1"/>
  <c r="Z285" i="1" a="1"/>
  <c r="Z285" i="1" s="1"/>
  <c r="AA285" i="1" s="1"/>
  <c r="Z286" i="1" a="1"/>
  <c r="Z286" i="1" s="1"/>
  <c r="AA286" i="1" s="1"/>
  <c r="Z287" i="1" a="1"/>
  <c r="Z287" i="1" s="1"/>
  <c r="AA287" i="1" s="1"/>
  <c r="Z288" i="1" a="1"/>
  <c r="Z288" i="1" s="1"/>
  <c r="AA288" i="1" s="1"/>
  <c r="Z289" i="1" a="1"/>
  <c r="Z289" i="1" s="1"/>
  <c r="AA289" i="1" s="1"/>
  <c r="Z290" i="1" a="1"/>
  <c r="Z290" i="1" s="1"/>
  <c r="AA290" i="1" s="1"/>
  <c r="Z291" i="1" a="1"/>
  <c r="Z291" i="1" s="1"/>
  <c r="AA291" i="1" s="1"/>
  <c r="Z292" i="1" a="1"/>
  <c r="Z292" i="1" s="1"/>
  <c r="AA292" i="1" s="1"/>
  <c r="Z293" i="1" a="1"/>
  <c r="Z293" i="1" s="1"/>
  <c r="AA293" i="1" s="1"/>
  <c r="Z294" i="1" a="1"/>
  <c r="Z294" i="1" s="1"/>
  <c r="AA294" i="1" s="1"/>
  <c r="Z295" i="1" a="1"/>
  <c r="Z295" i="1" s="1"/>
  <c r="AA295" i="1" s="1"/>
  <c r="Z296" i="1" a="1"/>
  <c r="Z296" i="1" s="1"/>
  <c r="AA296" i="1" s="1"/>
  <c r="Z297" i="1" a="1"/>
  <c r="Z297" i="1" s="1"/>
  <c r="AA297" i="1" s="1"/>
  <c r="Z298" i="1" a="1"/>
  <c r="Z298" i="1" s="1"/>
  <c r="AA298" i="1" s="1"/>
  <c r="Z299" i="1" a="1"/>
  <c r="Z299" i="1" s="1"/>
  <c r="AA299" i="1" s="1"/>
  <c r="Z300" i="1" a="1"/>
  <c r="Z300" i="1" s="1"/>
  <c r="AA300" i="1" s="1"/>
  <c r="Z301" i="1" a="1"/>
  <c r="Z301" i="1" s="1"/>
  <c r="AA301" i="1" s="1"/>
  <c r="Z302" i="1" a="1"/>
  <c r="Z302" i="1" s="1"/>
  <c r="AA302" i="1" s="1"/>
  <c r="Z303" i="1" a="1"/>
  <c r="Z303" i="1" s="1"/>
  <c r="AA303" i="1" s="1"/>
  <c r="Z304" i="1" a="1"/>
  <c r="Z304" i="1" s="1"/>
  <c r="AA304" i="1" s="1"/>
  <c r="Z305" i="1" a="1"/>
  <c r="Z305" i="1" s="1"/>
  <c r="AA305" i="1" s="1"/>
  <c r="Z306" i="1" a="1"/>
  <c r="Z306" i="1" s="1"/>
  <c r="AA306" i="1" s="1"/>
  <c r="Z307" i="1" a="1"/>
  <c r="Z307" i="1" s="1"/>
  <c r="AA307" i="1" s="1"/>
  <c r="Z308" i="1" a="1"/>
  <c r="Z308" i="1" s="1"/>
  <c r="AA308" i="1" s="1"/>
  <c r="Z309" i="1" a="1"/>
  <c r="Z309" i="1" s="1"/>
  <c r="AA309" i="1" s="1"/>
  <c r="Z310" i="1" a="1"/>
  <c r="Z310" i="1" s="1"/>
  <c r="AA310" i="1" s="1"/>
  <c r="Z311" i="1" a="1"/>
  <c r="Z311" i="1" s="1"/>
  <c r="AA311" i="1" s="1"/>
  <c r="Z312" i="1" a="1"/>
  <c r="Z312" i="1" s="1"/>
  <c r="AA312" i="1" s="1"/>
  <c r="Z313" i="1" a="1"/>
  <c r="Z313" i="1" s="1"/>
  <c r="AA313" i="1" s="1"/>
  <c r="Z314" i="1" a="1"/>
  <c r="Z314" i="1" s="1"/>
  <c r="AA314" i="1" s="1"/>
  <c r="Z315" i="1" a="1"/>
  <c r="Z315" i="1" s="1"/>
  <c r="AA315" i="1" s="1"/>
  <c r="Z316" i="1" a="1"/>
  <c r="Z316" i="1" s="1"/>
  <c r="AA316" i="1" s="1"/>
  <c r="Z317" i="1" a="1"/>
  <c r="Z317" i="1" s="1"/>
  <c r="AA317" i="1" s="1"/>
  <c r="Z318" i="1" a="1"/>
  <c r="Z318" i="1" s="1"/>
  <c r="AA318" i="1" s="1"/>
  <c r="Z319" i="1" a="1"/>
  <c r="Z319" i="1" s="1"/>
  <c r="AA319" i="1" s="1"/>
  <c r="Z320" i="1" a="1"/>
  <c r="Z320" i="1" s="1"/>
  <c r="AA320" i="1" s="1"/>
  <c r="Z321" i="1" a="1"/>
  <c r="Z321" i="1" s="1"/>
  <c r="AA321" i="1" s="1"/>
  <c r="Z322" i="1" a="1"/>
  <c r="Z322" i="1" s="1"/>
  <c r="AA322" i="1" s="1"/>
  <c r="Z323" i="1" a="1"/>
  <c r="Z323" i="1" s="1"/>
  <c r="AA323" i="1" s="1"/>
  <c r="Z324" i="1" a="1"/>
  <c r="Z324" i="1" s="1"/>
  <c r="AA324" i="1" s="1"/>
  <c r="Z325" i="1" a="1"/>
  <c r="Z325" i="1" s="1"/>
  <c r="AA325" i="1" s="1"/>
  <c r="Z326" i="1" a="1"/>
  <c r="Z326" i="1" s="1"/>
  <c r="AA326" i="1" s="1"/>
  <c r="Z327" i="1" a="1"/>
  <c r="Z327" i="1" s="1"/>
  <c r="AA327" i="1" s="1"/>
  <c r="Z328" i="1" a="1"/>
  <c r="Z328" i="1" s="1"/>
  <c r="AA328" i="1" s="1"/>
  <c r="Z329" i="1" a="1"/>
  <c r="Z329" i="1" s="1"/>
  <c r="AA329" i="1" s="1"/>
  <c r="Z330" i="1" a="1"/>
  <c r="Z330" i="1" s="1"/>
  <c r="AA330" i="1" s="1"/>
  <c r="Z331" i="1" a="1"/>
  <c r="Z331" i="1" s="1"/>
  <c r="AA331" i="1" s="1"/>
  <c r="Z332" i="1" a="1"/>
  <c r="Z332" i="1" s="1"/>
  <c r="AA332" i="1" s="1"/>
  <c r="Z333" i="1" a="1"/>
  <c r="Z333" i="1" s="1"/>
  <c r="AA333" i="1" s="1"/>
  <c r="Z334" i="1" a="1"/>
  <c r="Z334" i="1" s="1"/>
  <c r="AA334" i="1" s="1"/>
  <c r="Z335" i="1" a="1"/>
  <c r="Z335" i="1" s="1"/>
  <c r="AA335" i="1" s="1"/>
  <c r="Z336" i="1" a="1"/>
  <c r="Z336" i="1" s="1"/>
  <c r="AA336" i="1" s="1"/>
  <c r="Z337" i="1" a="1"/>
  <c r="Z337" i="1" s="1"/>
  <c r="AA337" i="1" s="1"/>
  <c r="Z338" i="1" a="1"/>
  <c r="Z338" i="1" s="1"/>
  <c r="AA338" i="1" s="1"/>
  <c r="Z2" i="1" a="1"/>
  <c r="Z2" i="1" s="1"/>
  <c r="Y339" i="1"/>
  <c r="X339" i="1"/>
  <c r="W339" i="1"/>
  <c r="V339" i="1"/>
  <c r="U339" i="1"/>
  <c r="Y338" i="1"/>
  <c r="X338" i="1"/>
  <c r="W338" i="1"/>
  <c r="V338" i="1"/>
  <c r="U338" i="1"/>
  <c r="Y337" i="1"/>
  <c r="X337" i="1"/>
  <c r="W337" i="1"/>
  <c r="V337" i="1"/>
  <c r="U337" i="1"/>
  <c r="Y336" i="1"/>
  <c r="X336" i="1"/>
  <c r="W336" i="1"/>
  <c r="V336" i="1"/>
  <c r="U336" i="1"/>
  <c r="Y335" i="1"/>
  <c r="X335" i="1"/>
  <c r="W335" i="1"/>
  <c r="V335" i="1"/>
  <c r="U335" i="1"/>
  <c r="Y334" i="1"/>
  <c r="X334" i="1"/>
  <c r="W334" i="1"/>
  <c r="V334" i="1"/>
  <c r="U334" i="1"/>
  <c r="Y333" i="1"/>
  <c r="X333" i="1"/>
  <c r="W333" i="1"/>
  <c r="V333" i="1"/>
  <c r="U333" i="1"/>
  <c r="Y332" i="1"/>
  <c r="X332" i="1"/>
  <c r="W332" i="1"/>
  <c r="V332" i="1"/>
  <c r="U332" i="1"/>
  <c r="Y331" i="1"/>
  <c r="X331" i="1"/>
  <c r="W331" i="1"/>
  <c r="V331" i="1"/>
  <c r="U331" i="1"/>
  <c r="Y330" i="1"/>
  <c r="X330" i="1"/>
  <c r="W330" i="1"/>
  <c r="V330" i="1"/>
  <c r="U330" i="1"/>
  <c r="Y329" i="1"/>
  <c r="X329" i="1"/>
  <c r="W329" i="1"/>
  <c r="V329" i="1"/>
  <c r="U329" i="1"/>
  <c r="Y328" i="1"/>
  <c r="X328" i="1"/>
  <c r="W328" i="1"/>
  <c r="V328" i="1"/>
  <c r="U328" i="1"/>
  <c r="Y327" i="1"/>
  <c r="X327" i="1"/>
  <c r="W327" i="1"/>
  <c r="V327" i="1"/>
  <c r="U327" i="1"/>
  <c r="Y326" i="1"/>
  <c r="X326" i="1"/>
  <c r="W326" i="1"/>
  <c r="V326" i="1"/>
  <c r="U326" i="1"/>
  <c r="Y325" i="1"/>
  <c r="X325" i="1"/>
  <c r="W325" i="1"/>
  <c r="V325" i="1"/>
  <c r="U325" i="1"/>
  <c r="Y324" i="1"/>
  <c r="X324" i="1"/>
  <c r="W324" i="1"/>
  <c r="V324" i="1"/>
  <c r="U324" i="1"/>
  <c r="Y323" i="1"/>
  <c r="X323" i="1"/>
  <c r="W323" i="1"/>
  <c r="V323" i="1"/>
  <c r="U323" i="1"/>
  <c r="Y322" i="1"/>
  <c r="X322" i="1"/>
  <c r="W322" i="1"/>
  <c r="V322" i="1"/>
  <c r="U322" i="1"/>
  <c r="Y321" i="1"/>
  <c r="X321" i="1"/>
  <c r="W321" i="1"/>
  <c r="V321" i="1"/>
  <c r="U321" i="1"/>
  <c r="Y320" i="1"/>
  <c r="X320" i="1"/>
  <c r="W320" i="1"/>
  <c r="V320" i="1"/>
  <c r="U320" i="1"/>
  <c r="Y319" i="1"/>
  <c r="X319" i="1"/>
  <c r="W319" i="1"/>
  <c r="V319" i="1"/>
  <c r="U319" i="1"/>
  <c r="Y318" i="1"/>
  <c r="X318" i="1"/>
  <c r="W318" i="1"/>
  <c r="V318" i="1"/>
  <c r="U318" i="1"/>
  <c r="Y317" i="1"/>
  <c r="X317" i="1"/>
  <c r="W317" i="1"/>
  <c r="V317" i="1"/>
  <c r="U317" i="1"/>
  <c r="Y316" i="1"/>
  <c r="X316" i="1"/>
  <c r="W316" i="1"/>
  <c r="V316" i="1"/>
  <c r="U316" i="1"/>
  <c r="Y315" i="1"/>
  <c r="X315" i="1"/>
  <c r="W315" i="1"/>
  <c r="V315" i="1"/>
  <c r="U315" i="1"/>
  <c r="Y314" i="1"/>
  <c r="X314" i="1"/>
  <c r="W314" i="1"/>
  <c r="V314" i="1"/>
  <c r="U314" i="1"/>
  <c r="Y313" i="1"/>
  <c r="X313" i="1"/>
  <c r="W313" i="1"/>
  <c r="V313" i="1"/>
  <c r="U313" i="1"/>
  <c r="Y312" i="1"/>
  <c r="X312" i="1"/>
  <c r="W312" i="1"/>
  <c r="V312" i="1"/>
  <c r="U312" i="1"/>
  <c r="Y311" i="1"/>
  <c r="X311" i="1"/>
  <c r="W311" i="1"/>
  <c r="V311" i="1"/>
  <c r="U311" i="1"/>
  <c r="Y310" i="1"/>
  <c r="X310" i="1"/>
  <c r="W310" i="1"/>
  <c r="V310" i="1"/>
  <c r="U310" i="1"/>
  <c r="Y309" i="1"/>
  <c r="X309" i="1"/>
  <c r="W309" i="1"/>
  <c r="V309" i="1"/>
  <c r="U309" i="1"/>
  <c r="Y308" i="1"/>
  <c r="X308" i="1"/>
  <c r="W308" i="1"/>
  <c r="V308" i="1"/>
  <c r="U308" i="1"/>
  <c r="Y307" i="1"/>
  <c r="X307" i="1"/>
  <c r="W307" i="1"/>
  <c r="V307" i="1"/>
  <c r="U307" i="1"/>
  <c r="Y306" i="1"/>
  <c r="X306" i="1"/>
  <c r="W306" i="1"/>
  <c r="V306" i="1"/>
  <c r="U306" i="1"/>
  <c r="Y305" i="1"/>
  <c r="X305" i="1"/>
  <c r="W305" i="1"/>
  <c r="V305" i="1"/>
  <c r="U305" i="1"/>
  <c r="Y304" i="1"/>
  <c r="X304" i="1"/>
  <c r="W304" i="1"/>
  <c r="V304" i="1"/>
  <c r="U304" i="1"/>
  <c r="Y303" i="1"/>
  <c r="X303" i="1"/>
  <c r="W303" i="1"/>
  <c r="V303" i="1"/>
  <c r="U303" i="1"/>
  <c r="Y302" i="1"/>
  <c r="X302" i="1"/>
  <c r="W302" i="1"/>
  <c r="V302" i="1"/>
  <c r="U302" i="1"/>
  <c r="Y301" i="1"/>
  <c r="X301" i="1"/>
  <c r="W301" i="1"/>
  <c r="V301" i="1"/>
  <c r="U301" i="1"/>
  <c r="Y300" i="1"/>
  <c r="X300" i="1"/>
  <c r="W300" i="1"/>
  <c r="V300" i="1"/>
  <c r="U300" i="1"/>
  <c r="Y299" i="1"/>
  <c r="X299" i="1"/>
  <c r="W299" i="1"/>
  <c r="V299" i="1"/>
  <c r="U299" i="1"/>
  <c r="Y298" i="1"/>
  <c r="X298" i="1"/>
  <c r="W298" i="1"/>
  <c r="V298" i="1"/>
  <c r="U298" i="1"/>
  <c r="Y297" i="1"/>
  <c r="X297" i="1"/>
  <c r="W297" i="1"/>
  <c r="V297" i="1"/>
  <c r="U297" i="1"/>
  <c r="Y296" i="1"/>
  <c r="X296" i="1"/>
  <c r="W296" i="1"/>
  <c r="V296" i="1"/>
  <c r="U296" i="1"/>
  <c r="Y295" i="1"/>
  <c r="X295" i="1"/>
  <c r="W295" i="1"/>
  <c r="V295" i="1"/>
  <c r="U295" i="1"/>
  <c r="Y294" i="1"/>
  <c r="X294" i="1"/>
  <c r="W294" i="1"/>
  <c r="V294" i="1"/>
  <c r="U294" i="1"/>
  <c r="Y293" i="1"/>
  <c r="X293" i="1"/>
  <c r="W293" i="1"/>
  <c r="V293" i="1"/>
  <c r="U293" i="1"/>
  <c r="Y292" i="1"/>
  <c r="X292" i="1"/>
  <c r="W292" i="1"/>
  <c r="V292" i="1"/>
  <c r="U292" i="1"/>
  <c r="Y291" i="1"/>
  <c r="X291" i="1"/>
  <c r="W291" i="1"/>
  <c r="V291" i="1"/>
  <c r="U291" i="1"/>
  <c r="Y290" i="1"/>
  <c r="X290" i="1"/>
  <c r="W290" i="1"/>
  <c r="V290" i="1"/>
  <c r="U290" i="1"/>
  <c r="Y289" i="1"/>
  <c r="X289" i="1"/>
  <c r="W289" i="1"/>
  <c r="V289" i="1"/>
  <c r="U289" i="1"/>
  <c r="Y288" i="1"/>
  <c r="X288" i="1"/>
  <c r="W288" i="1"/>
  <c r="V288" i="1"/>
  <c r="U288" i="1"/>
  <c r="Y287" i="1"/>
  <c r="X287" i="1"/>
  <c r="W287" i="1"/>
  <c r="V287" i="1"/>
  <c r="U287" i="1"/>
  <c r="Y286" i="1"/>
  <c r="X286" i="1"/>
  <c r="W286" i="1"/>
  <c r="V286" i="1"/>
  <c r="U286" i="1"/>
  <c r="Y285" i="1"/>
  <c r="X285" i="1"/>
  <c r="W285" i="1"/>
  <c r="V285" i="1"/>
  <c r="U285" i="1"/>
  <c r="Y284" i="1"/>
  <c r="X284" i="1"/>
  <c r="W284" i="1"/>
  <c r="V284" i="1"/>
  <c r="U284" i="1"/>
  <c r="Y283" i="1"/>
  <c r="X283" i="1"/>
  <c r="W283" i="1"/>
  <c r="V283" i="1"/>
  <c r="U283" i="1"/>
  <c r="Y282" i="1"/>
  <c r="X282" i="1"/>
  <c r="W282" i="1"/>
  <c r="V282" i="1"/>
  <c r="U282" i="1"/>
  <c r="Y281" i="1"/>
  <c r="X281" i="1"/>
  <c r="W281" i="1"/>
  <c r="V281" i="1"/>
  <c r="U281" i="1"/>
  <c r="Y280" i="1"/>
  <c r="X280" i="1"/>
  <c r="W280" i="1"/>
  <c r="V280" i="1"/>
  <c r="U280" i="1"/>
  <c r="Y279" i="1"/>
  <c r="X279" i="1"/>
  <c r="W279" i="1"/>
  <c r="V279" i="1"/>
  <c r="U279" i="1"/>
  <c r="Y278" i="1"/>
  <c r="X278" i="1"/>
  <c r="W278" i="1"/>
  <c r="V278" i="1"/>
  <c r="U278" i="1"/>
  <c r="Y277" i="1"/>
  <c r="X277" i="1"/>
  <c r="W277" i="1"/>
  <c r="V277" i="1"/>
  <c r="U277" i="1"/>
  <c r="Y276" i="1"/>
  <c r="X276" i="1"/>
  <c r="W276" i="1"/>
  <c r="V276" i="1"/>
  <c r="U276" i="1"/>
  <c r="Y275" i="1"/>
  <c r="X275" i="1"/>
  <c r="W275" i="1"/>
  <c r="V275" i="1"/>
  <c r="U275" i="1"/>
  <c r="Y274" i="1"/>
  <c r="X274" i="1"/>
  <c r="W274" i="1"/>
  <c r="V274" i="1"/>
  <c r="U274" i="1"/>
  <c r="Y273" i="1"/>
  <c r="X273" i="1"/>
  <c r="W273" i="1"/>
  <c r="V273" i="1"/>
  <c r="U273" i="1"/>
  <c r="Y272" i="1"/>
  <c r="X272" i="1"/>
  <c r="W272" i="1"/>
  <c r="V272" i="1"/>
  <c r="U272" i="1"/>
  <c r="Y271" i="1"/>
  <c r="X271" i="1"/>
  <c r="W271" i="1"/>
  <c r="V271" i="1"/>
  <c r="U271" i="1"/>
  <c r="Y270" i="1"/>
  <c r="X270" i="1"/>
  <c r="W270" i="1"/>
  <c r="V270" i="1"/>
  <c r="U270" i="1"/>
  <c r="Y269" i="1"/>
  <c r="X269" i="1"/>
  <c r="W269" i="1"/>
  <c r="V269" i="1"/>
  <c r="U269" i="1"/>
  <c r="Y268" i="1"/>
  <c r="X268" i="1"/>
  <c r="W268" i="1"/>
  <c r="V268" i="1"/>
  <c r="U268" i="1"/>
  <c r="Y267" i="1"/>
  <c r="X267" i="1"/>
  <c r="W267" i="1"/>
  <c r="V267" i="1"/>
  <c r="U267" i="1"/>
  <c r="Y266" i="1"/>
  <c r="X266" i="1"/>
  <c r="W266" i="1"/>
  <c r="V266" i="1"/>
  <c r="U266" i="1"/>
  <c r="Y265" i="1"/>
  <c r="X265" i="1"/>
  <c r="W265" i="1"/>
  <c r="V265" i="1"/>
  <c r="U265" i="1"/>
  <c r="Y264" i="1"/>
  <c r="X264" i="1"/>
  <c r="W264" i="1"/>
  <c r="V264" i="1"/>
  <c r="U264" i="1"/>
  <c r="Y263" i="1"/>
  <c r="X263" i="1"/>
  <c r="W263" i="1"/>
  <c r="V263" i="1"/>
  <c r="U263" i="1"/>
  <c r="Y262" i="1"/>
  <c r="X262" i="1"/>
  <c r="W262" i="1"/>
  <c r="V262" i="1"/>
  <c r="U262" i="1"/>
  <c r="Y261" i="1"/>
  <c r="X261" i="1"/>
  <c r="W261" i="1"/>
  <c r="V261" i="1"/>
  <c r="U261" i="1"/>
  <c r="Y260" i="1"/>
  <c r="X260" i="1"/>
  <c r="W260" i="1"/>
  <c r="V260" i="1"/>
  <c r="U260" i="1"/>
  <c r="Y259" i="1"/>
  <c r="X259" i="1"/>
  <c r="W259" i="1"/>
  <c r="V259" i="1"/>
  <c r="U259" i="1"/>
  <c r="Y258" i="1"/>
  <c r="X258" i="1"/>
  <c r="W258" i="1"/>
  <c r="V258" i="1"/>
  <c r="U258" i="1"/>
  <c r="Y257" i="1"/>
  <c r="X257" i="1"/>
  <c r="W257" i="1"/>
  <c r="V257" i="1"/>
  <c r="U257" i="1"/>
  <c r="Y256" i="1"/>
  <c r="X256" i="1"/>
  <c r="W256" i="1"/>
  <c r="V256" i="1"/>
  <c r="U256" i="1"/>
  <c r="Y255" i="1"/>
  <c r="X255" i="1"/>
  <c r="W255" i="1"/>
  <c r="V255" i="1"/>
  <c r="U255" i="1"/>
  <c r="Y254" i="1"/>
  <c r="X254" i="1"/>
  <c r="W254" i="1"/>
  <c r="V254" i="1"/>
  <c r="U254" i="1"/>
  <c r="Y253" i="1"/>
  <c r="X253" i="1"/>
  <c r="W253" i="1"/>
  <c r="V253" i="1"/>
  <c r="U253" i="1"/>
  <c r="Y252" i="1"/>
  <c r="X252" i="1"/>
  <c r="W252" i="1"/>
  <c r="V252" i="1"/>
  <c r="U252" i="1"/>
  <c r="Y251" i="1"/>
  <c r="X251" i="1"/>
  <c r="W251" i="1"/>
  <c r="V251" i="1"/>
  <c r="U251" i="1"/>
  <c r="Y250" i="1"/>
  <c r="X250" i="1"/>
  <c r="W250" i="1"/>
  <c r="V250" i="1"/>
  <c r="U250" i="1"/>
  <c r="Y249" i="1"/>
  <c r="X249" i="1"/>
  <c r="W249" i="1"/>
  <c r="V249" i="1"/>
  <c r="U249" i="1"/>
  <c r="Y248" i="1"/>
  <c r="X248" i="1"/>
  <c r="W248" i="1"/>
  <c r="V248" i="1"/>
  <c r="U248" i="1"/>
  <c r="Y247" i="1"/>
  <c r="X247" i="1"/>
  <c r="W247" i="1"/>
  <c r="V247" i="1"/>
  <c r="U247" i="1"/>
  <c r="Y246" i="1"/>
  <c r="X246" i="1"/>
  <c r="W246" i="1"/>
  <c r="V246" i="1"/>
  <c r="U246" i="1"/>
  <c r="Y245" i="1"/>
  <c r="X245" i="1"/>
  <c r="W245" i="1"/>
  <c r="V245" i="1"/>
  <c r="U245" i="1"/>
  <c r="Y244" i="1"/>
  <c r="X244" i="1"/>
  <c r="W244" i="1"/>
  <c r="V244" i="1"/>
  <c r="U244" i="1"/>
  <c r="Y243" i="1"/>
  <c r="X243" i="1"/>
  <c r="W243" i="1"/>
  <c r="V243" i="1"/>
  <c r="U243" i="1"/>
  <c r="Y242" i="1"/>
  <c r="X242" i="1"/>
  <c r="W242" i="1"/>
  <c r="V242" i="1"/>
  <c r="U242" i="1"/>
  <c r="Y241" i="1"/>
  <c r="X241" i="1"/>
  <c r="W241" i="1"/>
  <c r="V241" i="1"/>
  <c r="U241" i="1"/>
  <c r="Y240" i="1"/>
  <c r="X240" i="1"/>
  <c r="W240" i="1"/>
  <c r="V240" i="1"/>
  <c r="U240" i="1"/>
  <c r="Y239" i="1"/>
  <c r="X239" i="1"/>
  <c r="W239" i="1"/>
  <c r="V239" i="1"/>
  <c r="U239" i="1"/>
  <c r="Y238" i="1"/>
  <c r="X238" i="1"/>
  <c r="W238" i="1"/>
  <c r="V238" i="1"/>
  <c r="U238" i="1"/>
  <c r="Y237" i="1"/>
  <c r="X237" i="1"/>
  <c r="W237" i="1"/>
  <c r="V237" i="1"/>
  <c r="U237" i="1"/>
  <c r="Y236" i="1"/>
  <c r="X236" i="1"/>
  <c r="W236" i="1"/>
  <c r="V236" i="1"/>
  <c r="U236" i="1"/>
  <c r="Y235" i="1"/>
  <c r="X235" i="1"/>
  <c r="W235" i="1"/>
  <c r="V235" i="1"/>
  <c r="U235" i="1"/>
  <c r="Y234" i="1"/>
  <c r="X234" i="1"/>
  <c r="W234" i="1"/>
  <c r="V234" i="1"/>
  <c r="U234" i="1"/>
  <c r="Y233" i="1"/>
  <c r="X233" i="1"/>
  <c r="W233" i="1"/>
  <c r="V233" i="1"/>
  <c r="U233" i="1"/>
  <c r="Y232" i="1"/>
  <c r="X232" i="1"/>
  <c r="W232" i="1"/>
  <c r="V232" i="1"/>
  <c r="U232" i="1"/>
  <c r="Y231" i="1"/>
  <c r="X231" i="1"/>
  <c r="W231" i="1"/>
  <c r="V231" i="1"/>
  <c r="U231" i="1"/>
  <c r="Y230" i="1"/>
  <c r="X230" i="1"/>
  <c r="W230" i="1"/>
  <c r="V230" i="1"/>
  <c r="U230" i="1"/>
  <c r="Y229" i="1"/>
  <c r="X229" i="1"/>
  <c r="W229" i="1"/>
  <c r="V229" i="1"/>
  <c r="U229" i="1"/>
  <c r="Y228" i="1"/>
  <c r="X228" i="1"/>
  <c r="W228" i="1"/>
  <c r="V228" i="1"/>
  <c r="U228" i="1"/>
  <c r="Y227" i="1"/>
  <c r="X227" i="1"/>
  <c r="W227" i="1"/>
  <c r="V227" i="1"/>
  <c r="U227" i="1"/>
  <c r="Y226" i="1"/>
  <c r="X226" i="1"/>
  <c r="W226" i="1"/>
  <c r="V226" i="1"/>
  <c r="U226" i="1"/>
  <c r="Y225" i="1"/>
  <c r="X225" i="1"/>
  <c r="W225" i="1"/>
  <c r="V225" i="1"/>
  <c r="U225" i="1"/>
  <c r="Y224" i="1"/>
  <c r="X224" i="1"/>
  <c r="W224" i="1"/>
  <c r="V224" i="1"/>
  <c r="U224" i="1"/>
  <c r="Y223" i="1"/>
  <c r="X223" i="1"/>
  <c r="W223" i="1"/>
  <c r="V223" i="1"/>
  <c r="U223" i="1"/>
  <c r="Y222" i="1"/>
  <c r="X222" i="1"/>
  <c r="W222" i="1"/>
  <c r="V222" i="1"/>
  <c r="U222" i="1"/>
  <c r="Y221" i="1"/>
  <c r="X221" i="1"/>
  <c r="W221" i="1"/>
  <c r="V221" i="1"/>
  <c r="U221" i="1"/>
  <c r="Y220" i="1"/>
  <c r="X220" i="1"/>
  <c r="W220" i="1"/>
  <c r="V220" i="1"/>
  <c r="U220" i="1"/>
  <c r="Y219" i="1"/>
  <c r="X219" i="1"/>
  <c r="W219" i="1"/>
  <c r="V219" i="1"/>
  <c r="U219" i="1"/>
  <c r="Y218" i="1"/>
  <c r="X218" i="1"/>
  <c r="W218" i="1"/>
  <c r="V218" i="1"/>
  <c r="U218" i="1"/>
  <c r="Y217" i="1"/>
  <c r="X217" i="1"/>
  <c r="W217" i="1"/>
  <c r="V217" i="1"/>
  <c r="U217" i="1"/>
  <c r="Y216" i="1"/>
  <c r="X216" i="1"/>
  <c r="W216" i="1"/>
  <c r="V216" i="1"/>
  <c r="U216" i="1"/>
  <c r="Y215" i="1"/>
  <c r="X215" i="1"/>
  <c r="W215" i="1"/>
  <c r="V215" i="1"/>
  <c r="U215" i="1"/>
  <c r="Y214" i="1"/>
  <c r="X214" i="1"/>
  <c r="W214" i="1"/>
  <c r="V214" i="1"/>
  <c r="U214" i="1"/>
  <c r="Y213" i="1"/>
  <c r="X213" i="1"/>
  <c r="W213" i="1"/>
  <c r="V213" i="1"/>
  <c r="U213" i="1"/>
  <c r="Y212" i="1"/>
  <c r="X212" i="1"/>
  <c r="W212" i="1"/>
  <c r="V212" i="1"/>
  <c r="U212" i="1"/>
  <c r="Y211" i="1"/>
  <c r="X211" i="1"/>
  <c r="W211" i="1"/>
  <c r="V211" i="1"/>
  <c r="U211" i="1"/>
  <c r="Y210" i="1"/>
  <c r="X210" i="1"/>
  <c r="W210" i="1"/>
  <c r="V210" i="1"/>
  <c r="U210" i="1"/>
  <c r="Y209" i="1"/>
  <c r="X209" i="1"/>
  <c r="W209" i="1"/>
  <c r="V209" i="1"/>
  <c r="U209" i="1"/>
  <c r="Y208" i="1"/>
  <c r="X208" i="1"/>
  <c r="W208" i="1"/>
  <c r="V208" i="1"/>
  <c r="U208" i="1"/>
  <c r="Y207" i="1"/>
  <c r="X207" i="1"/>
  <c r="W207" i="1"/>
  <c r="V207" i="1"/>
  <c r="U207" i="1"/>
  <c r="Y206" i="1"/>
  <c r="X206" i="1"/>
  <c r="W206" i="1"/>
  <c r="V206" i="1"/>
  <c r="U206" i="1"/>
  <c r="Y205" i="1"/>
  <c r="X205" i="1"/>
  <c r="W205" i="1"/>
  <c r="V205" i="1"/>
  <c r="U205" i="1"/>
  <c r="Y204" i="1"/>
  <c r="X204" i="1"/>
  <c r="W204" i="1"/>
  <c r="V204" i="1"/>
  <c r="U204" i="1"/>
  <c r="Y203" i="1"/>
  <c r="X203" i="1"/>
  <c r="W203" i="1"/>
  <c r="V203" i="1"/>
  <c r="U203" i="1"/>
  <c r="Y202" i="1"/>
  <c r="X202" i="1"/>
  <c r="W202" i="1"/>
  <c r="V202" i="1"/>
  <c r="U202" i="1"/>
  <c r="Y201" i="1"/>
  <c r="X201" i="1"/>
  <c r="W201" i="1"/>
  <c r="V201" i="1"/>
  <c r="U201" i="1"/>
  <c r="Y200" i="1"/>
  <c r="X200" i="1"/>
  <c r="W200" i="1"/>
  <c r="V200" i="1"/>
  <c r="U200" i="1"/>
  <c r="Y199" i="1"/>
  <c r="X199" i="1"/>
  <c r="W199" i="1"/>
  <c r="V199" i="1"/>
  <c r="U199" i="1"/>
  <c r="Y198" i="1"/>
  <c r="X198" i="1"/>
  <c r="W198" i="1"/>
  <c r="V198" i="1"/>
  <c r="U198" i="1"/>
  <c r="Y197" i="1"/>
  <c r="X197" i="1"/>
  <c r="W197" i="1"/>
  <c r="V197" i="1"/>
  <c r="U197" i="1"/>
  <c r="Y196" i="1"/>
  <c r="X196" i="1"/>
  <c r="W196" i="1"/>
  <c r="V196" i="1"/>
  <c r="U196" i="1"/>
  <c r="Y195" i="1"/>
  <c r="X195" i="1"/>
  <c r="W195" i="1"/>
  <c r="V195" i="1"/>
  <c r="U195" i="1"/>
  <c r="Y194" i="1"/>
  <c r="X194" i="1"/>
  <c r="W194" i="1"/>
  <c r="V194" i="1"/>
  <c r="U194" i="1"/>
  <c r="Y193" i="1"/>
  <c r="X193" i="1"/>
  <c r="W193" i="1"/>
  <c r="V193" i="1"/>
  <c r="U193" i="1"/>
  <c r="Y192" i="1"/>
  <c r="X192" i="1"/>
  <c r="W192" i="1"/>
  <c r="V192" i="1"/>
  <c r="U192" i="1"/>
  <c r="Y191" i="1"/>
  <c r="X191" i="1"/>
  <c r="W191" i="1"/>
  <c r="V191" i="1"/>
  <c r="U191" i="1"/>
  <c r="Y190" i="1"/>
  <c r="X190" i="1"/>
  <c r="W190" i="1"/>
  <c r="V190" i="1"/>
  <c r="U190" i="1"/>
  <c r="Y189" i="1"/>
  <c r="X189" i="1"/>
  <c r="W189" i="1"/>
  <c r="V189" i="1"/>
  <c r="U189" i="1"/>
  <c r="Y188" i="1"/>
  <c r="X188" i="1"/>
  <c r="W188" i="1"/>
  <c r="V188" i="1"/>
  <c r="U188" i="1"/>
  <c r="Y187" i="1"/>
  <c r="X187" i="1"/>
  <c r="W187" i="1"/>
  <c r="V187" i="1"/>
  <c r="U187" i="1"/>
  <c r="Y186" i="1"/>
  <c r="X186" i="1"/>
  <c r="W186" i="1"/>
  <c r="V186" i="1"/>
  <c r="U186" i="1"/>
  <c r="Y185" i="1"/>
  <c r="X185" i="1"/>
  <c r="W185" i="1"/>
  <c r="V185" i="1"/>
  <c r="U185" i="1"/>
  <c r="Y184" i="1"/>
  <c r="X184" i="1"/>
  <c r="W184" i="1"/>
  <c r="V184" i="1"/>
  <c r="U184" i="1"/>
  <c r="Y183" i="1"/>
  <c r="X183" i="1"/>
  <c r="W183" i="1"/>
  <c r="V183" i="1"/>
  <c r="U183" i="1"/>
  <c r="Y182" i="1"/>
  <c r="X182" i="1"/>
  <c r="W182" i="1"/>
  <c r="V182" i="1"/>
  <c r="U182" i="1"/>
  <c r="Y181" i="1"/>
  <c r="X181" i="1"/>
  <c r="W181" i="1"/>
  <c r="V181" i="1"/>
  <c r="U181" i="1"/>
  <c r="Y180" i="1"/>
  <c r="X180" i="1"/>
  <c r="W180" i="1"/>
  <c r="V180" i="1"/>
  <c r="U180" i="1"/>
  <c r="Y179" i="1"/>
  <c r="X179" i="1"/>
  <c r="W179" i="1"/>
  <c r="V179" i="1"/>
  <c r="U179" i="1"/>
  <c r="Y178" i="1"/>
  <c r="X178" i="1"/>
  <c r="W178" i="1"/>
  <c r="V178" i="1"/>
  <c r="U178" i="1"/>
  <c r="Y177" i="1"/>
  <c r="X177" i="1"/>
  <c r="W177" i="1"/>
  <c r="V177" i="1"/>
  <c r="U177" i="1"/>
  <c r="Y176" i="1"/>
  <c r="X176" i="1"/>
  <c r="W176" i="1"/>
  <c r="V176" i="1"/>
  <c r="U176" i="1"/>
  <c r="Y175" i="1"/>
  <c r="X175" i="1"/>
  <c r="W175" i="1"/>
  <c r="V175" i="1"/>
  <c r="U175" i="1"/>
  <c r="Y174" i="1"/>
  <c r="X174" i="1"/>
  <c r="W174" i="1"/>
  <c r="V174" i="1"/>
  <c r="U174" i="1"/>
  <c r="Y173" i="1"/>
  <c r="X173" i="1"/>
  <c r="W173" i="1"/>
  <c r="V173" i="1"/>
  <c r="U173" i="1"/>
  <c r="Y172" i="1"/>
  <c r="X172" i="1"/>
  <c r="W172" i="1"/>
  <c r="V172" i="1"/>
  <c r="U172" i="1"/>
  <c r="Y171" i="1"/>
  <c r="X171" i="1"/>
  <c r="W171" i="1"/>
  <c r="V171" i="1"/>
  <c r="U171" i="1"/>
  <c r="Y170" i="1"/>
  <c r="X170" i="1"/>
  <c r="W170" i="1"/>
  <c r="V170" i="1"/>
  <c r="U170" i="1"/>
  <c r="Y169" i="1"/>
  <c r="X169" i="1"/>
  <c r="W169" i="1"/>
  <c r="V169" i="1"/>
  <c r="U169" i="1"/>
  <c r="Y168" i="1"/>
  <c r="X168" i="1"/>
  <c r="W168" i="1"/>
  <c r="V168" i="1"/>
  <c r="U168" i="1"/>
  <c r="Y167" i="1"/>
  <c r="X167" i="1"/>
  <c r="W167" i="1"/>
  <c r="V167" i="1"/>
  <c r="U167" i="1"/>
  <c r="Y166" i="1"/>
  <c r="X166" i="1"/>
  <c r="W166" i="1"/>
  <c r="V166" i="1"/>
  <c r="U166" i="1"/>
  <c r="Y165" i="1"/>
  <c r="X165" i="1"/>
  <c r="W165" i="1"/>
  <c r="V165" i="1"/>
  <c r="U165" i="1"/>
  <c r="Y164" i="1"/>
  <c r="X164" i="1"/>
  <c r="W164" i="1"/>
  <c r="V164" i="1"/>
  <c r="U164" i="1"/>
  <c r="Y163" i="1"/>
  <c r="X163" i="1"/>
  <c r="W163" i="1"/>
  <c r="V163" i="1"/>
  <c r="U163" i="1"/>
  <c r="Y162" i="1"/>
  <c r="X162" i="1"/>
  <c r="W162" i="1"/>
  <c r="V162" i="1"/>
  <c r="U162" i="1"/>
  <c r="Y161" i="1"/>
  <c r="X161" i="1"/>
  <c r="W161" i="1"/>
  <c r="V161" i="1"/>
  <c r="U161" i="1"/>
  <c r="Y160" i="1"/>
  <c r="X160" i="1"/>
  <c r="W160" i="1"/>
  <c r="V160" i="1"/>
  <c r="U160" i="1"/>
  <c r="Y159" i="1"/>
  <c r="X159" i="1"/>
  <c r="W159" i="1"/>
  <c r="V159" i="1"/>
  <c r="U159" i="1"/>
  <c r="Y158" i="1"/>
  <c r="X158" i="1"/>
  <c r="W158" i="1"/>
  <c r="V158" i="1"/>
  <c r="U158" i="1"/>
  <c r="Y157" i="1"/>
  <c r="X157" i="1"/>
  <c r="W157" i="1"/>
  <c r="V157" i="1"/>
  <c r="U157" i="1"/>
  <c r="Y156" i="1"/>
  <c r="X156" i="1"/>
  <c r="W156" i="1"/>
  <c r="V156" i="1"/>
  <c r="U156" i="1"/>
  <c r="Y155" i="1"/>
  <c r="X155" i="1"/>
  <c r="W155" i="1"/>
  <c r="V155" i="1"/>
  <c r="U155" i="1"/>
  <c r="Y154" i="1"/>
  <c r="X154" i="1"/>
  <c r="W154" i="1"/>
  <c r="V154" i="1"/>
  <c r="U154" i="1"/>
  <c r="Y153" i="1"/>
  <c r="X153" i="1"/>
  <c r="W153" i="1"/>
  <c r="V153" i="1"/>
  <c r="U153" i="1"/>
  <c r="Y152" i="1"/>
  <c r="X152" i="1"/>
  <c r="W152" i="1"/>
  <c r="V152" i="1"/>
  <c r="U152" i="1"/>
  <c r="Y151" i="1"/>
  <c r="X151" i="1"/>
  <c r="W151" i="1"/>
  <c r="V151" i="1"/>
  <c r="U151" i="1"/>
  <c r="Y150" i="1"/>
  <c r="X150" i="1"/>
  <c r="W150" i="1"/>
  <c r="V150" i="1"/>
  <c r="U150" i="1"/>
  <c r="Y149" i="1"/>
  <c r="X149" i="1"/>
  <c r="W149" i="1"/>
  <c r="V149" i="1"/>
  <c r="U149" i="1"/>
  <c r="Y148" i="1"/>
  <c r="X148" i="1"/>
  <c r="W148" i="1"/>
  <c r="V148" i="1"/>
  <c r="U148" i="1"/>
  <c r="Y147" i="1"/>
  <c r="X147" i="1"/>
  <c r="W147" i="1"/>
  <c r="V147" i="1"/>
  <c r="U147" i="1"/>
  <c r="Y146" i="1"/>
  <c r="X146" i="1"/>
  <c r="W146" i="1"/>
  <c r="V146" i="1"/>
  <c r="U146" i="1"/>
  <c r="Y145" i="1"/>
  <c r="X145" i="1"/>
  <c r="W145" i="1"/>
  <c r="V145" i="1"/>
  <c r="U145" i="1"/>
  <c r="Y144" i="1"/>
  <c r="X144" i="1"/>
  <c r="W144" i="1"/>
  <c r="V144" i="1"/>
  <c r="U144" i="1"/>
  <c r="Y143" i="1"/>
  <c r="X143" i="1"/>
  <c r="W143" i="1"/>
  <c r="V143" i="1"/>
  <c r="U143" i="1"/>
  <c r="Y142" i="1"/>
  <c r="X142" i="1"/>
  <c r="W142" i="1"/>
  <c r="V142" i="1"/>
  <c r="U142" i="1"/>
  <c r="Y141" i="1"/>
  <c r="X141" i="1"/>
  <c r="W141" i="1"/>
  <c r="V141" i="1"/>
  <c r="U141" i="1"/>
  <c r="Y140" i="1"/>
  <c r="X140" i="1"/>
  <c r="W140" i="1"/>
  <c r="V140" i="1"/>
  <c r="U140" i="1"/>
  <c r="Y139" i="1"/>
  <c r="X139" i="1"/>
  <c r="W139" i="1"/>
  <c r="V139" i="1"/>
  <c r="U139" i="1"/>
  <c r="Y138" i="1"/>
  <c r="X138" i="1"/>
  <c r="W138" i="1"/>
  <c r="V138" i="1"/>
  <c r="U138" i="1"/>
  <c r="Y137" i="1"/>
  <c r="X137" i="1"/>
  <c r="W137" i="1"/>
  <c r="V137" i="1"/>
  <c r="U137" i="1"/>
  <c r="Y136" i="1"/>
  <c r="X136" i="1"/>
  <c r="W136" i="1"/>
  <c r="V136" i="1"/>
  <c r="U136" i="1"/>
  <c r="Y135" i="1"/>
  <c r="X135" i="1"/>
  <c r="W135" i="1"/>
  <c r="V135" i="1"/>
  <c r="U135" i="1"/>
  <c r="Y134" i="1"/>
  <c r="X134" i="1"/>
  <c r="W134" i="1"/>
  <c r="V134" i="1"/>
  <c r="U134" i="1"/>
  <c r="Y133" i="1"/>
  <c r="X133" i="1"/>
  <c r="W133" i="1"/>
  <c r="V133" i="1"/>
  <c r="U133" i="1"/>
  <c r="Y132" i="1"/>
  <c r="X132" i="1"/>
  <c r="W132" i="1"/>
  <c r="V132" i="1"/>
  <c r="U132" i="1"/>
  <c r="Y131" i="1"/>
  <c r="X131" i="1"/>
  <c r="W131" i="1"/>
  <c r="V131" i="1"/>
  <c r="U131" i="1"/>
  <c r="Y130" i="1"/>
  <c r="X130" i="1"/>
  <c r="W130" i="1"/>
  <c r="V130" i="1"/>
  <c r="U130" i="1"/>
  <c r="Y129" i="1"/>
  <c r="X129" i="1"/>
  <c r="W129" i="1"/>
  <c r="V129" i="1"/>
  <c r="U129" i="1"/>
  <c r="Y128" i="1"/>
  <c r="X128" i="1"/>
  <c r="W128" i="1"/>
  <c r="V128" i="1"/>
  <c r="U128" i="1"/>
  <c r="Y127" i="1"/>
  <c r="X127" i="1"/>
  <c r="W127" i="1"/>
  <c r="V127" i="1"/>
  <c r="U127" i="1"/>
  <c r="Y126" i="1"/>
  <c r="X126" i="1"/>
  <c r="W126" i="1"/>
  <c r="V126" i="1"/>
  <c r="U126" i="1"/>
  <c r="Y125" i="1"/>
  <c r="X125" i="1"/>
  <c r="W125" i="1"/>
  <c r="V125" i="1"/>
  <c r="U125" i="1"/>
  <c r="Y124" i="1"/>
  <c r="X124" i="1"/>
  <c r="W124" i="1"/>
  <c r="V124" i="1"/>
  <c r="U124" i="1"/>
  <c r="Y123" i="1"/>
  <c r="X123" i="1"/>
  <c r="W123" i="1"/>
  <c r="V123" i="1"/>
  <c r="U123" i="1"/>
  <c r="Y122" i="1"/>
  <c r="X122" i="1"/>
  <c r="W122" i="1"/>
  <c r="V122" i="1"/>
  <c r="U122" i="1"/>
  <c r="Y121" i="1"/>
  <c r="X121" i="1"/>
  <c r="W121" i="1"/>
  <c r="V121" i="1"/>
  <c r="U121" i="1"/>
  <c r="Y120" i="1"/>
  <c r="X120" i="1"/>
  <c r="W120" i="1"/>
  <c r="V120" i="1"/>
  <c r="U120" i="1"/>
  <c r="Y119" i="1"/>
  <c r="X119" i="1"/>
  <c r="W119" i="1"/>
  <c r="V119" i="1"/>
  <c r="U119" i="1"/>
  <c r="Y118" i="1"/>
  <c r="X118" i="1"/>
  <c r="W118" i="1"/>
  <c r="V118" i="1"/>
  <c r="U118" i="1"/>
  <c r="Y117" i="1"/>
  <c r="X117" i="1"/>
  <c r="W117" i="1"/>
  <c r="V117" i="1"/>
  <c r="U117" i="1"/>
  <c r="Y116" i="1"/>
  <c r="X116" i="1"/>
  <c r="W116" i="1"/>
  <c r="V116" i="1"/>
  <c r="U116" i="1"/>
  <c r="Y115" i="1"/>
  <c r="X115" i="1"/>
  <c r="W115" i="1"/>
  <c r="V115" i="1"/>
  <c r="U115" i="1"/>
  <c r="Y114" i="1"/>
  <c r="X114" i="1"/>
  <c r="W114" i="1"/>
  <c r="V114" i="1"/>
  <c r="U114" i="1"/>
  <c r="Y113" i="1"/>
  <c r="X113" i="1"/>
  <c r="W113" i="1"/>
  <c r="V113" i="1"/>
  <c r="U113" i="1"/>
  <c r="Y112" i="1"/>
  <c r="X112" i="1"/>
  <c r="W112" i="1"/>
  <c r="V112" i="1"/>
  <c r="U112" i="1"/>
  <c r="Y111" i="1"/>
  <c r="X111" i="1"/>
  <c r="W111" i="1"/>
  <c r="V111" i="1"/>
  <c r="U111" i="1"/>
  <c r="Y110" i="1"/>
  <c r="X110" i="1"/>
  <c r="W110" i="1"/>
  <c r="V110" i="1"/>
  <c r="U110" i="1"/>
  <c r="Y109" i="1"/>
  <c r="X109" i="1"/>
  <c r="W109" i="1"/>
  <c r="V109" i="1"/>
  <c r="U109" i="1"/>
  <c r="Y108" i="1"/>
  <c r="X108" i="1"/>
  <c r="W108" i="1"/>
  <c r="V108" i="1"/>
  <c r="U108" i="1"/>
  <c r="Y107" i="1"/>
  <c r="X107" i="1"/>
  <c r="W107" i="1"/>
  <c r="V107" i="1"/>
  <c r="U107" i="1"/>
  <c r="Y106" i="1"/>
  <c r="X106" i="1"/>
  <c r="W106" i="1"/>
  <c r="V106" i="1"/>
  <c r="U106" i="1"/>
  <c r="Y105" i="1"/>
  <c r="X105" i="1"/>
  <c r="W105" i="1"/>
  <c r="V105" i="1"/>
  <c r="U105" i="1"/>
  <c r="Y104" i="1"/>
  <c r="X104" i="1"/>
  <c r="W104" i="1"/>
  <c r="V104" i="1"/>
  <c r="U104" i="1"/>
  <c r="Y103" i="1"/>
  <c r="X103" i="1"/>
  <c r="W103" i="1"/>
  <c r="V103" i="1"/>
  <c r="U103" i="1"/>
  <c r="Y102" i="1"/>
  <c r="X102" i="1"/>
  <c r="W102" i="1"/>
  <c r="V102" i="1"/>
  <c r="U102" i="1"/>
  <c r="Y101" i="1"/>
  <c r="X101" i="1"/>
  <c r="W101" i="1"/>
  <c r="V101" i="1"/>
  <c r="U101" i="1"/>
  <c r="Y100" i="1"/>
  <c r="X100" i="1"/>
  <c r="W100" i="1"/>
  <c r="V100" i="1"/>
  <c r="U100" i="1"/>
  <c r="Y99" i="1"/>
  <c r="X99" i="1"/>
  <c r="W99" i="1"/>
  <c r="V99" i="1"/>
  <c r="U99" i="1"/>
  <c r="Y98" i="1"/>
  <c r="X98" i="1"/>
  <c r="W98" i="1"/>
  <c r="V98" i="1"/>
  <c r="U98" i="1"/>
  <c r="Y97" i="1"/>
  <c r="X97" i="1"/>
  <c r="W97" i="1"/>
  <c r="V97" i="1"/>
  <c r="U97" i="1"/>
  <c r="Y96" i="1"/>
  <c r="X96" i="1"/>
  <c r="W96" i="1"/>
  <c r="V96" i="1"/>
  <c r="U96" i="1"/>
  <c r="Y95" i="1"/>
  <c r="X95" i="1"/>
  <c r="W95" i="1"/>
  <c r="V95" i="1"/>
  <c r="Y94" i="1"/>
  <c r="X94" i="1"/>
  <c r="W94" i="1"/>
  <c r="V94" i="1"/>
  <c r="U94" i="1"/>
  <c r="Y93" i="1"/>
  <c r="X93" i="1"/>
  <c r="W93" i="1"/>
  <c r="V93" i="1"/>
  <c r="U93" i="1"/>
  <c r="Y92" i="1"/>
  <c r="X92" i="1"/>
  <c r="W92" i="1"/>
  <c r="V92" i="1"/>
  <c r="U92" i="1"/>
  <c r="Y91" i="1"/>
  <c r="X91" i="1"/>
  <c r="W91" i="1"/>
  <c r="V91" i="1"/>
  <c r="U91" i="1"/>
  <c r="Y90" i="1"/>
  <c r="X90" i="1"/>
  <c r="W90" i="1"/>
  <c r="V90" i="1"/>
  <c r="U90" i="1"/>
  <c r="Y89" i="1"/>
  <c r="X89" i="1"/>
  <c r="W89" i="1"/>
  <c r="V89" i="1"/>
  <c r="U89" i="1"/>
  <c r="Y88" i="1"/>
  <c r="X88" i="1"/>
  <c r="W88" i="1"/>
  <c r="V88" i="1"/>
  <c r="U88" i="1"/>
  <c r="Y87" i="1"/>
  <c r="X87" i="1"/>
  <c r="W87" i="1"/>
  <c r="V87" i="1"/>
  <c r="U87" i="1"/>
  <c r="Y86" i="1"/>
  <c r="X86" i="1"/>
  <c r="W86" i="1"/>
  <c r="V86" i="1"/>
  <c r="U86" i="1"/>
  <c r="Y85" i="1"/>
  <c r="X85" i="1"/>
  <c r="W85" i="1"/>
  <c r="V85" i="1"/>
  <c r="U85" i="1"/>
  <c r="Y84" i="1"/>
  <c r="X84" i="1"/>
  <c r="W84" i="1"/>
  <c r="V84" i="1"/>
  <c r="U84" i="1"/>
  <c r="Y83" i="1"/>
  <c r="X83" i="1"/>
  <c r="W83" i="1"/>
  <c r="V83" i="1"/>
  <c r="U83" i="1"/>
  <c r="Y82" i="1"/>
  <c r="X82" i="1"/>
  <c r="W82" i="1"/>
  <c r="V82" i="1"/>
  <c r="U82" i="1"/>
  <c r="Y81" i="1"/>
  <c r="X81" i="1"/>
  <c r="W81" i="1"/>
  <c r="V81" i="1"/>
  <c r="U81" i="1"/>
  <c r="Y80" i="1"/>
  <c r="X80" i="1"/>
  <c r="W80" i="1"/>
  <c r="V80" i="1"/>
  <c r="U80" i="1"/>
  <c r="Y79" i="1"/>
  <c r="X79" i="1"/>
  <c r="W79" i="1"/>
  <c r="V79" i="1"/>
  <c r="U79" i="1"/>
  <c r="Y78" i="1"/>
  <c r="X78" i="1"/>
  <c r="W78" i="1"/>
  <c r="V78" i="1"/>
  <c r="U78" i="1"/>
  <c r="Y77" i="1"/>
  <c r="X77" i="1"/>
  <c r="W77" i="1"/>
  <c r="V77" i="1"/>
  <c r="U77" i="1"/>
  <c r="Y76" i="1"/>
  <c r="X76" i="1"/>
  <c r="W76" i="1"/>
  <c r="V76" i="1"/>
  <c r="U76" i="1"/>
  <c r="Y75" i="1"/>
  <c r="X75" i="1"/>
  <c r="W75" i="1"/>
  <c r="V75" i="1"/>
  <c r="U75" i="1"/>
  <c r="Y74" i="1"/>
  <c r="X74" i="1"/>
  <c r="W74" i="1"/>
  <c r="V74" i="1"/>
  <c r="U74" i="1"/>
  <c r="Y73" i="1"/>
  <c r="X73" i="1"/>
  <c r="W73" i="1"/>
  <c r="V73" i="1"/>
  <c r="U73" i="1"/>
  <c r="Y72" i="1"/>
  <c r="X72" i="1"/>
  <c r="W72" i="1"/>
  <c r="V72" i="1"/>
  <c r="Y71" i="1"/>
  <c r="X71" i="1"/>
  <c r="W71" i="1"/>
  <c r="V71" i="1"/>
  <c r="U71" i="1"/>
  <c r="Y70" i="1"/>
  <c r="X70" i="1"/>
  <c r="W70" i="1"/>
  <c r="V70" i="1"/>
  <c r="U70" i="1"/>
  <c r="Y69" i="1"/>
  <c r="X69" i="1"/>
  <c r="W69" i="1"/>
  <c r="V69" i="1"/>
  <c r="U69" i="1"/>
  <c r="Y68" i="1"/>
  <c r="X68" i="1"/>
  <c r="W68" i="1"/>
  <c r="V68" i="1"/>
  <c r="U68" i="1"/>
  <c r="Y67" i="1"/>
  <c r="X67" i="1"/>
  <c r="W67" i="1"/>
  <c r="V67" i="1"/>
  <c r="U67" i="1"/>
  <c r="Y66" i="1"/>
  <c r="X66" i="1"/>
  <c r="W66" i="1"/>
  <c r="V66" i="1"/>
  <c r="U66" i="1"/>
  <c r="Y65" i="1"/>
  <c r="X65" i="1"/>
  <c r="W65" i="1"/>
  <c r="V65" i="1"/>
  <c r="U65" i="1"/>
  <c r="Y64" i="1"/>
  <c r="X64" i="1"/>
  <c r="W64" i="1"/>
  <c r="V64" i="1"/>
  <c r="U64" i="1"/>
  <c r="Y63" i="1"/>
  <c r="X63" i="1"/>
  <c r="W63" i="1"/>
  <c r="V63" i="1"/>
  <c r="U63" i="1"/>
  <c r="Y62" i="1"/>
  <c r="X62" i="1"/>
  <c r="W62" i="1"/>
  <c r="V62" i="1"/>
  <c r="U62" i="1"/>
  <c r="Y61" i="1"/>
  <c r="X61" i="1"/>
  <c r="W61" i="1"/>
  <c r="V61" i="1"/>
  <c r="U61" i="1"/>
  <c r="Y60" i="1"/>
  <c r="X60" i="1"/>
  <c r="W60" i="1"/>
  <c r="V60" i="1"/>
  <c r="U60" i="1"/>
  <c r="Y59" i="1"/>
  <c r="X59" i="1"/>
  <c r="W59" i="1"/>
  <c r="V59" i="1"/>
  <c r="U59" i="1"/>
  <c r="Y58" i="1"/>
  <c r="X58" i="1"/>
  <c r="W58" i="1"/>
  <c r="V58" i="1"/>
  <c r="U58" i="1"/>
  <c r="Y57" i="1"/>
  <c r="X57" i="1"/>
  <c r="W57" i="1"/>
  <c r="V57" i="1"/>
  <c r="U57" i="1"/>
  <c r="Y56" i="1"/>
  <c r="X56" i="1"/>
  <c r="W56" i="1"/>
  <c r="V56" i="1"/>
  <c r="U56" i="1"/>
  <c r="Y55" i="1"/>
  <c r="X55" i="1"/>
  <c r="W55" i="1"/>
  <c r="V55" i="1"/>
  <c r="U55" i="1"/>
  <c r="Y54" i="1"/>
  <c r="X54" i="1"/>
  <c r="W54" i="1"/>
  <c r="V54" i="1"/>
  <c r="U54" i="1"/>
  <c r="Y53" i="1"/>
  <c r="X53" i="1"/>
  <c r="W53" i="1"/>
  <c r="V53" i="1"/>
  <c r="U53" i="1"/>
  <c r="Y52" i="1"/>
  <c r="X52" i="1"/>
  <c r="W52" i="1"/>
  <c r="V52" i="1"/>
  <c r="U52" i="1"/>
  <c r="Y51" i="1"/>
  <c r="X51" i="1"/>
  <c r="W51" i="1"/>
  <c r="V51" i="1"/>
  <c r="U51" i="1"/>
  <c r="Y50" i="1"/>
  <c r="X50" i="1"/>
  <c r="W50" i="1"/>
  <c r="V50" i="1"/>
  <c r="U50" i="1"/>
  <c r="Y49" i="1"/>
  <c r="X49" i="1"/>
  <c r="W49" i="1"/>
  <c r="V49" i="1"/>
  <c r="U49" i="1"/>
  <c r="Y48" i="1"/>
  <c r="X48" i="1"/>
  <c r="W48" i="1"/>
  <c r="V48" i="1"/>
  <c r="U48" i="1"/>
  <c r="Y47" i="1"/>
  <c r="X47" i="1"/>
  <c r="W47" i="1"/>
  <c r="V47" i="1"/>
  <c r="U47" i="1"/>
  <c r="Y46" i="1"/>
  <c r="X46" i="1"/>
  <c r="W46" i="1"/>
  <c r="V46" i="1"/>
  <c r="U46" i="1"/>
  <c r="Y45" i="1"/>
  <c r="X45" i="1"/>
  <c r="W45" i="1"/>
  <c r="V45" i="1"/>
  <c r="U45" i="1"/>
  <c r="Y44" i="1"/>
  <c r="X44" i="1"/>
  <c r="W44" i="1"/>
  <c r="V44" i="1"/>
  <c r="U44" i="1"/>
  <c r="Y43" i="1"/>
  <c r="X43" i="1"/>
  <c r="W43" i="1"/>
  <c r="V43" i="1"/>
  <c r="U43" i="1"/>
  <c r="Y42" i="1"/>
  <c r="X42" i="1"/>
  <c r="W42" i="1"/>
  <c r="V42" i="1"/>
  <c r="U42" i="1"/>
  <c r="Y41" i="1"/>
  <c r="X41" i="1"/>
  <c r="W41" i="1"/>
  <c r="V41" i="1"/>
  <c r="U41" i="1"/>
  <c r="Y40" i="1"/>
  <c r="X40" i="1"/>
  <c r="W40" i="1"/>
  <c r="V40" i="1"/>
  <c r="U40" i="1"/>
  <c r="Y39" i="1"/>
  <c r="X39" i="1"/>
  <c r="W39" i="1"/>
  <c r="V39" i="1"/>
  <c r="U39" i="1"/>
  <c r="Y38" i="1"/>
  <c r="X38" i="1"/>
  <c r="W38" i="1"/>
  <c r="V38" i="1"/>
  <c r="U38" i="1"/>
  <c r="Y37" i="1"/>
  <c r="X37" i="1"/>
  <c r="W37" i="1"/>
  <c r="V37" i="1"/>
  <c r="U37" i="1"/>
  <c r="Y36" i="1"/>
  <c r="X36" i="1"/>
  <c r="W36" i="1"/>
  <c r="V36" i="1"/>
  <c r="U36" i="1"/>
  <c r="Y35" i="1"/>
  <c r="X35" i="1"/>
  <c r="W35" i="1"/>
  <c r="V35" i="1"/>
  <c r="U35" i="1"/>
  <c r="Y34" i="1"/>
  <c r="X34" i="1"/>
  <c r="W34" i="1"/>
  <c r="V34" i="1"/>
  <c r="U34" i="1"/>
  <c r="Y33" i="1"/>
  <c r="X33" i="1"/>
  <c r="W33" i="1"/>
  <c r="V33" i="1"/>
  <c r="U33" i="1"/>
  <c r="Y32" i="1"/>
  <c r="X32" i="1"/>
  <c r="W32" i="1"/>
  <c r="V32" i="1"/>
  <c r="U32" i="1"/>
  <c r="Y31" i="1"/>
  <c r="X31" i="1"/>
  <c r="W31" i="1"/>
  <c r="V31" i="1"/>
  <c r="U31" i="1"/>
  <c r="Y30" i="1"/>
  <c r="X30" i="1"/>
  <c r="W30" i="1"/>
  <c r="V30" i="1"/>
  <c r="U30" i="1"/>
  <c r="Y29" i="1"/>
  <c r="X29" i="1"/>
  <c r="W29" i="1"/>
  <c r="V29" i="1"/>
  <c r="U29" i="1"/>
  <c r="Y28" i="1"/>
  <c r="X28" i="1"/>
  <c r="W28" i="1"/>
  <c r="V28" i="1"/>
  <c r="U28" i="1"/>
  <c r="Y27" i="1"/>
  <c r="X27" i="1"/>
  <c r="W27" i="1"/>
  <c r="V27" i="1"/>
  <c r="U27" i="1"/>
  <c r="Y26" i="1"/>
  <c r="X26" i="1"/>
  <c r="W26" i="1"/>
  <c r="V26" i="1"/>
  <c r="U26" i="1"/>
  <c r="Y25" i="1"/>
  <c r="X25" i="1"/>
  <c r="W25" i="1"/>
  <c r="V25" i="1"/>
  <c r="U25" i="1"/>
  <c r="Y24" i="1"/>
  <c r="X24" i="1"/>
  <c r="W24" i="1"/>
  <c r="V24" i="1"/>
  <c r="U24" i="1"/>
  <c r="Y23" i="1"/>
  <c r="X23" i="1"/>
  <c r="W23" i="1"/>
  <c r="V23" i="1"/>
  <c r="U23" i="1"/>
  <c r="Y22" i="1"/>
  <c r="X22" i="1"/>
  <c r="W22" i="1"/>
  <c r="V22" i="1"/>
  <c r="U22" i="1"/>
  <c r="Y21" i="1"/>
  <c r="X21" i="1"/>
  <c r="W21" i="1"/>
  <c r="V21" i="1"/>
  <c r="U21" i="1"/>
  <c r="Y20" i="1"/>
  <c r="X20" i="1"/>
  <c r="W20" i="1"/>
  <c r="V20" i="1"/>
  <c r="U20" i="1"/>
  <c r="Y19" i="1"/>
  <c r="X19" i="1"/>
  <c r="W19" i="1"/>
  <c r="V19" i="1"/>
  <c r="U19" i="1"/>
  <c r="Y18" i="1"/>
  <c r="X18" i="1"/>
  <c r="W18" i="1"/>
  <c r="V18" i="1"/>
  <c r="U18" i="1"/>
  <c r="Y17" i="1"/>
  <c r="X17" i="1"/>
  <c r="W17" i="1"/>
  <c r="V17" i="1"/>
  <c r="Y16" i="1"/>
  <c r="X16" i="1"/>
  <c r="W16" i="1"/>
  <c r="V16" i="1"/>
  <c r="U16" i="1"/>
  <c r="Y15" i="1"/>
  <c r="X15" i="1"/>
  <c r="W15" i="1"/>
  <c r="V15" i="1"/>
  <c r="U15" i="1"/>
  <c r="Y14" i="1"/>
  <c r="X14" i="1"/>
  <c r="W14" i="1"/>
  <c r="V14" i="1"/>
  <c r="Y13" i="1"/>
  <c r="X13" i="1"/>
  <c r="W13" i="1"/>
  <c r="V13" i="1"/>
  <c r="U13" i="1"/>
  <c r="Y12" i="1"/>
  <c r="X12" i="1"/>
  <c r="W12" i="1"/>
  <c r="V12" i="1"/>
  <c r="U12" i="1"/>
  <c r="Y11" i="1"/>
  <c r="X11" i="1"/>
  <c r="W11" i="1"/>
  <c r="V11" i="1"/>
  <c r="U11" i="1"/>
  <c r="Y10" i="1"/>
  <c r="X10" i="1"/>
  <c r="W10" i="1"/>
  <c r="V10" i="1"/>
  <c r="U10" i="1"/>
  <c r="Y9" i="1"/>
  <c r="X9" i="1"/>
  <c r="W9" i="1"/>
  <c r="V9" i="1"/>
  <c r="U9" i="1"/>
  <c r="Y8" i="1"/>
  <c r="X8" i="1"/>
  <c r="W8" i="1"/>
  <c r="V8" i="1"/>
  <c r="Y7" i="1"/>
  <c r="X7" i="1"/>
  <c r="W7" i="1"/>
  <c r="V7" i="1"/>
  <c r="U7" i="1"/>
  <c r="Y6" i="1"/>
  <c r="X6" i="1"/>
  <c r="W6" i="1"/>
  <c r="V6" i="1"/>
  <c r="U6" i="1"/>
  <c r="Y5" i="1"/>
  <c r="X5" i="1"/>
  <c r="W5" i="1"/>
  <c r="V5" i="1"/>
  <c r="U5" i="1"/>
  <c r="Y4" i="1"/>
  <c r="X4" i="1"/>
  <c r="W4" i="1"/>
  <c r="V4" i="1"/>
  <c r="U4" i="1"/>
  <c r="Y3" i="1"/>
  <c r="X3" i="1"/>
  <c r="W3" i="1"/>
  <c r="V3" i="1"/>
  <c r="U3" i="1"/>
  <c r="Y2" i="1"/>
  <c r="X2" i="1"/>
  <c r="V2" i="1"/>
  <c r="AC52" i="1" l="1"/>
  <c r="AA2" i="1"/>
  <c r="AE331" i="1"/>
  <c r="AE319" i="1"/>
  <c r="AE307" i="1"/>
  <c r="AE295" i="1"/>
  <c r="AC5" i="1"/>
  <c r="AC86" i="1"/>
  <c r="AE336" i="1"/>
  <c r="AE324" i="1"/>
  <c r="AE312" i="1"/>
  <c r="AE300" i="1"/>
  <c r="AE335" i="1"/>
  <c r="AE323" i="1"/>
  <c r="AE311" i="1"/>
  <c r="AE299" i="1"/>
  <c r="AE287" i="1"/>
  <c r="AE275" i="1"/>
  <c r="AE263" i="1"/>
  <c r="AE333" i="1"/>
  <c r="AE321" i="1"/>
  <c r="AE309" i="1"/>
  <c r="AC75" i="1"/>
  <c r="AC40" i="1"/>
  <c r="AE330" i="1"/>
  <c r="AE318" i="1"/>
  <c r="AE306" i="1"/>
  <c r="AE294" i="1"/>
  <c r="AE282" i="1"/>
  <c r="AE270" i="1"/>
  <c r="AE258" i="1"/>
  <c r="AE246" i="1"/>
  <c r="AE234" i="1"/>
  <c r="AE222" i="1"/>
  <c r="AE210" i="1"/>
  <c r="AE198" i="1"/>
  <c r="AE186" i="1"/>
  <c r="AE174" i="1"/>
  <c r="AE162" i="1"/>
  <c r="AE150" i="1"/>
  <c r="AE138" i="1"/>
  <c r="AE126" i="1"/>
  <c r="AC17" i="1"/>
  <c r="AC15" i="1"/>
  <c r="AE328" i="1"/>
  <c r="AE316" i="1"/>
  <c r="AE283" i="1"/>
  <c r="AE271" i="1"/>
  <c r="AE259" i="1"/>
  <c r="AC332" i="1"/>
  <c r="AC320" i="1"/>
  <c r="AC308" i="1"/>
  <c r="AC296" i="1"/>
  <c r="AC284" i="1"/>
  <c r="AC272" i="1"/>
  <c r="AC260" i="1"/>
  <c r="AC248" i="1"/>
  <c r="AC236" i="1"/>
  <c r="AC224" i="1"/>
  <c r="AC212" i="1"/>
  <c r="AC200" i="1"/>
  <c r="AC188" i="1"/>
  <c r="AC176" i="1"/>
  <c r="AC164" i="1"/>
  <c r="AC152" i="1"/>
  <c r="AC140" i="1"/>
  <c r="AC128" i="1"/>
  <c r="AC116" i="1"/>
  <c r="AC104" i="1"/>
  <c r="AC92" i="1"/>
  <c r="AC80" i="1"/>
  <c r="AC68" i="1"/>
  <c r="AC56" i="1"/>
  <c r="AC44" i="1"/>
  <c r="AC32" i="1"/>
  <c r="AC20" i="1"/>
  <c r="AC8" i="1"/>
  <c r="AC2" i="1"/>
  <c r="AC331" i="1"/>
  <c r="AC319" i="1"/>
  <c r="AC307" i="1"/>
  <c r="AC295" i="1"/>
  <c r="AC283" i="1"/>
  <c r="AC271" i="1"/>
  <c r="AC259" i="1"/>
  <c r="AC247" i="1"/>
  <c r="AC235" i="1"/>
  <c r="AC223" i="1"/>
  <c r="AC211" i="1"/>
  <c r="AC199" i="1"/>
  <c r="AC187" i="1"/>
  <c r="AC175" i="1"/>
  <c r="AC163" i="1"/>
  <c r="AC151" i="1"/>
  <c r="AC139" i="1"/>
  <c r="AC127" i="1"/>
  <c r="AC115" i="1"/>
  <c r="AC103" i="1"/>
  <c r="AC91" i="1"/>
  <c r="AC79" i="1"/>
  <c r="AC67" i="1"/>
  <c r="AC55" i="1"/>
  <c r="AC43" i="1"/>
  <c r="AC31" i="1"/>
  <c r="AC19" i="1"/>
  <c r="AC7" i="1"/>
  <c r="AC62" i="1"/>
  <c r="AE288" i="1"/>
  <c r="AE276" i="1"/>
  <c r="AE264" i="1"/>
  <c r="AE252" i="1"/>
  <c r="AE240" i="1"/>
  <c r="AE228" i="1"/>
  <c r="AE216" i="1"/>
  <c r="AE204" i="1"/>
  <c r="AE192" i="1"/>
  <c r="AE180" i="1"/>
  <c r="AE168" i="1"/>
  <c r="AE156" i="1"/>
  <c r="AE144" i="1"/>
  <c r="AE132" i="1"/>
  <c r="AE120" i="1"/>
  <c r="AE108" i="1"/>
  <c r="AE96" i="1"/>
  <c r="AE84" i="1"/>
  <c r="AE72" i="1"/>
  <c r="AE60" i="1"/>
  <c r="AE48" i="1"/>
  <c r="AE36" i="1"/>
  <c r="AE24" i="1"/>
  <c r="AE12" i="1"/>
  <c r="AE251" i="1"/>
  <c r="AE239" i="1"/>
  <c r="AE227" i="1"/>
  <c r="AE215" i="1"/>
  <c r="AE203" i="1"/>
  <c r="AE191" i="1"/>
  <c r="AE179" i="1"/>
  <c r="AE167" i="1"/>
  <c r="AE155" i="1"/>
  <c r="AE143" i="1"/>
  <c r="AE131" i="1"/>
  <c r="AE119" i="1"/>
  <c r="AE107" i="1"/>
  <c r="AE95" i="1"/>
  <c r="AE83" i="1"/>
  <c r="AE71" i="1"/>
  <c r="AE59" i="1"/>
  <c r="AE47" i="1"/>
  <c r="AE35" i="1"/>
  <c r="AE23" i="1"/>
  <c r="AE11" i="1"/>
  <c r="AC41" i="1"/>
  <c r="AE334" i="1"/>
  <c r="AE322" i="1"/>
  <c r="AE310" i="1"/>
  <c r="AE298" i="1"/>
  <c r="AE286" i="1"/>
  <c r="AE274" i="1"/>
  <c r="AE262" i="1"/>
  <c r="AE250" i="1"/>
  <c r="AE238" i="1"/>
  <c r="AE226" i="1"/>
  <c r="AE214" i="1"/>
  <c r="AE202" i="1"/>
  <c r="AE190" i="1"/>
  <c r="AE178" i="1"/>
  <c r="AE166" i="1"/>
  <c r="AE154" i="1"/>
  <c r="AE142" i="1"/>
  <c r="AE130" i="1"/>
  <c r="AE118" i="1"/>
  <c r="AE106" i="1"/>
  <c r="AE94" i="1"/>
  <c r="AE82" i="1"/>
  <c r="AE70" i="1"/>
  <c r="AE58" i="1"/>
  <c r="AE46" i="1"/>
  <c r="AE34" i="1"/>
  <c r="AE22" i="1"/>
  <c r="AE10" i="1"/>
  <c r="AC53" i="1"/>
  <c r="AC330" i="1"/>
  <c r="AC318" i="1"/>
  <c r="AC306" i="1"/>
  <c r="AC294" i="1"/>
  <c r="AC282" i="1"/>
  <c r="AC270" i="1"/>
  <c r="AC258" i="1"/>
  <c r="AC246" i="1"/>
  <c r="AC234" i="1"/>
  <c r="AC222" i="1"/>
  <c r="AC210" i="1"/>
  <c r="AC198" i="1"/>
  <c r="AC186" i="1"/>
  <c r="AC174" i="1"/>
  <c r="AC162" i="1"/>
  <c r="AC150" i="1"/>
  <c r="AC138" i="1"/>
  <c r="AC126" i="1"/>
  <c r="AC114" i="1"/>
  <c r="AC102" i="1"/>
  <c r="AC90" i="1"/>
  <c r="AC78" i="1"/>
  <c r="AC66" i="1"/>
  <c r="AC54" i="1"/>
  <c r="AC42" i="1"/>
  <c r="AC18" i="1"/>
  <c r="AC6" i="1"/>
  <c r="AE339" i="1"/>
  <c r="AE340" i="1"/>
  <c r="AE297" i="1"/>
  <c r="AE285" i="1"/>
  <c r="AE273" i="1"/>
  <c r="AE261" i="1"/>
  <c r="AE249" i="1"/>
  <c r="AE237" i="1"/>
  <c r="AE225" i="1"/>
  <c r="AE213" i="1"/>
  <c r="AE201" i="1"/>
  <c r="AE189" i="1"/>
  <c r="AE177" i="1"/>
  <c r="AE165" i="1"/>
  <c r="AE153" i="1"/>
  <c r="AE141" i="1"/>
  <c r="AE129" i="1"/>
  <c r="AE117" i="1"/>
  <c r="AE105" i="1"/>
  <c r="AE93" i="1"/>
  <c r="AE81" i="1"/>
  <c r="AE69" i="1"/>
  <c r="AE57" i="1"/>
  <c r="AE45" i="1"/>
  <c r="AE33" i="1"/>
  <c r="AE21" i="1"/>
  <c r="AE9" i="1"/>
  <c r="AC30" i="1"/>
  <c r="AC329" i="1"/>
  <c r="AC317" i="1"/>
  <c r="AC305" i="1"/>
  <c r="AC293" i="1"/>
  <c r="AC281" i="1"/>
  <c r="AC269" i="1"/>
  <c r="AC257" i="1"/>
  <c r="AC245" i="1"/>
  <c r="AC233" i="1"/>
  <c r="AC221" i="1"/>
  <c r="AC209" i="1"/>
  <c r="AC197" i="1"/>
  <c r="AC185" i="1"/>
  <c r="AC173" i="1"/>
  <c r="AC161" i="1"/>
  <c r="AC149" i="1"/>
  <c r="AC137" i="1"/>
  <c r="AC113" i="1"/>
  <c r="AC65" i="1"/>
  <c r="AC29" i="1"/>
  <c r="AC340" i="1"/>
  <c r="AC28" i="1"/>
  <c r="AE332" i="1"/>
  <c r="AE320" i="1"/>
  <c r="AE308" i="1"/>
  <c r="AE296" i="1"/>
  <c r="AE284" i="1"/>
  <c r="AE272" i="1"/>
  <c r="AE260" i="1"/>
  <c r="AE248" i="1"/>
  <c r="AE236" i="1"/>
  <c r="AE224" i="1"/>
  <c r="AE212" i="1"/>
  <c r="AE200" i="1"/>
  <c r="AE188" i="1"/>
  <c r="AE176" i="1"/>
  <c r="AE164" i="1"/>
  <c r="AE152" i="1"/>
  <c r="AE140" i="1"/>
  <c r="AE128" i="1"/>
  <c r="AE116" i="1"/>
  <c r="AE104" i="1"/>
  <c r="AE92" i="1"/>
  <c r="AE80" i="1"/>
  <c r="AE68" i="1"/>
  <c r="AE56" i="1"/>
  <c r="AE44" i="1"/>
  <c r="AE32" i="1"/>
  <c r="AE20" i="1"/>
  <c r="AE8" i="1"/>
  <c r="AC14" i="1"/>
  <c r="AC328" i="1"/>
  <c r="AC316" i="1"/>
  <c r="AC304" i="1"/>
  <c r="AC292" i="1"/>
  <c r="AC280" i="1"/>
  <c r="AC268" i="1"/>
  <c r="AC256" i="1"/>
  <c r="AC244" i="1"/>
  <c r="AC232" i="1"/>
  <c r="AC220" i="1"/>
  <c r="AC208" i="1"/>
  <c r="AC196" i="1"/>
  <c r="AC184" i="1"/>
  <c r="AC172" i="1"/>
  <c r="AC160" i="1"/>
  <c r="AC148" i="1"/>
  <c r="AC136" i="1"/>
  <c r="AC124" i="1"/>
  <c r="AC112" i="1"/>
  <c r="AC100" i="1"/>
  <c r="AC88" i="1"/>
  <c r="AC76" i="1"/>
  <c r="AC64" i="1"/>
  <c r="AC16" i="1"/>
  <c r="AC4" i="1"/>
  <c r="AE247" i="1"/>
  <c r="AE235" i="1"/>
  <c r="AE223" i="1"/>
  <c r="AE211" i="1"/>
  <c r="AE199" i="1"/>
  <c r="AE187" i="1"/>
  <c r="AE175" i="1"/>
  <c r="AE163" i="1"/>
  <c r="AE151" i="1"/>
  <c r="AE139" i="1"/>
  <c r="AE127" i="1"/>
  <c r="AE115" i="1"/>
  <c r="AE103" i="1"/>
  <c r="AE91" i="1"/>
  <c r="AE79" i="1"/>
  <c r="AE67" i="1"/>
  <c r="AE55" i="1"/>
  <c r="AE43" i="1"/>
  <c r="AE31" i="1"/>
  <c r="AE19" i="1"/>
  <c r="AE7" i="1"/>
  <c r="AC327" i="1"/>
  <c r="AC315" i="1"/>
  <c r="AC303" i="1"/>
  <c r="AC291" i="1"/>
  <c r="AC279" i="1"/>
  <c r="AC267" i="1"/>
  <c r="AC255" i="1"/>
  <c r="AC243" i="1"/>
  <c r="AC231" i="1"/>
  <c r="AC219" i="1"/>
  <c r="AC207" i="1"/>
  <c r="AC195" i="1"/>
  <c r="AC183" i="1"/>
  <c r="AC171" i="1"/>
  <c r="AC159" i="1"/>
  <c r="AC147" i="1"/>
  <c r="AC135" i="1"/>
  <c r="AC123" i="1"/>
  <c r="AC111" i="1"/>
  <c r="AC99" i="1"/>
  <c r="AC87" i="1"/>
  <c r="AC63" i="1"/>
  <c r="AC51" i="1"/>
  <c r="AC39" i="1"/>
  <c r="AC27" i="1"/>
  <c r="AC3" i="1"/>
  <c r="AE114" i="1"/>
  <c r="AE102" i="1"/>
  <c r="AE90" i="1"/>
  <c r="AE78" i="1"/>
  <c r="AE66" i="1"/>
  <c r="AE54" i="1"/>
  <c r="AE42" i="1"/>
  <c r="AE30" i="1"/>
  <c r="AE18" i="1"/>
  <c r="AE6" i="1"/>
  <c r="AC338" i="1"/>
  <c r="AC326" i="1"/>
  <c r="AC314" i="1"/>
  <c r="AC302" i="1"/>
  <c r="AC290" i="1"/>
  <c r="AC278" i="1"/>
  <c r="AC266" i="1"/>
  <c r="AC254" i="1"/>
  <c r="AC242" i="1"/>
  <c r="AC230" i="1"/>
  <c r="AC218" i="1"/>
  <c r="AC206" i="1"/>
  <c r="AC194" i="1"/>
  <c r="AC182" i="1"/>
  <c r="AC170" i="1"/>
  <c r="AC158" i="1"/>
  <c r="AC146" i="1"/>
  <c r="AC134" i="1"/>
  <c r="AC122" i="1"/>
  <c r="AC110" i="1"/>
  <c r="AC74" i="1"/>
  <c r="AC50" i="1"/>
  <c r="AC38" i="1"/>
  <c r="AC26" i="1"/>
  <c r="AC339" i="1"/>
  <c r="AE329" i="1"/>
  <c r="AE317" i="1"/>
  <c r="AE305" i="1"/>
  <c r="AE293" i="1"/>
  <c r="AE281" i="1"/>
  <c r="AE269" i="1"/>
  <c r="AE257" i="1"/>
  <c r="AE245" i="1"/>
  <c r="AE233" i="1"/>
  <c r="AE221" i="1"/>
  <c r="AE209" i="1"/>
  <c r="AE197" i="1"/>
  <c r="AE185" i="1"/>
  <c r="AE173" i="1"/>
  <c r="AE161" i="1"/>
  <c r="AE149" i="1"/>
  <c r="AE137" i="1"/>
  <c r="AE125" i="1"/>
  <c r="AE113" i="1"/>
  <c r="AE101" i="1"/>
  <c r="AE89" i="1"/>
  <c r="AE77" i="1"/>
  <c r="AE65" i="1"/>
  <c r="AE53" i="1"/>
  <c r="AE41" i="1"/>
  <c r="AE29" i="1"/>
  <c r="AE17" i="1"/>
  <c r="AE5" i="1"/>
  <c r="AC337" i="1"/>
  <c r="AC325" i="1"/>
  <c r="AC313" i="1"/>
  <c r="AC301" i="1"/>
  <c r="AC289" i="1"/>
  <c r="AC277" i="1"/>
  <c r="AC265" i="1"/>
  <c r="AC253" i="1"/>
  <c r="AC241" i="1"/>
  <c r="AC229" i="1"/>
  <c r="AC217" i="1"/>
  <c r="AC205" i="1"/>
  <c r="AC193" i="1"/>
  <c r="AC181" i="1"/>
  <c r="AC169" i="1"/>
  <c r="AC157" i="1"/>
  <c r="AC145" i="1"/>
  <c r="AC133" i="1"/>
  <c r="AC121" i="1"/>
  <c r="AC109" i="1"/>
  <c r="AC97" i="1"/>
  <c r="AC85" i="1"/>
  <c r="AC73" i="1"/>
  <c r="AC61" i="1"/>
  <c r="AC49" i="1"/>
  <c r="AC37" i="1"/>
  <c r="AC25" i="1"/>
  <c r="AC13" i="1"/>
  <c r="AE304" i="1"/>
  <c r="AE292" i="1"/>
  <c r="AE280" i="1"/>
  <c r="AE268" i="1"/>
  <c r="AE256" i="1"/>
  <c r="AE244" i="1"/>
  <c r="AE232" i="1"/>
  <c r="AE220" i="1"/>
  <c r="AE208" i="1"/>
  <c r="AE196" i="1"/>
  <c r="AE184" i="1"/>
  <c r="AE172" i="1"/>
  <c r="AE160" i="1"/>
  <c r="AE148" i="1"/>
  <c r="AE136" i="1"/>
  <c r="AE124" i="1"/>
  <c r="AE112" i="1"/>
  <c r="AE100" i="1"/>
  <c r="AE88" i="1"/>
  <c r="AE76" i="1"/>
  <c r="AE64" i="1"/>
  <c r="AE52" i="1"/>
  <c r="AE40" i="1"/>
  <c r="AE28" i="1"/>
  <c r="AE16" i="1"/>
  <c r="AE4" i="1"/>
  <c r="AC336" i="1"/>
  <c r="AC324" i="1"/>
  <c r="AC312" i="1"/>
  <c r="AC300" i="1"/>
  <c r="AC288" i="1"/>
  <c r="AC276" i="1"/>
  <c r="AC264" i="1"/>
  <c r="AC252" i="1"/>
  <c r="AC240" i="1"/>
  <c r="AC228" i="1"/>
  <c r="AC216" i="1"/>
  <c r="AC204" i="1"/>
  <c r="AC192" i="1"/>
  <c r="AC180" i="1"/>
  <c r="AC168" i="1"/>
  <c r="AC156" i="1"/>
  <c r="AC144" i="1"/>
  <c r="AC132" i="1"/>
  <c r="AC120" i="1"/>
  <c r="AC108" i="1"/>
  <c r="AC96" i="1"/>
  <c r="AC84" i="1"/>
  <c r="AC72" i="1"/>
  <c r="AC60" i="1"/>
  <c r="AC48" i="1"/>
  <c r="AC36" i="1"/>
  <c r="AC24" i="1"/>
  <c r="AC12" i="1"/>
  <c r="AC101" i="1"/>
  <c r="AE2" i="1"/>
  <c r="AE327" i="1"/>
  <c r="AE315" i="1"/>
  <c r="AE303" i="1"/>
  <c r="AE291" i="1"/>
  <c r="AE279" i="1"/>
  <c r="AE267" i="1"/>
  <c r="AE255" i="1"/>
  <c r="AE243" i="1"/>
  <c r="AE231" i="1"/>
  <c r="AE219" i="1"/>
  <c r="AE207" i="1"/>
  <c r="AE195" i="1"/>
  <c r="AE183" i="1"/>
  <c r="AE171" i="1"/>
  <c r="AE159" i="1"/>
  <c r="AE147" i="1"/>
  <c r="AE135" i="1"/>
  <c r="AE123" i="1"/>
  <c r="AE111" i="1"/>
  <c r="AE99" i="1"/>
  <c r="AE87" i="1"/>
  <c r="AE75" i="1"/>
  <c r="AE63" i="1"/>
  <c r="AE51" i="1"/>
  <c r="AE39" i="1"/>
  <c r="AE27" i="1"/>
  <c r="AE15" i="1"/>
  <c r="AE3" i="1"/>
  <c r="AC335" i="1"/>
  <c r="AC323" i="1"/>
  <c r="AC311" i="1"/>
  <c r="AC299" i="1"/>
  <c r="AC287" i="1"/>
  <c r="AC275" i="1"/>
  <c r="AC263" i="1"/>
  <c r="AC251" i="1"/>
  <c r="AC239" i="1"/>
  <c r="AC227" i="1"/>
  <c r="AC215" i="1"/>
  <c r="AC203" i="1"/>
  <c r="AC191" i="1"/>
  <c r="AC179" i="1"/>
  <c r="AC167" i="1"/>
  <c r="AC155" i="1"/>
  <c r="AC143" i="1"/>
  <c r="AC131" i="1"/>
  <c r="AC119" i="1"/>
  <c r="AC107" i="1"/>
  <c r="AC95" i="1"/>
  <c r="AC83" i="1"/>
  <c r="AC71" i="1"/>
  <c r="AC59" i="1"/>
  <c r="AC47" i="1"/>
  <c r="AC35" i="1"/>
  <c r="AC23" i="1"/>
  <c r="AC11" i="1"/>
  <c r="AC89" i="1"/>
  <c r="AE338" i="1"/>
  <c r="AE326" i="1"/>
  <c r="AE314" i="1"/>
  <c r="AE302" i="1"/>
  <c r="AE290" i="1"/>
  <c r="AE278" i="1"/>
  <c r="AE266" i="1"/>
  <c r="AE254" i="1"/>
  <c r="AE242" i="1"/>
  <c r="AE230" i="1"/>
  <c r="AE218" i="1"/>
  <c r="AE206" i="1"/>
  <c r="AE194" i="1"/>
  <c r="AE182" i="1"/>
  <c r="AE170" i="1"/>
  <c r="AE158" i="1"/>
  <c r="AE146" i="1"/>
  <c r="AE134" i="1"/>
  <c r="AE122" i="1"/>
  <c r="AE110" i="1"/>
  <c r="AE98" i="1"/>
  <c r="AE86" i="1"/>
  <c r="AE74" i="1"/>
  <c r="AE62" i="1"/>
  <c r="AE50" i="1"/>
  <c r="AE38" i="1"/>
  <c r="AE26" i="1"/>
  <c r="AE14" i="1"/>
  <c r="AC125" i="1"/>
  <c r="AC334" i="1"/>
  <c r="AC322" i="1"/>
  <c r="AC310" i="1"/>
  <c r="AC298" i="1"/>
  <c r="AC286" i="1"/>
  <c r="AC274" i="1"/>
  <c r="AC262" i="1"/>
  <c r="AC250" i="1"/>
  <c r="AC238" i="1"/>
  <c r="AC226" i="1"/>
  <c r="AC214" i="1"/>
  <c r="AC202" i="1"/>
  <c r="AC190" i="1"/>
  <c r="AC178" i="1"/>
  <c r="AC166" i="1"/>
  <c r="AC154" i="1"/>
  <c r="AC142" i="1"/>
  <c r="AC130" i="1"/>
  <c r="AC118" i="1"/>
  <c r="AC106" i="1"/>
  <c r="AC94" i="1"/>
  <c r="AC82" i="1"/>
  <c r="AC70" i="1"/>
  <c r="AC58" i="1"/>
  <c r="AC46" i="1"/>
  <c r="AC34" i="1"/>
  <c r="AC22" i="1"/>
  <c r="AC10" i="1"/>
  <c r="AC77" i="1"/>
  <c r="AE337" i="1"/>
  <c r="AE325" i="1"/>
  <c r="AE313" i="1"/>
  <c r="AE301" i="1"/>
  <c r="AE289" i="1"/>
  <c r="AE277" i="1"/>
  <c r="AE265" i="1"/>
  <c r="AE253" i="1"/>
  <c r="AE241" i="1"/>
  <c r="AE229" i="1"/>
  <c r="AE217" i="1"/>
  <c r="AE205" i="1"/>
  <c r="AE193" i="1"/>
  <c r="AE181" i="1"/>
  <c r="AE169" i="1"/>
  <c r="AE157" i="1"/>
  <c r="AE145" i="1"/>
  <c r="AE133" i="1"/>
  <c r="AE121" i="1"/>
  <c r="AE109" i="1"/>
  <c r="AE97" i="1"/>
  <c r="AE85" i="1"/>
  <c r="AE73" i="1"/>
  <c r="AE61" i="1"/>
  <c r="AE49" i="1"/>
  <c r="AE37" i="1"/>
  <c r="AE25" i="1"/>
  <c r="AE13" i="1"/>
  <c r="AC333" i="1"/>
  <c r="AC321" i="1"/>
  <c r="AC309" i="1"/>
  <c r="AC297" i="1"/>
  <c r="AC285" i="1"/>
  <c r="AC273" i="1"/>
  <c r="AC261" i="1"/>
  <c r="AC249" i="1"/>
  <c r="AC237" i="1"/>
  <c r="AC225" i="1"/>
  <c r="AC213" i="1"/>
  <c r="AC201" i="1"/>
  <c r="AC189" i="1"/>
  <c r="AC177" i="1"/>
  <c r="AC165" i="1"/>
  <c r="AC153" i="1"/>
  <c r="AC141" i="1"/>
  <c r="AC129" i="1"/>
  <c r="AC117" i="1"/>
  <c r="AC105" i="1"/>
  <c r="AC93" i="1"/>
  <c r="AC81" i="1"/>
  <c r="AC69" i="1"/>
  <c r="AC57" i="1"/>
  <c r="AC45" i="1"/>
  <c r="AC33" i="1"/>
  <c r="AC21" i="1"/>
  <c r="AC9" i="1"/>
  <c r="AB343" i="1" a="1"/>
  <c r="AB343" i="1" s="1"/>
  <c r="Z343" i="1" a="1"/>
  <c r="Z343" i="1" s="1"/>
  <c r="AA343" i="1" s="1"/>
  <c r="AB342" i="1" a="1"/>
  <c r="AB342" i="1" s="1"/>
  <c r="Z342" i="1" a="1"/>
  <c r="Z342" i="1" s="1"/>
  <c r="AA342" i="1" s="1"/>
  <c r="AB341" i="1" a="1"/>
  <c r="AB341" i="1" s="1"/>
  <c r="AF341" i="1" a="1"/>
  <c r="AF341" i="1" s="1"/>
  <c r="AE341" i="1" s="1"/>
  <c r="AF342" i="1" a="1"/>
  <c r="AF342" i="1" s="1"/>
  <c r="AE342" i="1" s="1"/>
  <c r="AF343" i="1" a="1"/>
  <c r="AF343" i="1" s="1"/>
  <c r="AE343" i="1" s="1"/>
  <c r="AD343" i="1" a="1"/>
  <c r="AD343" i="1" s="1"/>
  <c r="AC343" i="1" s="1"/>
  <c r="AD342" i="1" a="1"/>
  <c r="AD342" i="1" s="1"/>
  <c r="AC342" i="1" s="1"/>
  <c r="AD341" i="1" a="1"/>
  <c r="AD341" i="1" s="1"/>
  <c r="AC341" i="1" s="1"/>
  <c r="W340" i="1"/>
  <c r="W2" i="1"/>
  <c r="U17" i="1"/>
  <c r="U72" i="1"/>
  <c r="U95" i="1"/>
  <c r="U2" i="1"/>
  <c r="V340" i="1"/>
  <c r="U8" i="1"/>
  <c r="U14" i="1"/>
  <c r="V342" i="1"/>
  <c r="U342" i="1"/>
  <c r="W342" i="1"/>
  <c r="X340" i="1"/>
  <c r="Y340" i="1"/>
  <c r="X342" i="1"/>
  <c r="U341" i="1"/>
  <c r="Y342" i="1"/>
  <c r="V341" i="1"/>
  <c r="U343" i="1"/>
  <c r="W341" i="1"/>
  <c r="V343" i="1"/>
  <c r="W343" i="1"/>
  <c r="X341" i="1"/>
  <c r="X343" i="1"/>
  <c r="U340" i="1"/>
  <c r="Y341" i="1"/>
  <c r="Y3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<sst xmlns="http://schemas.openxmlformats.org/spreadsheetml/2006/main" count="10435" uniqueCount="1347">
  <si>
    <t>gwb_code_10</t>
  </si>
  <si>
    <t>gwb_code_8</t>
  </si>
  <si>
    <t>regio</t>
  </si>
  <si>
    <t>gm_naam</t>
  </si>
  <si>
    <t>recs</t>
  </si>
  <si>
    <t>gwb_code</t>
  </si>
  <si>
    <t>ind_wbi</t>
  </si>
  <si>
    <t>a_inw</t>
  </si>
  <si>
    <t>a_man</t>
  </si>
  <si>
    <t>a_vrouw</t>
  </si>
  <si>
    <t>ste_mvs</t>
  </si>
  <si>
    <t>ste_oad</t>
  </si>
  <si>
    <t>p_koopw</t>
  </si>
  <si>
    <t>p_huurw</t>
  </si>
  <si>
    <t>g_hh_sti_2021</t>
  </si>
  <si>
    <t>p_hh_osm_2021</t>
  </si>
  <si>
    <t>p_hh_110_2021</t>
  </si>
  <si>
    <t>p_hh_120_2021</t>
  </si>
  <si>
    <t>m_hh_ver_2021</t>
  </si>
  <si>
    <t>GM0014</t>
  </si>
  <si>
    <t>0014</t>
  </si>
  <si>
    <t>Groningen</t>
  </si>
  <si>
    <t>Gemeente</t>
  </si>
  <si>
    <t>GM0034</t>
  </si>
  <si>
    <t>0034</t>
  </si>
  <si>
    <t>Almere</t>
  </si>
  <si>
    <t>GM0037</t>
  </si>
  <si>
    <t>0037</t>
  </si>
  <si>
    <t>Stadskanaal</t>
  </si>
  <si>
    <t>GM0047</t>
  </si>
  <si>
    <t>0047</t>
  </si>
  <si>
    <t>Veendam</t>
  </si>
  <si>
    <t>GM0050</t>
  </si>
  <si>
    <t>0050</t>
  </si>
  <si>
    <t>Zeewolde</t>
  </si>
  <si>
    <t>GM0059</t>
  </si>
  <si>
    <t>0059</t>
  </si>
  <si>
    <t>Achtkarspelen</t>
  </si>
  <si>
    <t>GM0060</t>
  </si>
  <si>
    <t>0060</t>
  </si>
  <si>
    <t>Ameland</t>
  </si>
  <si>
    <t>GM0072</t>
  </si>
  <si>
    <t>0072</t>
  </si>
  <si>
    <t>Harlingen</t>
  </si>
  <si>
    <t>GM0074</t>
  </si>
  <si>
    <t>0074</t>
  </si>
  <si>
    <t>Heerenveen</t>
  </si>
  <si>
    <t>GM0080</t>
  </si>
  <si>
    <t>0080</t>
  </si>
  <si>
    <t>Leeuwarden</t>
  </si>
  <si>
    <t>GM0085</t>
  </si>
  <si>
    <t>0085</t>
  </si>
  <si>
    <t>Ooststellingwerf</t>
  </si>
  <si>
    <t>GM0086</t>
  </si>
  <si>
    <t>0086</t>
  </si>
  <si>
    <t>Opsterland</t>
  </si>
  <si>
    <t>GM0088</t>
  </si>
  <si>
    <t>0088</t>
  </si>
  <si>
    <t>Schiermonnikoog</t>
  </si>
  <si>
    <t>GM0090</t>
  </si>
  <si>
    <t>0090</t>
  </si>
  <si>
    <t>Smallingerland</t>
  </si>
  <si>
    <t>GM0093</t>
  </si>
  <si>
    <t>0093</t>
  </si>
  <si>
    <t>Terschelling</t>
  </si>
  <si>
    <t>GM0096</t>
  </si>
  <si>
    <t>0096</t>
  </si>
  <si>
    <t>Vlieland</t>
  </si>
  <si>
    <t>GM0098</t>
  </si>
  <si>
    <t>0098</t>
  </si>
  <si>
    <t>Weststellingwerf</t>
  </si>
  <si>
    <t>GM0106</t>
  </si>
  <si>
    <t>0106</t>
  </si>
  <si>
    <t>Assen</t>
  </si>
  <si>
    <t>GM0109</t>
  </si>
  <si>
    <t>0109</t>
  </si>
  <si>
    <t>Coevorden</t>
  </si>
  <si>
    <t>GM0114</t>
  </si>
  <si>
    <t>0114</t>
  </si>
  <si>
    <t>Emmen</t>
  </si>
  <si>
    <t>GM0118</t>
  </si>
  <si>
    <t>0118</t>
  </si>
  <si>
    <t>Hoogeveen</t>
  </si>
  <si>
    <t>GM0119</t>
  </si>
  <si>
    <t>0119</t>
  </si>
  <si>
    <t>Meppel</t>
  </si>
  <si>
    <t>GM0141</t>
  </si>
  <si>
    <t>0141</t>
  </si>
  <si>
    <t>Almelo</t>
  </si>
  <si>
    <t>GM0147</t>
  </si>
  <si>
    <t>0147</t>
  </si>
  <si>
    <t>Borne</t>
  </si>
  <si>
    <t>GM0148</t>
  </si>
  <si>
    <t>0148</t>
  </si>
  <si>
    <t>Dalfsen</t>
  </si>
  <si>
    <t>GM0150</t>
  </si>
  <si>
    <t>0150</t>
  </si>
  <si>
    <t>Deventer</t>
  </si>
  <si>
    <t>GM0153</t>
  </si>
  <si>
    <t>0153</t>
  </si>
  <si>
    <t>Enschede</t>
  </si>
  <si>
    <t>GM0158</t>
  </si>
  <si>
    <t>0158</t>
  </si>
  <si>
    <t>Haaksbergen</t>
  </si>
  <si>
    <t>GM0160</t>
  </si>
  <si>
    <t>0160</t>
  </si>
  <si>
    <t>Hardenberg</t>
  </si>
  <si>
    <t>GM0163</t>
  </si>
  <si>
    <t>0163</t>
  </si>
  <si>
    <t>Hellendoorn</t>
  </si>
  <si>
    <t>GM0164</t>
  </si>
  <si>
    <t>0164</t>
  </si>
  <si>
    <t>Hengelo</t>
  </si>
  <si>
    <t>GM0166</t>
  </si>
  <si>
    <t>0166</t>
  </si>
  <si>
    <t>Kampen</t>
  </si>
  <si>
    <t>GM0168</t>
  </si>
  <si>
    <t>0168</t>
  </si>
  <si>
    <t>Losser</t>
  </si>
  <si>
    <t>GM0171</t>
  </si>
  <si>
    <t>0171</t>
  </si>
  <si>
    <t>Noordoostpolder</t>
  </si>
  <si>
    <t>GM0173</t>
  </si>
  <si>
    <t>0173</t>
  </si>
  <si>
    <t>Oldenzaal</t>
  </si>
  <si>
    <t>GM0175</t>
  </si>
  <si>
    <t>0175</t>
  </si>
  <si>
    <t>Ommen</t>
  </si>
  <si>
    <t>GM0177</t>
  </si>
  <si>
    <t>0177</t>
  </si>
  <si>
    <t>Raalte</t>
  </si>
  <si>
    <t>GM0180</t>
  </si>
  <si>
    <t>0180</t>
  </si>
  <si>
    <t>Staphorst</t>
  </si>
  <si>
    <t>GM0183</t>
  </si>
  <si>
    <t>0183</t>
  </si>
  <si>
    <t>Tubbergen</t>
  </si>
  <si>
    <t>GM0184</t>
  </si>
  <si>
    <t>0184</t>
  </si>
  <si>
    <t>Urk</t>
  </si>
  <si>
    <t>GM0189</t>
  </si>
  <si>
    <t>0189</t>
  </si>
  <si>
    <t>Wierden</t>
  </si>
  <si>
    <t>GM0193</t>
  </si>
  <si>
    <t>0193</t>
  </si>
  <si>
    <t>Zwolle</t>
  </si>
  <si>
    <t>GM0197</t>
  </si>
  <si>
    <t>0197</t>
  </si>
  <si>
    <t>Aalten</t>
  </si>
  <si>
    <t>GM0200</t>
  </si>
  <si>
    <t>0200</t>
  </si>
  <si>
    <t>Apeldoorn</t>
  </si>
  <si>
    <t>GM0202</t>
  </si>
  <si>
    <t>0202</t>
  </si>
  <si>
    <t>Arnhem</t>
  </si>
  <si>
    <t>GM0203</t>
  </si>
  <si>
    <t>0203</t>
  </si>
  <si>
    <t>Barneveld</t>
  </si>
  <si>
    <t>GM0209</t>
  </si>
  <si>
    <t>0209</t>
  </si>
  <si>
    <t>Beuningen</t>
  </si>
  <si>
    <t>GM0213</t>
  </si>
  <si>
    <t>0213</t>
  </si>
  <si>
    <t>Brummen</t>
  </si>
  <si>
    <t>GM0214</t>
  </si>
  <si>
    <t>0214</t>
  </si>
  <si>
    <t>Buren</t>
  </si>
  <si>
    <t>GM0216</t>
  </si>
  <si>
    <t>0216</t>
  </si>
  <si>
    <t>Culemborg</t>
  </si>
  <si>
    <t>GM0221</t>
  </si>
  <si>
    <t>0221</t>
  </si>
  <si>
    <t>Doesburg</t>
  </si>
  <si>
    <t>GM0222</t>
  </si>
  <si>
    <t>0222</t>
  </si>
  <si>
    <t>Doetinchem</t>
  </si>
  <si>
    <t>GM0225</t>
  </si>
  <si>
    <t>0225</t>
  </si>
  <si>
    <t>Druten</t>
  </si>
  <si>
    <t>GM0226</t>
  </si>
  <si>
    <t>0226</t>
  </si>
  <si>
    <t>Duiven</t>
  </si>
  <si>
    <t>GM0228</t>
  </si>
  <si>
    <t>0228</t>
  </si>
  <si>
    <t>Ede</t>
  </si>
  <si>
    <t>GM0230</t>
  </si>
  <si>
    <t>0230</t>
  </si>
  <si>
    <t>Elburg</t>
  </si>
  <si>
    <t>GM0232</t>
  </si>
  <si>
    <t>0232</t>
  </si>
  <si>
    <t>Epe</t>
  </si>
  <si>
    <t>GM0233</t>
  </si>
  <si>
    <t>0233</t>
  </si>
  <si>
    <t>Ermelo</t>
  </si>
  <si>
    <t>GM0243</t>
  </si>
  <si>
    <t>0243</t>
  </si>
  <si>
    <t>Harderwijk</t>
  </si>
  <si>
    <t>GM0244</t>
  </si>
  <si>
    <t>0244</t>
  </si>
  <si>
    <t>Hattem</t>
  </si>
  <si>
    <t>GM0246</t>
  </si>
  <si>
    <t>0246</t>
  </si>
  <si>
    <t>Heerde</t>
  </si>
  <si>
    <t>GM0252</t>
  </si>
  <si>
    <t>0252</t>
  </si>
  <si>
    <t>Heumen</t>
  </si>
  <si>
    <t>GM0262</t>
  </si>
  <si>
    <t>0262</t>
  </si>
  <si>
    <t>Lochem</t>
  </si>
  <si>
    <t>GM0263</t>
  </si>
  <si>
    <t>0263</t>
  </si>
  <si>
    <t>Maasdriel</t>
  </si>
  <si>
    <t>GM0267</t>
  </si>
  <si>
    <t>0267</t>
  </si>
  <si>
    <t>Nijkerk</t>
  </si>
  <si>
    <t>GM0268</t>
  </si>
  <si>
    <t>0268</t>
  </si>
  <si>
    <t>Nijmegen</t>
  </si>
  <si>
    <t>GM0269</t>
  </si>
  <si>
    <t>0269</t>
  </si>
  <si>
    <t>Oldebroek</t>
  </si>
  <si>
    <t>GM0273</t>
  </si>
  <si>
    <t>0273</t>
  </si>
  <si>
    <t>Putten</t>
  </si>
  <si>
    <t>GM0274</t>
  </si>
  <si>
    <t>0274</t>
  </si>
  <si>
    <t>Renkum</t>
  </si>
  <si>
    <t>GM0275</t>
  </si>
  <si>
    <t>0275</t>
  </si>
  <si>
    <t>Rheden</t>
  </si>
  <si>
    <t>GM0277</t>
  </si>
  <si>
    <t>0277</t>
  </si>
  <si>
    <t>Rozendaal</t>
  </si>
  <si>
    <t>GM0279</t>
  </si>
  <si>
    <t>0279</t>
  </si>
  <si>
    <t>Scherpenzeel</t>
  </si>
  <si>
    <t>GM0281</t>
  </si>
  <si>
    <t>0281</t>
  </si>
  <si>
    <t>Tiel</t>
  </si>
  <si>
    <t>GM0285</t>
  </si>
  <si>
    <t>0285</t>
  </si>
  <si>
    <t>Voorst</t>
  </si>
  <si>
    <t>GM0289</t>
  </si>
  <si>
    <t>0289</t>
  </si>
  <si>
    <t>Wageningen</t>
  </si>
  <si>
    <t>GM0293</t>
  </si>
  <si>
    <t>0293</t>
  </si>
  <si>
    <t>Westervoort</t>
  </si>
  <si>
    <t>GM0294</t>
  </si>
  <si>
    <t>0294</t>
  </si>
  <si>
    <t>Winterswijk</t>
  </si>
  <si>
    <t>GM0296</t>
  </si>
  <si>
    <t>0296</t>
  </si>
  <si>
    <t>Wijchen</t>
  </si>
  <si>
    <t>GM0297</t>
  </si>
  <si>
    <t>0297</t>
  </si>
  <si>
    <t>Zaltbommel</t>
  </si>
  <si>
    <t>GM0299</t>
  </si>
  <si>
    <t>0299</t>
  </si>
  <si>
    <t>Zevenaar</t>
  </si>
  <si>
    <t>GM0301</t>
  </si>
  <si>
    <t>0301</t>
  </si>
  <si>
    <t>Zutphen</t>
  </si>
  <si>
    <t>GM0302</t>
  </si>
  <si>
    <t>0302</t>
  </si>
  <si>
    <t>Nunspeet</t>
  </si>
  <si>
    <t>GM0303</t>
  </si>
  <si>
    <t>0303</t>
  </si>
  <si>
    <t>Dronten</t>
  </si>
  <si>
    <t>GM0307</t>
  </si>
  <si>
    <t>0307</t>
  </si>
  <si>
    <t>Amersfoort</t>
  </si>
  <si>
    <t>GM0308</t>
  </si>
  <si>
    <t>0308</t>
  </si>
  <si>
    <t>Baarn</t>
  </si>
  <si>
    <t>GM0310</t>
  </si>
  <si>
    <t>0310</t>
  </si>
  <si>
    <t>De Bilt</t>
  </si>
  <si>
    <t>GM0312</t>
  </si>
  <si>
    <t>0312</t>
  </si>
  <si>
    <t>Bunnik</t>
  </si>
  <si>
    <t>GM0313</t>
  </si>
  <si>
    <t>0313</t>
  </si>
  <si>
    <t>Bunschoten</t>
  </si>
  <si>
    <t>GM0317</t>
  </si>
  <si>
    <t>0317</t>
  </si>
  <si>
    <t>Eemnes</t>
  </si>
  <si>
    <t>GM0321</t>
  </si>
  <si>
    <t>0321</t>
  </si>
  <si>
    <t>Houten</t>
  </si>
  <si>
    <t>GM0327</t>
  </si>
  <si>
    <t>0327</t>
  </si>
  <si>
    <t>Leusden</t>
  </si>
  <si>
    <t>GM0331</t>
  </si>
  <si>
    <t>0331</t>
  </si>
  <si>
    <t>Lopik</t>
  </si>
  <si>
    <t>GM0335</t>
  </si>
  <si>
    <t>0335</t>
  </si>
  <si>
    <t>Montfoort</t>
  </si>
  <si>
    <t>GM0339</t>
  </si>
  <si>
    <t>0339</t>
  </si>
  <si>
    <t>Renswoude</t>
  </si>
  <si>
    <t>GM0340</t>
  </si>
  <si>
    <t>0340</t>
  </si>
  <si>
    <t>Rhenen</t>
  </si>
  <si>
    <t>GM0342</t>
  </si>
  <si>
    <t>0342</t>
  </si>
  <si>
    <t>Soest</t>
  </si>
  <si>
    <t>GM0344</t>
  </si>
  <si>
    <t>0344</t>
  </si>
  <si>
    <t>Utrecht</t>
  </si>
  <si>
    <t>GM0345</t>
  </si>
  <si>
    <t>0345</t>
  </si>
  <si>
    <t>Veenendaal</t>
  </si>
  <si>
    <t>GM0351</t>
  </si>
  <si>
    <t>0351</t>
  </si>
  <si>
    <t>Woudenberg</t>
  </si>
  <si>
    <t>GM0352</t>
  </si>
  <si>
    <t>0352</t>
  </si>
  <si>
    <t>Wijk bij Duurstede</t>
  </si>
  <si>
    <t>GM0353</t>
  </si>
  <si>
    <t>0353</t>
  </si>
  <si>
    <t>IJsselstein</t>
  </si>
  <si>
    <t>GM0355</t>
  </si>
  <si>
    <t>0355</t>
  </si>
  <si>
    <t>Zeist</t>
  </si>
  <si>
    <t>GM0356</t>
  </si>
  <si>
    <t>0356</t>
  </si>
  <si>
    <t>Nieuwegein</t>
  </si>
  <si>
    <t>GM0358</t>
  </si>
  <si>
    <t>0358</t>
  </si>
  <si>
    <t>Aalsmeer</t>
  </si>
  <si>
    <t>GM0361</t>
  </si>
  <si>
    <t>0361</t>
  </si>
  <si>
    <t>Alkmaar</t>
  </si>
  <si>
    <t>GM0362</t>
  </si>
  <si>
    <t>0362</t>
  </si>
  <si>
    <t>Amstelveen</t>
  </si>
  <si>
    <t>GM0363</t>
  </si>
  <si>
    <t>0363</t>
  </si>
  <si>
    <t>Amsterdam</t>
  </si>
  <si>
    <t>GM0373</t>
  </si>
  <si>
    <t>0373</t>
  </si>
  <si>
    <t>Bergen (NH.)</t>
  </si>
  <si>
    <t>GM0375</t>
  </si>
  <si>
    <t>0375</t>
  </si>
  <si>
    <t>Beverwijk</t>
  </si>
  <si>
    <t>GM0376</t>
  </si>
  <si>
    <t>0376</t>
  </si>
  <si>
    <t>Blaricum</t>
  </si>
  <si>
    <t>GM0377</t>
  </si>
  <si>
    <t>0377</t>
  </si>
  <si>
    <t>Bloemendaal</t>
  </si>
  <si>
    <t>GM0383</t>
  </si>
  <si>
    <t>0383</t>
  </si>
  <si>
    <t>Castricum</t>
  </si>
  <si>
    <t>GM0384</t>
  </si>
  <si>
    <t>0384</t>
  </si>
  <si>
    <t>Diemen</t>
  </si>
  <si>
    <t>GM0385</t>
  </si>
  <si>
    <t>0385</t>
  </si>
  <si>
    <t>Edam-Volendam</t>
  </si>
  <si>
    <t>GM0388</t>
  </si>
  <si>
    <t>0388</t>
  </si>
  <si>
    <t>Enkhuizen</t>
  </si>
  <si>
    <t>GM0392</t>
  </si>
  <si>
    <t>0392</t>
  </si>
  <si>
    <t>Haarlem</t>
  </si>
  <si>
    <t>GM0394</t>
  </si>
  <si>
    <t>0394</t>
  </si>
  <si>
    <t>Haarlemmermeer</t>
  </si>
  <si>
    <t>GM0396</t>
  </si>
  <si>
    <t>0396</t>
  </si>
  <si>
    <t>Heemskerk</t>
  </si>
  <si>
    <t>GM0397</t>
  </si>
  <si>
    <t>0397</t>
  </si>
  <si>
    <t>Heemstede</t>
  </si>
  <si>
    <t>GM0399</t>
  </si>
  <si>
    <t>0399</t>
  </si>
  <si>
    <t>Heiloo</t>
  </si>
  <si>
    <t>GM0400</t>
  </si>
  <si>
    <t>0400</t>
  </si>
  <si>
    <t>Den Helder</t>
  </si>
  <si>
    <t>GM0402</t>
  </si>
  <si>
    <t>0402</t>
  </si>
  <si>
    <t>Hilversum</t>
  </si>
  <si>
    <t>GM0405</t>
  </si>
  <si>
    <t>0405</t>
  </si>
  <si>
    <t>Hoorn</t>
  </si>
  <si>
    <t>GM0406</t>
  </si>
  <si>
    <t>0406</t>
  </si>
  <si>
    <t>Huizen</t>
  </si>
  <si>
    <t>GM0415</t>
  </si>
  <si>
    <t>0415</t>
  </si>
  <si>
    <t>Landsmeer</t>
  </si>
  <si>
    <t>GM0417</t>
  </si>
  <si>
    <t>0417</t>
  </si>
  <si>
    <t>Laren</t>
  </si>
  <si>
    <t>GM0420</t>
  </si>
  <si>
    <t>0420</t>
  </si>
  <si>
    <t>Medemblik</t>
  </si>
  <si>
    <t>GM0431</t>
  </si>
  <si>
    <t>0431</t>
  </si>
  <si>
    <t>Oostzaan</t>
  </si>
  <si>
    <t>GM0432</t>
  </si>
  <si>
    <t>0432</t>
  </si>
  <si>
    <t>Opmeer</t>
  </si>
  <si>
    <t>GM0437</t>
  </si>
  <si>
    <t>0437</t>
  </si>
  <si>
    <t>Ouder-Amstel</t>
  </si>
  <si>
    <t>GM0439</t>
  </si>
  <si>
    <t>0439</t>
  </si>
  <si>
    <t>Purmerend</t>
  </si>
  <si>
    <t>GM0441</t>
  </si>
  <si>
    <t>0441</t>
  </si>
  <si>
    <t>Schagen</t>
  </si>
  <si>
    <t>GM0448</t>
  </si>
  <si>
    <t>0448</t>
  </si>
  <si>
    <t>Texel</t>
  </si>
  <si>
    <t>GM0450</t>
  </si>
  <si>
    <t>0450</t>
  </si>
  <si>
    <t>Uitgeest</t>
  </si>
  <si>
    <t>GM0451</t>
  </si>
  <si>
    <t>0451</t>
  </si>
  <si>
    <t>Uithoorn</t>
  </si>
  <si>
    <t>GM0453</t>
  </si>
  <si>
    <t>0453</t>
  </si>
  <si>
    <t>Velsen</t>
  </si>
  <si>
    <t>GM0473</t>
  </si>
  <si>
    <t>0473</t>
  </si>
  <si>
    <t>Zandvoort</t>
  </si>
  <si>
    <t>GM0479</t>
  </si>
  <si>
    <t>0479</t>
  </si>
  <si>
    <t>Zaanstad</t>
  </si>
  <si>
    <t>GM0482</t>
  </si>
  <si>
    <t>0482</t>
  </si>
  <si>
    <t>Alblasserdam</t>
  </si>
  <si>
    <t>GM0484</t>
  </si>
  <si>
    <t>0484</t>
  </si>
  <si>
    <t>Alphen aan den Rijn</t>
  </si>
  <si>
    <t>GM0489</t>
  </si>
  <si>
    <t>0489</t>
  </si>
  <si>
    <t>Barendrecht</t>
  </si>
  <si>
    <t>GM0498</t>
  </si>
  <si>
    <t>0498</t>
  </si>
  <si>
    <t>Drechterland</t>
  </si>
  <si>
    <t>GM0502</t>
  </si>
  <si>
    <t>0502</t>
  </si>
  <si>
    <t>Capelle aan den IJssel</t>
  </si>
  <si>
    <t>GM0503</t>
  </si>
  <si>
    <t>0503</t>
  </si>
  <si>
    <t>Delft</t>
  </si>
  <si>
    <t>GM0505</t>
  </si>
  <si>
    <t>0505</t>
  </si>
  <si>
    <t>Dordrecht</t>
  </si>
  <si>
    <t>GM0512</t>
  </si>
  <si>
    <t>0512</t>
  </si>
  <si>
    <t>Gorinchem</t>
  </si>
  <si>
    <t>GM0513</t>
  </si>
  <si>
    <t>0513</t>
  </si>
  <si>
    <t>Gouda</t>
  </si>
  <si>
    <t>GM0518</t>
  </si>
  <si>
    <t>0518</t>
  </si>
  <si>
    <t>'s-Gravenhage</t>
  </si>
  <si>
    <t>GM0523</t>
  </si>
  <si>
    <t>0523</t>
  </si>
  <si>
    <t>Hardinxveld-Giessendam</t>
  </si>
  <si>
    <t>GM0531</t>
  </si>
  <si>
    <t>0531</t>
  </si>
  <si>
    <t>Hendrik-Ido-Ambacht</t>
  </si>
  <si>
    <t>GM0532</t>
  </si>
  <si>
    <t>0532</t>
  </si>
  <si>
    <t>Stede Broec</t>
  </si>
  <si>
    <t>GM0534</t>
  </si>
  <si>
    <t>0534</t>
  </si>
  <si>
    <t>Hillegom</t>
  </si>
  <si>
    <t>GM0537</t>
  </si>
  <si>
    <t>0537</t>
  </si>
  <si>
    <t>Katwijk</t>
  </si>
  <si>
    <t>GM0542</t>
  </si>
  <si>
    <t>0542</t>
  </si>
  <si>
    <t>Krimpen aan den IJssel</t>
  </si>
  <si>
    <t>GM0546</t>
  </si>
  <si>
    <t>0546</t>
  </si>
  <si>
    <t>Leiden</t>
  </si>
  <si>
    <t>GM0547</t>
  </si>
  <si>
    <t>0547</t>
  </si>
  <si>
    <t>Leiderdorp</t>
  </si>
  <si>
    <t>GM0553</t>
  </si>
  <si>
    <t>0553</t>
  </si>
  <si>
    <t>Lisse</t>
  </si>
  <si>
    <t>GM0556</t>
  </si>
  <si>
    <t>0556</t>
  </si>
  <si>
    <t>Maassluis</t>
  </si>
  <si>
    <t>GM0569</t>
  </si>
  <si>
    <t>0569</t>
  </si>
  <si>
    <t>Nieuwkoop</t>
  </si>
  <si>
    <t>GM0575</t>
  </si>
  <si>
    <t>0575</t>
  </si>
  <si>
    <t>Noordwijk</t>
  </si>
  <si>
    <t>GM0579</t>
  </si>
  <si>
    <t>0579</t>
  </si>
  <si>
    <t>Oegstgeest</t>
  </si>
  <si>
    <t>GM0589</t>
  </si>
  <si>
    <t>0589</t>
  </si>
  <si>
    <t>Oudewater</t>
  </si>
  <si>
    <t>GM0590</t>
  </si>
  <si>
    <t>0590</t>
  </si>
  <si>
    <t>Papendrecht</t>
  </si>
  <si>
    <t>GM0597</t>
  </si>
  <si>
    <t>0597</t>
  </si>
  <si>
    <t>Ridderkerk</t>
  </si>
  <si>
    <t>GM0599</t>
  </si>
  <si>
    <t>0599</t>
  </si>
  <si>
    <t>Rotterdam</t>
  </si>
  <si>
    <t>GM0603</t>
  </si>
  <si>
    <t>0603</t>
  </si>
  <si>
    <t>Rijswijk</t>
  </si>
  <si>
    <t>GM0606</t>
  </si>
  <si>
    <t>0606</t>
  </si>
  <si>
    <t>Schiedam</t>
  </si>
  <si>
    <t>GM0610</t>
  </si>
  <si>
    <t>0610</t>
  </si>
  <si>
    <t>Sliedrecht</t>
  </si>
  <si>
    <t>GM0613</t>
  </si>
  <si>
    <t>0613</t>
  </si>
  <si>
    <t>Albrandswaard</t>
  </si>
  <si>
    <t>GM0622</t>
  </si>
  <si>
    <t>0622</t>
  </si>
  <si>
    <t>Vlaardingen</t>
  </si>
  <si>
    <t>GM0626</t>
  </si>
  <si>
    <t>0626</t>
  </si>
  <si>
    <t>Voorschoten</t>
  </si>
  <si>
    <t>GM0627</t>
  </si>
  <si>
    <t>0627</t>
  </si>
  <si>
    <t>Waddinxveen</t>
  </si>
  <si>
    <t>GM0629</t>
  </si>
  <si>
    <t>0629</t>
  </si>
  <si>
    <t>Wassenaar</t>
  </si>
  <si>
    <t>GM0632</t>
  </si>
  <si>
    <t>0632</t>
  </si>
  <si>
    <t>Woerden</t>
  </si>
  <si>
    <t>GM0637</t>
  </si>
  <si>
    <t>0637</t>
  </si>
  <si>
    <t>Zoetermeer</t>
  </si>
  <si>
    <t>GM0638</t>
  </si>
  <si>
    <t>0638</t>
  </si>
  <si>
    <t>Zoeterwoude</t>
  </si>
  <si>
    <t>GM0642</t>
  </si>
  <si>
    <t>0642</t>
  </si>
  <si>
    <t>Zwijndrecht</t>
  </si>
  <si>
    <t>GM0654</t>
  </si>
  <si>
    <t>0654</t>
  </si>
  <si>
    <t>Borsele</t>
  </si>
  <si>
    <t>GM0664</t>
  </si>
  <si>
    <t>0664</t>
  </si>
  <si>
    <t>Goes</t>
  </si>
  <si>
    <t>GM0668</t>
  </si>
  <si>
    <t>0668</t>
  </si>
  <si>
    <t>West Maas en Waal</t>
  </si>
  <si>
    <t>GM0677</t>
  </si>
  <si>
    <t>0677</t>
  </si>
  <si>
    <t>Hulst</t>
  </si>
  <si>
    <t>GM0678</t>
  </si>
  <si>
    <t>0678</t>
  </si>
  <si>
    <t>Kapelle</t>
  </si>
  <si>
    <t>GM0687</t>
  </si>
  <si>
    <t>0687</t>
  </si>
  <si>
    <t>Middelburg</t>
  </si>
  <si>
    <t>GM0703</t>
  </si>
  <si>
    <t>0703</t>
  </si>
  <si>
    <t>Reimerswaal</t>
  </si>
  <si>
    <t>GM0715</t>
  </si>
  <si>
    <t>0715</t>
  </si>
  <si>
    <t>Terneuzen</t>
  </si>
  <si>
    <t>GM0716</t>
  </si>
  <si>
    <t>0716</t>
  </si>
  <si>
    <t>Tholen</t>
  </si>
  <si>
    <t>GM0717</t>
  </si>
  <si>
    <t>0717</t>
  </si>
  <si>
    <t>Veere</t>
  </si>
  <si>
    <t>GM0718</t>
  </si>
  <si>
    <t>0718</t>
  </si>
  <si>
    <t>Vlissingen</t>
  </si>
  <si>
    <t>GM0736</t>
  </si>
  <si>
    <t>0736</t>
  </si>
  <si>
    <t>De Ronde Venen</t>
  </si>
  <si>
    <t>GM0737</t>
  </si>
  <si>
    <t>0737</t>
  </si>
  <si>
    <t>Tytsjerksteradiel</t>
  </si>
  <si>
    <t>GM0743</t>
  </si>
  <si>
    <t>0743</t>
  </si>
  <si>
    <t>Asten</t>
  </si>
  <si>
    <t>GM0744</t>
  </si>
  <si>
    <t>0744</t>
  </si>
  <si>
    <t>Baarle-Nassau</t>
  </si>
  <si>
    <t>GM0748</t>
  </si>
  <si>
    <t>0748</t>
  </si>
  <si>
    <t>Bergen op Zoom</t>
  </si>
  <si>
    <t>GM0753</t>
  </si>
  <si>
    <t>0753</t>
  </si>
  <si>
    <t>Best</t>
  </si>
  <si>
    <t>GM0755</t>
  </si>
  <si>
    <t>0755</t>
  </si>
  <si>
    <t>Boekel</t>
  </si>
  <si>
    <t>GM0757</t>
  </si>
  <si>
    <t>0757</t>
  </si>
  <si>
    <t>Boxtel</t>
  </si>
  <si>
    <t>GM0758</t>
  </si>
  <si>
    <t>0758</t>
  </si>
  <si>
    <t>Breda</t>
  </si>
  <si>
    <t>GM0762</t>
  </si>
  <si>
    <t>0762</t>
  </si>
  <si>
    <t>Deurne</t>
  </si>
  <si>
    <t>GM0765</t>
  </si>
  <si>
    <t>0765</t>
  </si>
  <si>
    <t>Pekela</t>
  </si>
  <si>
    <t>GM0766</t>
  </si>
  <si>
    <t>0766</t>
  </si>
  <si>
    <t>Dongen</t>
  </si>
  <si>
    <t>GM0770</t>
  </si>
  <si>
    <t>0770</t>
  </si>
  <si>
    <t>Eersel</t>
  </si>
  <si>
    <t>GM0772</t>
  </si>
  <si>
    <t>0772</t>
  </si>
  <si>
    <t>Eindhoven</t>
  </si>
  <si>
    <t>GM0777</t>
  </si>
  <si>
    <t>0777</t>
  </si>
  <si>
    <t>Etten-Leur</t>
  </si>
  <si>
    <t>GM0779</t>
  </si>
  <si>
    <t>0779</t>
  </si>
  <si>
    <t>Geertruidenberg</t>
  </si>
  <si>
    <t>GM0784</t>
  </si>
  <si>
    <t>0784</t>
  </si>
  <si>
    <t>Gilze en Rijen</t>
  </si>
  <si>
    <t>GM0785</t>
  </si>
  <si>
    <t>0785</t>
  </si>
  <si>
    <t>Goirle</t>
  </si>
  <si>
    <t>GM0794</t>
  </si>
  <si>
    <t>0794</t>
  </si>
  <si>
    <t>Helmond</t>
  </si>
  <si>
    <t>GM0796</t>
  </si>
  <si>
    <t>0796</t>
  </si>
  <si>
    <t>'s-Hertogenbosch</t>
  </si>
  <si>
    <t>GM0797</t>
  </si>
  <si>
    <t>0797</t>
  </si>
  <si>
    <t>Heusden</t>
  </si>
  <si>
    <t>GM0798</t>
  </si>
  <si>
    <t>0798</t>
  </si>
  <si>
    <t>Hilvarenbeek</t>
  </si>
  <si>
    <t>GM0809</t>
  </si>
  <si>
    <t>0809</t>
  </si>
  <si>
    <t>Loon op Zand</t>
  </si>
  <si>
    <t>GM0820</t>
  </si>
  <si>
    <t>0820</t>
  </si>
  <si>
    <t>Nuenen, Gerwen en Nederwetten</t>
  </si>
  <si>
    <t>GM0823</t>
  </si>
  <si>
    <t>0823</t>
  </si>
  <si>
    <t>Oirschot</t>
  </si>
  <si>
    <t>GM0824</t>
  </si>
  <si>
    <t>0824</t>
  </si>
  <si>
    <t>Oisterwijk</t>
  </si>
  <si>
    <t>GM0826</t>
  </si>
  <si>
    <t>0826</t>
  </si>
  <si>
    <t>Oosterhout</t>
  </si>
  <si>
    <t>GM0828</t>
  </si>
  <si>
    <t>0828</t>
  </si>
  <si>
    <t>Oss</t>
  </si>
  <si>
    <t>GM0840</t>
  </si>
  <si>
    <t>0840</t>
  </si>
  <si>
    <t>Rucphen</t>
  </si>
  <si>
    <t>GM0845</t>
  </si>
  <si>
    <t>0845</t>
  </si>
  <si>
    <t>Sint-Michielsgestel</t>
  </si>
  <si>
    <t>GM0847</t>
  </si>
  <si>
    <t>0847</t>
  </si>
  <si>
    <t>Someren</t>
  </si>
  <si>
    <t>GM0848</t>
  </si>
  <si>
    <t>0848</t>
  </si>
  <si>
    <t>Son en Breugel</t>
  </si>
  <si>
    <t>GM0851</t>
  </si>
  <si>
    <t>0851</t>
  </si>
  <si>
    <t>Steenbergen</t>
  </si>
  <si>
    <t>GM0852</t>
  </si>
  <si>
    <t>0852</t>
  </si>
  <si>
    <t>Waterland</t>
  </si>
  <si>
    <t>GM0855</t>
  </si>
  <si>
    <t>0855</t>
  </si>
  <si>
    <t>Tilburg</t>
  </si>
  <si>
    <t>GM0858</t>
  </si>
  <si>
    <t>0858</t>
  </si>
  <si>
    <t>Valkenswaard</t>
  </si>
  <si>
    <t>GM0861</t>
  </si>
  <si>
    <t>0861</t>
  </si>
  <si>
    <t>Veldhoven</t>
  </si>
  <si>
    <t>GM0865</t>
  </si>
  <si>
    <t>0865</t>
  </si>
  <si>
    <t>Vught</t>
  </si>
  <si>
    <t>GM0866</t>
  </si>
  <si>
    <t>0866</t>
  </si>
  <si>
    <t>Waalre</t>
  </si>
  <si>
    <t>GM0867</t>
  </si>
  <si>
    <t>0867</t>
  </si>
  <si>
    <t>Waalwijk</t>
  </si>
  <si>
    <t>GM0873</t>
  </si>
  <si>
    <t>0873</t>
  </si>
  <si>
    <t>Woensdrecht</t>
  </si>
  <si>
    <t>GM0879</t>
  </si>
  <si>
    <t>0879</t>
  </si>
  <si>
    <t>Zundert</t>
  </si>
  <si>
    <t>GM0880</t>
  </si>
  <si>
    <t>0880</t>
  </si>
  <si>
    <t>Wormerland</t>
  </si>
  <si>
    <t>GM0882</t>
  </si>
  <si>
    <t>0882</t>
  </si>
  <si>
    <t>Landgraaf</t>
  </si>
  <si>
    <t>GM0888</t>
  </si>
  <si>
    <t>0888</t>
  </si>
  <si>
    <t>Beek</t>
  </si>
  <si>
    <t>GM0889</t>
  </si>
  <si>
    <t>0889</t>
  </si>
  <si>
    <t>Beesel</t>
  </si>
  <si>
    <t>GM0893</t>
  </si>
  <si>
    <t>0893</t>
  </si>
  <si>
    <t>Bergen (L.)</t>
  </si>
  <si>
    <t>GM0899</t>
  </si>
  <si>
    <t>0899</t>
  </si>
  <si>
    <t>Brunssum</t>
  </si>
  <si>
    <t>GM0907</t>
  </si>
  <si>
    <t>0907</t>
  </si>
  <si>
    <t>Gennep</t>
  </si>
  <si>
    <t>GM0917</t>
  </si>
  <si>
    <t>0917</t>
  </si>
  <si>
    <t>Heerlen</t>
  </si>
  <si>
    <t>GM0928</t>
  </si>
  <si>
    <t>0928</t>
  </si>
  <si>
    <t>Kerkrade</t>
  </si>
  <si>
    <t>GM0935</t>
  </si>
  <si>
    <t>0935</t>
  </si>
  <si>
    <t>Maastricht</t>
  </si>
  <si>
    <t>GM0938</t>
  </si>
  <si>
    <t>0938</t>
  </si>
  <si>
    <t>Meerssen</t>
  </si>
  <si>
    <t>GM0944</t>
  </si>
  <si>
    <t>0944</t>
  </si>
  <si>
    <t>Mook en Middelaar</t>
  </si>
  <si>
    <t>GM0946</t>
  </si>
  <si>
    <t>0946</t>
  </si>
  <si>
    <t>Nederweert</t>
  </si>
  <si>
    <t>GM0957</t>
  </si>
  <si>
    <t>0957</t>
  </si>
  <si>
    <t>Roermond</t>
  </si>
  <si>
    <t>GM0965</t>
  </si>
  <si>
    <t>0965</t>
  </si>
  <si>
    <t>Simpelveld</t>
  </si>
  <si>
    <t>GM0971</t>
  </si>
  <si>
    <t>0971</t>
  </si>
  <si>
    <t>Stein</t>
  </si>
  <si>
    <t>GM0981</t>
  </si>
  <si>
    <t>0981</t>
  </si>
  <si>
    <t>Vaals</t>
  </si>
  <si>
    <t>GM0983</t>
  </si>
  <si>
    <t>0983</t>
  </si>
  <si>
    <t>Venlo</t>
  </si>
  <si>
    <t>GM0984</t>
  </si>
  <si>
    <t>0984</t>
  </si>
  <si>
    <t>Venray</t>
  </si>
  <si>
    <t>GM0986</t>
  </si>
  <si>
    <t>0986</t>
  </si>
  <si>
    <t>Voerendaal</t>
  </si>
  <si>
    <t>GM0988</t>
  </si>
  <si>
    <t>0988</t>
  </si>
  <si>
    <t>Weert</t>
  </si>
  <si>
    <t>GM0994</t>
  </si>
  <si>
    <t>0994</t>
  </si>
  <si>
    <t>Valkenburg aan de Geul</t>
  </si>
  <si>
    <t>GM0995</t>
  </si>
  <si>
    <t>0995</t>
  </si>
  <si>
    <t>Lelystad</t>
  </si>
  <si>
    <t>GM1507</t>
  </si>
  <si>
    <t>1507</t>
  </si>
  <si>
    <t>Horst aan de Maas</t>
  </si>
  <si>
    <t>GM1509</t>
  </si>
  <si>
    <t>1509</t>
  </si>
  <si>
    <t>Oude IJsselstreek</t>
  </si>
  <si>
    <t>GM1525</t>
  </si>
  <si>
    <t>1525</t>
  </si>
  <si>
    <t>Teylingen</t>
  </si>
  <si>
    <t>GM1581</t>
  </si>
  <si>
    <t>1581</t>
  </si>
  <si>
    <t>Utrechtse Heuvelrug</t>
  </si>
  <si>
    <t>GM1586</t>
  </si>
  <si>
    <t>1586</t>
  </si>
  <si>
    <t>Oost Gelre</t>
  </si>
  <si>
    <t>GM1598</t>
  </si>
  <si>
    <t>1598</t>
  </si>
  <si>
    <t>Koggenland</t>
  </si>
  <si>
    <t>GM1621</t>
  </si>
  <si>
    <t>1621</t>
  </si>
  <si>
    <t>Lansingerland</t>
  </si>
  <si>
    <t>GM1640</t>
  </si>
  <si>
    <t>1640</t>
  </si>
  <si>
    <t>Leudal</t>
  </si>
  <si>
    <t>GM1641</t>
  </si>
  <si>
    <t>1641</t>
  </si>
  <si>
    <t>Maasgouw</t>
  </si>
  <si>
    <t>GM1652</t>
  </si>
  <si>
    <t>1652</t>
  </si>
  <si>
    <t>Gemert-Bakel</t>
  </si>
  <si>
    <t>GM1655</t>
  </si>
  <si>
    <t>1655</t>
  </si>
  <si>
    <t>Halderberge</t>
  </si>
  <si>
    <t>GM1658</t>
  </si>
  <si>
    <t>1658</t>
  </si>
  <si>
    <t>Heeze-Leende</t>
  </si>
  <si>
    <t>GM1659</t>
  </si>
  <si>
    <t>1659</t>
  </si>
  <si>
    <t>Laarbeek</t>
  </si>
  <si>
    <t>GM1667</t>
  </si>
  <si>
    <t>1667</t>
  </si>
  <si>
    <t>Reusel-De Mierden</t>
  </si>
  <si>
    <t>GM1669</t>
  </si>
  <si>
    <t>1669</t>
  </si>
  <si>
    <t>Roerdalen</t>
  </si>
  <si>
    <t>GM1674</t>
  </si>
  <si>
    <t>1674</t>
  </si>
  <si>
    <t>Roosendaal</t>
  </si>
  <si>
    <t>GM1676</t>
  </si>
  <si>
    <t>1676</t>
  </si>
  <si>
    <t>Schouwen-Duiveland</t>
  </si>
  <si>
    <t>GM1680</t>
  </si>
  <si>
    <t>1680</t>
  </si>
  <si>
    <t>Aa en Hunze</t>
  </si>
  <si>
    <t>GM1681</t>
  </si>
  <si>
    <t>1681</t>
  </si>
  <si>
    <t>Borger-Odoorn</t>
  </si>
  <si>
    <t>GM1690</t>
  </si>
  <si>
    <t>1690</t>
  </si>
  <si>
    <t>De Wolden</t>
  </si>
  <si>
    <t>GM1695</t>
  </si>
  <si>
    <t>1695</t>
  </si>
  <si>
    <t>Noord-Beveland</t>
  </si>
  <si>
    <t>GM1696</t>
  </si>
  <si>
    <t>1696</t>
  </si>
  <si>
    <t>Wijdemeren</t>
  </si>
  <si>
    <t>GM1699</t>
  </si>
  <si>
    <t>1699</t>
  </si>
  <si>
    <t>Noordenveld</t>
  </si>
  <si>
    <t>GM1700</t>
  </si>
  <si>
    <t>1700</t>
  </si>
  <si>
    <t>Twenterand</t>
  </si>
  <si>
    <t>GM1701</t>
  </si>
  <si>
    <t>1701</t>
  </si>
  <si>
    <t>Westerveld</t>
  </si>
  <si>
    <t>GM1705</t>
  </si>
  <si>
    <t>1705</t>
  </si>
  <si>
    <t>Lingewaard</t>
  </si>
  <si>
    <t>GM1706</t>
  </si>
  <si>
    <t>1706</t>
  </si>
  <si>
    <t>Cranendonck</t>
  </si>
  <si>
    <t>GM1708</t>
  </si>
  <si>
    <t>1708</t>
  </si>
  <si>
    <t>Steenwijkerland</t>
  </si>
  <si>
    <t>GM1709</t>
  </si>
  <si>
    <t>1709</t>
  </si>
  <si>
    <t>Moerdijk</t>
  </si>
  <si>
    <t>GM1711</t>
  </si>
  <si>
    <t>1711</t>
  </si>
  <si>
    <t>Echt-Susteren</t>
  </si>
  <si>
    <t>GM1714</t>
  </si>
  <si>
    <t>1714</t>
  </si>
  <si>
    <t>Sluis</t>
  </si>
  <si>
    <t>GM1719</t>
  </si>
  <si>
    <t>1719</t>
  </si>
  <si>
    <t>Drimmelen</t>
  </si>
  <si>
    <t>GM1721</t>
  </si>
  <si>
    <t>1721</t>
  </si>
  <si>
    <t>Bernheze</t>
  </si>
  <si>
    <t>GM1723</t>
  </si>
  <si>
    <t>1723</t>
  </si>
  <si>
    <t>Alphen-Chaam</t>
  </si>
  <si>
    <t>GM1724</t>
  </si>
  <si>
    <t>1724</t>
  </si>
  <si>
    <t>Bergeijk</t>
  </si>
  <si>
    <t>GM1728</t>
  </si>
  <si>
    <t>1728</t>
  </si>
  <si>
    <t>Bladel</t>
  </si>
  <si>
    <t>GM1729</t>
  </si>
  <si>
    <t>1729</t>
  </si>
  <si>
    <t>Gulpen-Wittem</t>
  </si>
  <si>
    <t>GM1730</t>
  </si>
  <si>
    <t>1730</t>
  </si>
  <si>
    <t>Tynaarlo</t>
  </si>
  <si>
    <t>GM1731</t>
  </si>
  <si>
    <t>1731</t>
  </si>
  <si>
    <t>Midden-Drenthe</t>
  </si>
  <si>
    <t>GM1734</t>
  </si>
  <si>
    <t>1734</t>
  </si>
  <si>
    <t>Overbetuwe</t>
  </si>
  <si>
    <t>GM1735</t>
  </si>
  <si>
    <t>1735</t>
  </si>
  <si>
    <t>Hof van Twente</t>
  </si>
  <si>
    <t>GM1740</t>
  </si>
  <si>
    <t>1740</t>
  </si>
  <si>
    <t>Neder-Betuwe</t>
  </si>
  <si>
    <t>GM1742</t>
  </si>
  <si>
    <t>1742</t>
  </si>
  <si>
    <t>Rijssen-Holten</t>
  </si>
  <si>
    <t>GM1771</t>
  </si>
  <si>
    <t>1771</t>
  </si>
  <si>
    <t>Geldrop-Mierlo</t>
  </si>
  <si>
    <t>GM1773</t>
  </si>
  <si>
    <t>1773</t>
  </si>
  <si>
    <t>Olst-Wijhe</t>
  </si>
  <si>
    <t>GM1774</t>
  </si>
  <si>
    <t>1774</t>
  </si>
  <si>
    <t>Dinkelland</t>
  </si>
  <si>
    <t>GM1783</t>
  </si>
  <si>
    <t>1783</t>
  </si>
  <si>
    <t>Westland</t>
  </si>
  <si>
    <t>GM1842</t>
  </si>
  <si>
    <t>1842</t>
  </si>
  <si>
    <t>Midden-Delfland</t>
  </si>
  <si>
    <t>GM1859</t>
  </si>
  <si>
    <t>1859</t>
  </si>
  <si>
    <t>Berkelland</t>
  </si>
  <si>
    <t>GM1876</t>
  </si>
  <si>
    <t>1876</t>
  </si>
  <si>
    <t>Bronckhorst</t>
  </si>
  <si>
    <t>GM1883</t>
  </si>
  <si>
    <t>1883</t>
  </si>
  <si>
    <t>Sittard-Geleen</t>
  </si>
  <si>
    <t>GM1884</t>
  </si>
  <si>
    <t>1884</t>
  </si>
  <si>
    <t>Kaag en Braassem</t>
  </si>
  <si>
    <t>GM1891</t>
  </si>
  <si>
    <t>1891</t>
  </si>
  <si>
    <t>Dantumadiel</t>
  </si>
  <si>
    <t>GM1892</t>
  </si>
  <si>
    <t>1892</t>
  </si>
  <si>
    <t>Zuidplas</t>
  </si>
  <si>
    <t>GM1894</t>
  </si>
  <si>
    <t>1894</t>
  </si>
  <si>
    <t>Peel en Maas</t>
  </si>
  <si>
    <t>GM1895</t>
  </si>
  <si>
    <t>1895</t>
  </si>
  <si>
    <t>Oldambt</t>
  </si>
  <si>
    <t>GM1896</t>
  </si>
  <si>
    <t>1896</t>
  </si>
  <si>
    <t>Zwartewaterland</t>
  </si>
  <si>
    <t>GM1900</t>
  </si>
  <si>
    <t>1900</t>
  </si>
  <si>
    <t>Súdwest-Fryslân</t>
  </si>
  <si>
    <t>GM1901</t>
  </si>
  <si>
    <t>1901</t>
  </si>
  <si>
    <t>Bodegraven-Reeuwijk</t>
  </si>
  <si>
    <t>GM1903</t>
  </si>
  <si>
    <t>1903</t>
  </si>
  <si>
    <t>Eijsden-Margraten</t>
  </si>
  <si>
    <t>GM1904</t>
  </si>
  <si>
    <t>1904</t>
  </si>
  <si>
    <t>Stichtse Vecht</t>
  </si>
  <si>
    <t>GM1911</t>
  </si>
  <si>
    <t>1911</t>
  </si>
  <si>
    <t>Hollands Kroon</t>
  </si>
  <si>
    <t>GM1916</t>
  </si>
  <si>
    <t>1916</t>
  </si>
  <si>
    <t>Leidschendam-Voorburg</t>
  </si>
  <si>
    <t>GM1924</t>
  </si>
  <si>
    <t>1924</t>
  </si>
  <si>
    <t>Goeree-Overflakkee</t>
  </si>
  <si>
    <t>GM1926</t>
  </si>
  <si>
    <t>1926</t>
  </si>
  <si>
    <t>Pijnacker-Nootdorp</t>
  </si>
  <si>
    <t>GM1930</t>
  </si>
  <si>
    <t>1930</t>
  </si>
  <si>
    <t>Nissewaard</t>
  </si>
  <si>
    <t>GM1931</t>
  </si>
  <si>
    <t>1931</t>
  </si>
  <si>
    <t>Krimpenerwaard</t>
  </si>
  <si>
    <t>GM1940</t>
  </si>
  <si>
    <t>1940</t>
  </si>
  <si>
    <t>De Fryske Marren</t>
  </si>
  <si>
    <t>GM1942</t>
  </si>
  <si>
    <t>1942</t>
  </si>
  <si>
    <t>Gooise Meren</t>
  </si>
  <si>
    <t>GM1945</t>
  </si>
  <si>
    <t>1945</t>
  </si>
  <si>
    <t>Berg en Dal</t>
  </si>
  <si>
    <t>GM1948</t>
  </si>
  <si>
    <t>1948</t>
  </si>
  <si>
    <t>Meierijstad</t>
  </si>
  <si>
    <t>GM1949</t>
  </si>
  <si>
    <t>1949</t>
  </si>
  <si>
    <t>Waadhoeke</t>
  </si>
  <si>
    <t>GM1950</t>
  </si>
  <si>
    <t>1950</t>
  </si>
  <si>
    <t>Westerwolde</t>
  </si>
  <si>
    <t>GM1952</t>
  </si>
  <si>
    <t>1952</t>
  </si>
  <si>
    <t>Midden-Groningen</t>
  </si>
  <si>
    <t>GM1954</t>
  </si>
  <si>
    <t>1954</t>
  </si>
  <si>
    <t>Beekdaelen</t>
  </si>
  <si>
    <t>GM1955</t>
  </si>
  <si>
    <t>1955</t>
  </si>
  <si>
    <t>Montferland</t>
  </si>
  <si>
    <t>GM1959</t>
  </si>
  <si>
    <t>1959</t>
  </si>
  <si>
    <t>Altena</t>
  </si>
  <si>
    <t>GM1960</t>
  </si>
  <si>
    <t>1960</t>
  </si>
  <si>
    <t>West Betuwe</t>
  </si>
  <si>
    <t>GM1961</t>
  </si>
  <si>
    <t>1961</t>
  </si>
  <si>
    <t>Vijfheerenlanden</t>
  </si>
  <si>
    <t>GM1963</t>
  </si>
  <si>
    <t>1963</t>
  </si>
  <si>
    <t>Hoeksche Waard</t>
  </si>
  <si>
    <t>GM1966</t>
  </si>
  <si>
    <t>1966</t>
  </si>
  <si>
    <t>Het Hogeland</t>
  </si>
  <si>
    <t>GM1969</t>
  </si>
  <si>
    <t>1969</t>
  </si>
  <si>
    <t>Westerkwartier</t>
  </si>
  <si>
    <t>GM1970</t>
  </si>
  <si>
    <t>1970</t>
  </si>
  <si>
    <t>Noardeast-Fryslân</t>
  </si>
  <si>
    <t>GM1978</t>
  </si>
  <si>
    <t>1978</t>
  </si>
  <si>
    <t>Molenlanden</t>
  </si>
  <si>
    <t>GM1979</t>
  </si>
  <si>
    <t>1979</t>
  </si>
  <si>
    <t>Eemsdelta</t>
  </si>
  <si>
    <t>GM1980</t>
  </si>
  <si>
    <t>1980</t>
  </si>
  <si>
    <t>Dijk en Waard</t>
  </si>
  <si>
    <t>GM1982</t>
  </si>
  <si>
    <t>1982</t>
  </si>
  <si>
    <t>Land van Cuijk</t>
  </si>
  <si>
    <t>GM1991</t>
  </si>
  <si>
    <t>1991</t>
  </si>
  <si>
    <t>Maashorst</t>
  </si>
  <si>
    <t>GM1992</t>
  </si>
  <si>
    <t>1992</t>
  </si>
  <si>
    <t>Voorne aan Zee</t>
  </si>
  <si>
    <t>fid</t>
  </si>
  <si>
    <t>OBJECTID</t>
  </si>
  <si>
    <t>gid</t>
  </si>
  <si>
    <t>id</t>
  </si>
  <si>
    <t>gem_code</t>
  </si>
  <si>
    <t>gem_naam</t>
  </si>
  <si>
    <t>tj_dak</t>
  </si>
  <si>
    <t>tj_lbg_4</t>
  </si>
  <si>
    <t>tj_lbg_10</t>
  </si>
  <si>
    <t>tj_lbg_100</t>
  </si>
  <si>
    <t>tj_wat</t>
  </si>
  <si>
    <t>tj_tot_pot</t>
  </si>
  <si>
    <t>gwh_pot</t>
  </si>
  <si>
    <t>kans2030</t>
  </si>
  <si>
    <t>SHAPE_Length</t>
  </si>
  <si>
    <t>SHAPE_Area</t>
  </si>
  <si>
    <t>cbs_rescode</t>
  </si>
  <si>
    <t>Kansrijk</t>
  </si>
  <si>
    <t>ES02</t>
  </si>
  <si>
    <t>ES03</t>
  </si>
  <si>
    <t>ES05</t>
  </si>
  <si>
    <t>ES04</t>
  </si>
  <si>
    <t>ES12</t>
  </si>
  <si>
    <t>ES11</t>
  </si>
  <si>
    <t>ES07</t>
  </si>
  <si>
    <t>ES09</t>
  </si>
  <si>
    <t>ES13</t>
  </si>
  <si>
    <t>ES08</t>
  </si>
  <si>
    <t>ES14</t>
  </si>
  <si>
    <t>ES15</t>
  </si>
  <si>
    <t>ES16</t>
  </si>
  <si>
    <t>ES23</t>
  </si>
  <si>
    <t>ES21</t>
  </si>
  <si>
    <t>ES24</t>
  </si>
  <si>
    <t>ES27</t>
  </si>
  <si>
    <t>ES26</t>
  </si>
  <si>
    <t>ES28</t>
  </si>
  <si>
    <t>ES30</t>
  </si>
  <si>
    <t>ES25</t>
  </si>
  <si>
    <t>ES29</t>
  </si>
  <si>
    <t>ES01</t>
  </si>
  <si>
    <t>ES22</t>
  </si>
  <si>
    <t>Sdwest-Frysln</t>
  </si>
  <si>
    <t>Noardeast-Frysln</t>
  </si>
  <si>
    <t>ES17</t>
  </si>
  <si>
    <t>GM0024</t>
  </si>
  <si>
    <t>Loppersum</t>
  </si>
  <si>
    <t>ES06</t>
  </si>
  <si>
    <t>ES10</t>
  </si>
  <si>
    <t>GM0614</t>
  </si>
  <si>
    <t>Westvoorne</t>
  </si>
  <si>
    <t>GM0003</t>
  </si>
  <si>
    <t>Appingedam</t>
  </si>
  <si>
    <t>GM0010</t>
  </si>
  <si>
    <t>Delfzijl</t>
  </si>
  <si>
    <t>ES18</t>
  </si>
  <si>
    <t>GM0370</t>
  </si>
  <si>
    <t>Beemster</t>
  </si>
  <si>
    <t>GM0398</t>
  </si>
  <si>
    <t>Heerhugowaard</t>
  </si>
  <si>
    <t>GM0416</t>
  </si>
  <si>
    <t>Langedijk</t>
  </si>
  <si>
    <t>GM0457</t>
  </si>
  <si>
    <t>Weesp</t>
  </si>
  <si>
    <t>GM0501</t>
  </si>
  <si>
    <t>Brielle</t>
  </si>
  <si>
    <t>GM0530</t>
  </si>
  <si>
    <t>Hellevoetsluis</t>
  </si>
  <si>
    <t>GM0756</t>
  </si>
  <si>
    <t>Boxmeer</t>
  </si>
  <si>
    <t>GM0786</t>
  </si>
  <si>
    <t>Grave</t>
  </si>
  <si>
    <t>GM0788</t>
  </si>
  <si>
    <t>Haaren</t>
  </si>
  <si>
    <t>GM0815</t>
  </si>
  <si>
    <t>Mill en Sint Hubert</t>
  </si>
  <si>
    <t>GM0856</t>
  </si>
  <si>
    <t>Uden</t>
  </si>
  <si>
    <t>GM1684</t>
  </si>
  <si>
    <t>Cuijk</t>
  </si>
  <si>
    <t>GM1702</t>
  </si>
  <si>
    <t>Sint Anthonis</t>
  </si>
  <si>
    <t>GM1685</t>
  </si>
  <si>
    <t>Landerd</t>
  </si>
  <si>
    <t>ES19</t>
  </si>
  <si>
    <t>ES20</t>
  </si>
  <si>
    <t>kw</t>
  </si>
  <si>
    <t>opp_meer</t>
  </si>
  <si>
    <t>opp_land</t>
  </si>
  <si>
    <t>pct_agr</t>
  </si>
  <si>
    <t>pct_beb</t>
  </si>
  <si>
    <t>pct_nat</t>
  </si>
  <si>
    <t>pct_wat</t>
  </si>
  <si>
    <t>pct_ovr</t>
  </si>
  <si>
    <t>a_max_mr</t>
  </si>
  <si>
    <t>tj_max_mr</t>
  </si>
  <si>
    <t>cor_fac_mr</t>
  </si>
  <si>
    <t>a_pot_mr</t>
  </si>
  <si>
    <t>tj_pot_mr</t>
  </si>
  <si>
    <t>a_km2_mr</t>
  </si>
  <si>
    <t>a_max_lnd</t>
  </si>
  <si>
    <t>tj_max_lnd</t>
  </si>
  <si>
    <t>cor_fac_ln</t>
  </si>
  <si>
    <t>a_pot_lnd</t>
  </si>
  <si>
    <t>tj_pot_lnd</t>
  </si>
  <si>
    <t>a_km2_lnd</t>
  </si>
  <si>
    <t>tj_tot</t>
  </si>
  <si>
    <t>gwh_tot</t>
  </si>
  <si>
    <t>wind_potential_nb_turbines</t>
  </si>
  <si>
    <t>wind_potential_GWh_turbines</t>
  </si>
  <si>
    <t>pv_rooftop_potential_MW</t>
  </si>
  <si>
    <t>wind_potential_MW_turbines</t>
  </si>
  <si>
    <t>pv_rooftop_potential_GWh</t>
  </si>
  <si>
    <t>power per turbine wind</t>
  </si>
  <si>
    <t>MW</t>
  </si>
  <si>
    <t>full load hour PV</t>
  </si>
  <si>
    <t>hour</t>
  </si>
  <si>
    <t>pv_field_potential_MW</t>
  </si>
  <si>
    <t>pv_field_potential_GWh</t>
  </si>
  <si>
    <t>share rooftop utility</t>
  </si>
  <si>
    <t>Gemeentecode</t>
  </si>
  <si>
    <t>GemeentecodeGM</t>
  </si>
  <si>
    <t>Gemeentenaam</t>
  </si>
  <si>
    <t>Provinciecode</t>
  </si>
  <si>
    <t>ProvinciecodePV</t>
  </si>
  <si>
    <t>Provincienaam</t>
  </si>
  <si>
    <t>22</t>
  </si>
  <si>
    <t>PV22</t>
  </si>
  <si>
    <t>Drenthe</t>
  </si>
  <si>
    <t>27</t>
  </si>
  <si>
    <t>PV27</t>
  </si>
  <si>
    <t>Noord-Holland</t>
  </si>
  <si>
    <t>25</t>
  </si>
  <si>
    <t>PV25</t>
  </si>
  <si>
    <t>Gelderland</t>
  </si>
  <si>
    <t>21</t>
  </si>
  <si>
    <t>PV21</t>
  </si>
  <si>
    <t>28</t>
  </si>
  <si>
    <t>PV28</t>
  </si>
  <si>
    <t>Zuid-Holland</t>
  </si>
  <si>
    <t>23</t>
  </si>
  <si>
    <t>PV23</t>
  </si>
  <si>
    <t>Overijssel</t>
  </si>
  <si>
    <t>24</t>
  </si>
  <si>
    <t>PV24</t>
  </si>
  <si>
    <t>Flevoland</t>
  </si>
  <si>
    <t>30</t>
  </si>
  <si>
    <t>PV30</t>
  </si>
  <si>
    <t>Noord-Brabant</t>
  </si>
  <si>
    <t>26</t>
  </si>
  <si>
    <t>PV26</t>
  </si>
  <si>
    <t>31</t>
  </si>
  <si>
    <t>PV31</t>
  </si>
  <si>
    <t>Limburg</t>
  </si>
  <si>
    <t>29</t>
  </si>
  <si>
    <t>PV29</t>
  </si>
  <si>
    <t>Zeeland</t>
  </si>
  <si>
    <t>20</t>
  </si>
  <si>
    <t>PV20</t>
  </si>
  <si>
    <t>Friesland</t>
  </si>
  <si>
    <t>Noardeast-Friesland</t>
  </si>
  <si>
    <t>Súdwest-Friesland</t>
  </si>
  <si>
    <t>RES region</t>
  </si>
  <si>
    <t>Bron: CBS</t>
  </si>
  <si>
    <t>West-Overijssel</t>
  </si>
  <si>
    <t>Drechtsteden</t>
  </si>
  <si>
    <t>Cleantech</t>
  </si>
  <si>
    <t>West-Brabant</t>
  </si>
  <si>
    <t>Midden-Holland</t>
  </si>
  <si>
    <t>HollandRijnland</t>
  </si>
  <si>
    <t>Rotterdam/DenHaag</t>
  </si>
  <si>
    <t>Arnhem/Nijmegen</t>
  </si>
  <si>
    <t>U16</t>
  </si>
  <si>
    <t>Noord-HollandZuid</t>
  </si>
  <si>
    <t>FruitdeltaRivierenland</t>
  </si>
  <si>
    <t>WoldenDe</t>
  </si>
  <si>
    <t>DeWolden</t>
  </si>
  <si>
    <t>Achterhoek</t>
  </si>
  <si>
    <t>WijkbijDuurstede</t>
  </si>
  <si>
    <t>Twente</t>
  </si>
  <si>
    <t>Fryslân</t>
  </si>
  <si>
    <t>WestMaasenWaal</t>
  </si>
  <si>
    <t>WestBetuwe</t>
  </si>
  <si>
    <t>Noord-enMidden-Limburg</t>
  </si>
  <si>
    <t>Foodvalley</t>
  </si>
  <si>
    <t>HartvanBrabant</t>
  </si>
  <si>
    <t>MetropoolregioEindhoven</t>
  </si>
  <si>
    <t>Noordoost-Brabant</t>
  </si>
  <si>
    <t>VoorneaanZee</t>
  </si>
  <si>
    <t>Zuid-Limburg</t>
  </si>
  <si>
    <t>ValkenburgaandeGeul</t>
  </si>
  <si>
    <t>UtrechtseHeuvelrug</t>
  </si>
  <si>
    <t>Utrecht (gemeente)</t>
  </si>
  <si>
    <t>Noord-HollandNoord</t>
  </si>
  <si>
    <t>Sudwest-Fryslan</t>
  </si>
  <si>
    <t>StichtseVecht</t>
  </si>
  <si>
    <t>Stein (L.)</t>
  </si>
  <si>
    <t>StedeBroec</t>
  </si>
  <si>
    <t>SonenBreugel</t>
  </si>
  <si>
    <t>Sittard+Geleen</t>
  </si>
  <si>
    <t>Sint+Michielsgestel</t>
  </si>
  <si>
    <t>Schouwen+Duiveland</t>
  </si>
  <si>
    <t>RondeVenenDe</t>
  </si>
  <si>
    <t>DeRondeVenen</t>
  </si>
  <si>
    <t>Rijswijk (ZH.)</t>
  </si>
  <si>
    <t>Rijssen+Holten</t>
  </si>
  <si>
    <t>Reusel+DeMierden</t>
  </si>
  <si>
    <t>Reusel-DeMierden</t>
  </si>
  <si>
    <t>Noord-Veluwe</t>
  </si>
  <si>
    <t>Pijnacker+Nootdorp</t>
  </si>
  <si>
    <t>PeelenMaas</t>
  </si>
  <si>
    <t>Ouder+Amstel</t>
  </si>
  <si>
    <t>OudeIJsselstreek</t>
  </si>
  <si>
    <t>OostGelre</t>
  </si>
  <si>
    <t>Olst+Wijhe</t>
  </si>
  <si>
    <t>Noord+Beveland</t>
  </si>
  <si>
    <t>Noardeast+Fryslân</t>
  </si>
  <si>
    <t>Neder+Betuwe</t>
  </si>
  <si>
    <t>MookenMiddelaar</t>
  </si>
  <si>
    <t>Alblasserwaard</t>
  </si>
  <si>
    <t>Midden+Groningen</t>
  </si>
  <si>
    <t>Midden+Drenthe</t>
  </si>
  <si>
    <t>Midden+Delfland</t>
  </si>
  <si>
    <t>Middelburg (Z.)</t>
  </si>
  <si>
    <t>LoonopZand</t>
  </si>
  <si>
    <t>Leidschendam+Voorburg</t>
  </si>
  <si>
    <t>Laren (NH.)</t>
  </si>
  <si>
    <t>Land+van+Cuijk</t>
  </si>
  <si>
    <t>LandvanCuijk</t>
  </si>
  <si>
    <t>KrimpenaandenIJssel</t>
  </si>
  <si>
    <t>Kaag</t>
  </si>
  <si>
    <t>KaagenBraassem</t>
  </si>
  <si>
    <t>HorstaandeMaas</t>
  </si>
  <si>
    <t>HollandsKroon</t>
  </si>
  <si>
    <t>Hogeland+Het</t>
  </si>
  <si>
    <t>HetHogeland</t>
  </si>
  <si>
    <t>HofvanTwente</t>
  </si>
  <si>
    <t>Hoekschewaard</t>
  </si>
  <si>
    <t>Hoeksche+Waard</t>
  </si>
  <si>
    <t>HoekscheWaard</t>
  </si>
  <si>
    <t>Hertogenbosch's-</t>
  </si>
  <si>
    <t>Hengelo (O.)</t>
  </si>
  <si>
    <t>Hendrik+Ido+Ambacht</t>
  </si>
  <si>
    <t>HelderDen</t>
  </si>
  <si>
    <t>DenHelder</t>
  </si>
  <si>
    <t>Heeze+Leende</t>
  </si>
  <si>
    <t>Hardinxveld+Giessendam</t>
  </si>
  <si>
    <t>Gulpen+Wittem</t>
  </si>
  <si>
    <t>Groningen (gemeente)</t>
  </si>
  <si>
    <t>Gravenhage's-</t>
  </si>
  <si>
    <t>'s-Gravenhage (gemeente)</t>
  </si>
  <si>
    <t>GooiseMeren</t>
  </si>
  <si>
    <t>Goeree+Overflakkee</t>
  </si>
  <si>
    <t>GilzeenRijen</t>
  </si>
  <si>
    <t>Gemert+Bakel</t>
  </si>
  <si>
    <t>Geldrop+Mierlo</t>
  </si>
  <si>
    <t>FryskeMarrenDe</t>
  </si>
  <si>
    <t>DeFryskeMarren</t>
  </si>
  <si>
    <t>Etten+Leur</t>
  </si>
  <si>
    <t>Eijsden+Margraten</t>
  </si>
  <si>
    <t>Edam+Volendam</t>
  </si>
  <si>
    <t>Echt+Susteren</t>
  </si>
  <si>
    <t>Dijk+en+Waard</t>
  </si>
  <si>
    <t>DijkenWaard</t>
  </si>
  <si>
    <t>CapelleaandenIJssel</t>
  </si>
  <si>
    <t>Borger+Odoorn</t>
  </si>
  <si>
    <t>Bodegraven+Reeuwijk</t>
  </si>
  <si>
    <t>BiltDe</t>
  </si>
  <si>
    <t>DeBilt</t>
  </si>
  <si>
    <t>BergenopZoom</t>
  </si>
  <si>
    <t>Bergen(NH.)</t>
  </si>
  <si>
    <t>Bergen(L.)</t>
  </si>
  <si>
    <t>BergenDal</t>
  </si>
  <si>
    <t>Beek (L.)</t>
  </si>
  <si>
    <t>Baarle+Nassau</t>
  </si>
  <si>
    <t>Alphen+Chaam</t>
  </si>
  <si>
    <t>AlphenaandenRijn</t>
  </si>
  <si>
    <t>AaenHunze</t>
  </si>
  <si>
    <t>naam</t>
  </si>
  <si>
    <t>code</t>
  </si>
  <si>
    <t>Regio's</t>
  </si>
  <si>
    <t>Lokaliseringen van gemeenten|Regionale Energiestrategie regio’s|Naam</t>
  </si>
  <si>
    <t>Lokaliseringen van gemeenten|Regionale Energiestrategie regio’s|Code</t>
  </si>
  <si>
    <t>Lokaliseringen van gemeenten|Provincies|Naam</t>
  </si>
  <si>
    <t>Lokaliseringen van gemeenten|Provincies|Code</t>
  </si>
  <si>
    <t>Codes en namen van gemeenten|Sortering naam</t>
  </si>
  <si>
    <t>Codes en namen van gemeenten|Naam</t>
  </si>
  <si>
    <t>Codes en namen van gemeenten|Code</t>
  </si>
  <si>
    <t>Onderwerp</t>
  </si>
  <si>
    <t>Gebieden in Nederland 2023</t>
  </si>
  <si>
    <t>RES region code</t>
  </si>
  <si>
    <t>RES_region</t>
  </si>
  <si>
    <t>RES_code</t>
  </si>
  <si>
    <t>province</t>
  </si>
  <si>
    <t>province_code</t>
  </si>
  <si>
    <t>gemeenteco</t>
  </si>
  <si>
    <t>gemeentena</t>
  </si>
  <si>
    <t>longitude</t>
  </si>
  <si>
    <t>latitude</t>
  </si>
  <si>
    <t>GM0998</t>
  </si>
  <si>
    <t>Buitenland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</si>
</sst>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indexed="8"/>
      <name val="Arial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0" fontId="3" fillId="0" borderId="0"/>
    <xf numFmtId="0" fontId="6" fillId="0" borderId="0"/>
    <xf numFmtId="0" fontId="8" fillId="0" borderId="0"/>
    <xf numFmtId="0" fontId="3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0" fillId="0" borderId="3" xfId="0" applyBorder="1"/>
    <xf numFmtId="0" fontId="7" fillId="0" borderId="4" xfId="2" applyFont="1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0" fontId="8" fillId="0" borderId="0" xfId="3"/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9" fillId="5" borderId="2" xfId="4" applyFont="1" applyFill="1" applyBorder="1" applyAlignment="1">
      <alignment horizontal="center"/>
    </xf>
    <xf numFmtId="0" fontId="9" fillId="0" borderId="4" xfId="4" applyFont="1" applyBorder="1" applyAlignment="1">
      <alignment wrapText="1"/>
    </xf>
    <xf numFmtId="0" fontId="9" fillId="0" borderId="4" xfId="4" applyFont="1" applyBorder="1"/>
  </cellXfs>
  <cellStyles count="5">
    <cellStyle name="Normal" xfId="0" builtinId="0"/>
    <cellStyle name="Normal 2" xfId="3" xr:uid="{85CB83E1-7F41-48DC-9696-32BFF3D0D356}"/>
    <cellStyle name="Standaard_Blad3" xfId="2" xr:uid="{4B351E1D-476D-4163-9AB9-AACEC7F533D9}"/>
    <cellStyle name="Standaard_Gemeenten_alfabetisch_2022" xfId="4" xr:uid="{4F022D77-E073-433D-AFFD-3076F4B72AA6}"/>
    <cellStyle name="Standaard_KWB2022" xfId="1" xr:uid="{4D6F2CFB-032B-4588-AD46-D4DB328699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metadata.xml" Type="http://schemas.openxmlformats.org/officeDocument/2006/relationships/sheetMetadata"/><Relationship Id="rId11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AE95-EDDB-46D4-8720-F46EB36CDD42}">
  <dimension ref="A1:AN343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defaultRowHeight="15" x14ac:dyDescent="0.25"/>
  <sheetData>
    <row r="1" spans="1:4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1339</v>
      </c>
      <c r="H1" s="2" t="s">
        <v>1340</v>
      </c>
      <c r="I1" s="2" t="s">
        <v>1337</v>
      </c>
      <c r="J1" s="2" t="s">
        <v>1338</v>
      </c>
      <c r="K1" s="2" t="s">
        <v>1343</v>
      </c>
      <c r="L1" s="2" t="s">
        <v>1344</v>
      </c>
      <c r="M1" s="3" t="s">
        <v>6</v>
      </c>
      <c r="N1" s="3" t="s">
        <v>7</v>
      </c>
      <c r="O1" s="3" t="s">
        <v>8</v>
      </c>
      <c r="P1" s="3" t="s">
        <v>9</v>
      </c>
      <c r="Q1" s="2" t="s">
        <v>10</v>
      </c>
      <c r="R1" s="2" t="s">
        <v>11</v>
      </c>
      <c r="S1" s="4" t="s">
        <v>12</v>
      </c>
      <c r="T1" s="4" t="s">
        <v>13</v>
      </c>
      <c r="U1" s="20" t="s">
        <v>14</v>
      </c>
      <c r="V1" s="21" t="s">
        <v>15</v>
      </c>
      <c r="W1" s="21" t="s">
        <v>16</v>
      </c>
      <c r="X1" s="21" t="s">
        <v>17</v>
      </c>
      <c r="Y1" s="21" t="s">
        <v>18</v>
      </c>
      <c r="Z1" s="22" t="s">
        <v>1154</v>
      </c>
      <c r="AA1" s="22" t="s">
        <v>1157</v>
      </c>
      <c r="AB1" s="22" t="s">
        <v>1155</v>
      </c>
      <c r="AC1" s="22" t="s">
        <v>1156</v>
      </c>
      <c r="AD1" s="22" t="s">
        <v>1158</v>
      </c>
      <c r="AE1" s="22" t="s">
        <v>1163</v>
      </c>
      <c r="AF1" s="22" t="s">
        <v>1164</v>
      </c>
      <c r="AG1" s="19"/>
    </row>
    <row r="2" spans="1:40" x14ac:dyDescent="0.25">
      <c r="A2" s="5" t="s">
        <v>19</v>
      </c>
      <c r="B2" s="6" t="s">
        <v>20</v>
      </c>
      <c r="C2" s="7" t="s">
        <v>21</v>
      </c>
      <c r="D2" s="7" t="s">
        <v>21</v>
      </c>
      <c r="E2" s="7" t="s">
        <v>22</v>
      </c>
      <c r="F2" s="7" t="s">
        <v>19</v>
      </c>
      <c r="G2" s="7" t="str" cm="1">
        <f t="array" ref="G2">INDEX('municipalities per province'!F:F,MATCH(municipalities!$A2,'municipalities per province'!$B:$B,0),0)</f>
        <v>Groningen</v>
      </c>
      <c r="H2" s="7" t="str" cm="1">
        <f t="array" ref="H2">INDEX('municipalities per province'!E:E,MATCH(municipalities!$A2,'municipalities per province'!$B:$B,0),0)</f>
        <v>PV20</v>
      </c>
      <c r="I2" s="7" t="str" cm="1">
        <f t="array" ref="I2">INDEX('municipalities per province'!G:G,MATCH(municipalities!$A2,'municipalities per province'!$B:$B,0),0)</f>
        <v>Groningen</v>
      </c>
      <c r="J2" s="7" t="str" cm="1">
        <f t="array" ref="J2">INDEX('municipalities per province'!H:H,MATCH(municipalities!$A2,'municipalities per province'!$B:$B,0),0)</f>
        <v>ES01</v>
      </c>
      <c r="K2" s="7" cm="1">
        <f t="array" ref="K2">INDEX(coordinates!C:C,MATCH(municipalities!$A2,coordinates!$A:$A,0),0)</f>
        <v>6.6206669151883162</v>
      </c>
      <c r="L2" s="7" cm="1">
        <f t="array" ref="L2">INDEX(coordinates!D:D,MATCH(municipalities!$A2,coordinates!$A:$A,0),0)</f>
        <v>53.218624506449068</v>
      </c>
      <c r="M2" s="8">
        <v>1</v>
      </c>
      <c r="N2" s="9">
        <v>238147</v>
      </c>
      <c r="O2" s="9">
        <v>118198</v>
      </c>
      <c r="P2" s="9">
        <v>119949</v>
      </c>
      <c r="Q2" s="9">
        <v>1</v>
      </c>
      <c r="R2" s="10">
        <v>3427</v>
      </c>
      <c r="S2" s="11">
        <v>40</v>
      </c>
      <c r="T2" s="11">
        <v>60</v>
      </c>
      <c r="U2" s="12">
        <f t="shared" ref="U2:U65" si="0">IF(AJ2&lt;0,AVERAGEIF(AJ:AJ,"&gt;0"),AJ2)</f>
        <v>26.8</v>
      </c>
      <c r="V2" s="12">
        <f t="shared" ref="V2:V65" si="1">IF(AK2&lt;0,AVERAGEIF(AK:AK,"&gt;0"),AK2)</f>
        <v>11</v>
      </c>
      <c r="W2" s="12">
        <f t="shared" ref="W2:W65" si="2">IF(AL2&lt;0,AVERAGEIF(AL:AL,"&gt;0"),AL2)</f>
        <v>16</v>
      </c>
      <c r="X2" s="12">
        <f t="shared" ref="X2:X65" si="3">IF(AM2&lt;0,AVERAGEIF(AM:AM,"&gt;0"),AM2)</f>
        <v>18.899999999999999</v>
      </c>
      <c r="Y2" s="12">
        <f t="shared" ref="Y2:Y65" si="4">IF(AN2&lt;0,AVERAGEIF(AN:AN,"&gt;0"),AN2)</f>
        <v>11</v>
      </c>
      <c r="Z2" s="12" cm="1">
        <f t="array" ref="Z2">INDEX(municipality_wind_potential!$X:$X,MATCH(municipalities!$F2,municipality_wind_potential!$E:$E,0),0)</f>
        <v>60</v>
      </c>
      <c r="AA2" s="12">
        <f>Z2*$AH$2</f>
        <v>336</v>
      </c>
      <c r="AB2" s="12" cm="1">
        <f t="array" ref="AB2">INDEX(municipality_wind_potential!$Y:$Y,MATCH(municipalities!$F2,municipality_wind_potential!$E:$E,0),0) / 3.6</f>
        <v>1114.0916666666667</v>
      </c>
      <c r="AC2" s="12">
        <f>AD2/$AH$3*1000</f>
        <v>252.19822414206865</v>
      </c>
      <c r="AD2" s="12" cm="1">
        <f t="array" ref="AD2">INDEX(municipality_pv_potential!$G:$G,MATCH(municipalities!$A2,municipality_pv_potential!$E:$E,0),0)/3.6*$AH$4</f>
        <v>233.53555555555559</v>
      </c>
      <c r="AE2" s="12">
        <f>AF2/$AH$3*1000</f>
        <v>467.16762658987278</v>
      </c>
      <c r="AF2" s="12" cm="1">
        <f t="array" ref="AF2">INDEX(municipality_pv_potential!$H:$H,MATCH(municipalities!$A2,municipality_pv_potential!$E:$E,0),0)/3.6</f>
        <v>432.59722222222217</v>
      </c>
      <c r="AG2" s="12" t="s">
        <v>1159</v>
      </c>
      <c r="AH2">
        <v>5.6</v>
      </c>
      <c r="AI2" t="s">
        <v>1160</v>
      </c>
      <c r="AJ2">
        <v>26.8</v>
      </c>
      <c r="AK2">
        <v>11</v>
      </c>
      <c r="AL2">
        <v>16</v>
      </c>
      <c r="AM2">
        <v>18.899999999999999</v>
      </c>
      <c r="AN2">
        <v>11</v>
      </c>
    </row>
    <row r="3" spans="1:40" x14ac:dyDescent="0.25">
      <c r="A3" s="5" t="s">
        <v>23</v>
      </c>
      <c r="B3" s="6" t="s">
        <v>24</v>
      </c>
      <c r="C3" s="7" t="s">
        <v>25</v>
      </c>
      <c r="D3" s="7" t="s">
        <v>25</v>
      </c>
      <c r="E3" s="7" t="s">
        <v>22</v>
      </c>
      <c r="F3" s="7" t="s">
        <v>23</v>
      </c>
      <c r="G3" s="7" t="str" cm="1">
        <f t="array" ref="G3">INDEX('municipalities per province'!F:F,MATCH(municipalities!A3,'municipalities per province'!B:B,0),0)</f>
        <v>Flevoland</v>
      </c>
      <c r="H3" s="7" t="str" cm="1">
        <f t="array" ref="H3">INDEX('municipalities per province'!E:E,MATCH(municipalities!$A3,'municipalities per province'!$B:$B,0),0)</f>
        <v>PV24</v>
      </c>
      <c r="I3" s="7" t="str" cm="1">
        <f t="array" ref="I3">INDEX('municipalities per province'!G:G,MATCH(municipalities!$A3,'municipalities per province'!$B:$B,0),0)</f>
        <v>Flevoland</v>
      </c>
      <c r="J3" s="7" t="str" cm="1">
        <f t="array" ref="J3">INDEX('municipalities per province'!H:H,MATCH(municipalities!$A3,'municipalities per province'!$B:$B,0),0)</f>
        <v>ES06</v>
      </c>
      <c r="K3" s="7" cm="1">
        <f t="array" ref="K3">INDEX(coordinates!C:C,MATCH(municipalities!$A3,coordinates!$A:$A,0),0)</f>
        <v>5.1533873925552998</v>
      </c>
      <c r="L3" s="7" cm="1">
        <f t="array" ref="L3">INDEX(coordinates!D:D,MATCH(municipalities!$A3,coordinates!$A:$A,0),0)</f>
        <v>52.447425786383462</v>
      </c>
      <c r="M3" s="8">
        <v>1</v>
      </c>
      <c r="N3" s="9">
        <v>222825</v>
      </c>
      <c r="O3" s="9">
        <v>110589</v>
      </c>
      <c r="P3" s="9">
        <v>112236</v>
      </c>
      <c r="Q3" s="9">
        <v>2</v>
      </c>
      <c r="R3" s="10">
        <v>1629</v>
      </c>
      <c r="S3" s="11">
        <v>63</v>
      </c>
      <c r="T3" s="11">
        <v>37</v>
      </c>
      <c r="U3" s="12">
        <f t="shared" si="0"/>
        <v>33.299999999999997</v>
      </c>
      <c r="V3" s="12">
        <f t="shared" si="1"/>
        <v>6.4</v>
      </c>
      <c r="W3" s="12">
        <f t="shared" si="2"/>
        <v>9.4</v>
      </c>
      <c r="X3" s="12">
        <f t="shared" si="3"/>
        <v>11.6</v>
      </c>
      <c r="Y3" s="12">
        <f t="shared" si="4"/>
        <v>91.9</v>
      </c>
      <c r="Z3" s="12" cm="1">
        <f t="array" ref="Z3">INDEX(municipality_wind_potential!$X:$X,MATCH(municipalities!$F3,municipality_wind_potential!$E:$E,0),0)</f>
        <v>62</v>
      </c>
      <c r="AA3" s="12">
        <f t="shared" ref="AA3:AA66" si="5">Z3*$AH$2</f>
        <v>347.2</v>
      </c>
      <c r="AB3" s="12" cm="1">
        <f t="array" ref="AB3">INDEX(municipality_wind_potential!$Y:$Y,MATCH(municipalities!$F3,municipality_wind_potential!$E:$E,0),0) / 3.6</f>
        <v>1091.7472222222223</v>
      </c>
      <c r="AC3" s="12">
        <f t="shared" ref="AC3:AC66" si="6">AD3/$AH$3*1000</f>
        <v>208.58171346292295</v>
      </c>
      <c r="AD3" s="12" cm="1">
        <f t="array" ref="AD3">INDEX(municipality_pv_potential!$G:$G,MATCH(municipalities!$A3,municipality_pv_potential!$E:$E,0),0)/3.6*$AH$4</f>
        <v>193.14666666666665</v>
      </c>
      <c r="AE3" s="12">
        <f t="shared" ref="AE3:AE66" si="7">AF3/$AH$3*1000</f>
        <v>147.84617230621552</v>
      </c>
      <c r="AF3" s="12" cm="1">
        <f t="array" ref="AF3">INDEX(municipality_pv_potential!$H:$H,MATCH(municipalities!$A3,municipality_pv_potential!$E:$E,0),0)/3.6</f>
        <v>136.90555555555557</v>
      </c>
      <c r="AG3" s="12" t="s">
        <v>1161</v>
      </c>
      <c r="AH3">
        <f>926</f>
        <v>926</v>
      </c>
      <c r="AI3" t="s">
        <v>1162</v>
      </c>
      <c r="AJ3">
        <v>33.299999999999997</v>
      </c>
      <c r="AK3">
        <v>6.4</v>
      </c>
      <c r="AL3">
        <v>9.4</v>
      </c>
      <c r="AM3">
        <v>11.6</v>
      </c>
      <c r="AN3">
        <v>91.9</v>
      </c>
    </row>
    <row r="4" spans="1:40" x14ac:dyDescent="0.25">
      <c r="A4" s="5" t="s">
        <v>26</v>
      </c>
      <c r="B4" s="6" t="s">
        <v>27</v>
      </c>
      <c r="C4" s="7" t="s">
        <v>28</v>
      </c>
      <c r="D4" s="7" t="s">
        <v>28</v>
      </c>
      <c r="E4" s="7" t="s">
        <v>22</v>
      </c>
      <c r="F4" s="7" t="s">
        <v>26</v>
      </c>
      <c r="G4" s="7" t="str" cm="1">
        <f t="array" ref="G4">INDEX('municipalities per province'!F:F,MATCH(municipalities!A4,'municipalities per province'!B:B,0),0)</f>
        <v>Groningen</v>
      </c>
      <c r="H4" s="7" t="str" cm="1">
        <f t="array" ref="H4">INDEX('municipalities per province'!E:E,MATCH(municipalities!$A4,'municipalities per province'!$B:$B,0),0)</f>
        <v>PV20</v>
      </c>
      <c r="I4" s="7" t="str" cm="1">
        <f t="array" ref="I4">INDEX('municipalities per province'!G:G,MATCH(municipalities!$A4,'municipalities per province'!$B:$B,0),0)</f>
        <v>Groningen</v>
      </c>
      <c r="J4" s="7" t="str" cm="1">
        <f t="array" ref="J4">INDEX('municipalities per province'!H:H,MATCH(municipalities!$A4,'municipalities per province'!$B:$B,0),0)</f>
        <v>ES01</v>
      </c>
      <c r="K4" s="7" cm="1">
        <f t="array" ref="K4">INDEX(coordinates!C:C,MATCH(municipalities!$A4,coordinates!$A:$A,0),0)</f>
        <v>7.0103221267345903</v>
      </c>
      <c r="L4" s="7" cm="1">
        <f t="array" ref="L4">INDEX(coordinates!D:D,MATCH(municipalities!$A4,coordinates!$A:$A,0),0)</f>
        <v>53.002171449310453</v>
      </c>
      <c r="M4" s="8">
        <v>1</v>
      </c>
      <c r="N4" s="9">
        <v>32135</v>
      </c>
      <c r="O4" s="9">
        <v>15844</v>
      </c>
      <c r="P4" s="9">
        <v>16291</v>
      </c>
      <c r="Q4" s="9">
        <v>4</v>
      </c>
      <c r="R4" s="10">
        <v>840</v>
      </c>
      <c r="S4" s="11">
        <v>60</v>
      </c>
      <c r="T4" s="11">
        <v>39</v>
      </c>
      <c r="U4" s="12">
        <f t="shared" si="0"/>
        <v>28.7</v>
      </c>
      <c r="V4" s="12">
        <f t="shared" si="1"/>
        <v>7.5</v>
      </c>
      <c r="W4" s="12">
        <f t="shared" si="2"/>
        <v>12.6</v>
      </c>
      <c r="X4" s="12">
        <f t="shared" si="3"/>
        <v>17.100000000000001</v>
      </c>
      <c r="Y4" s="12">
        <f t="shared" si="4"/>
        <v>55.5</v>
      </c>
      <c r="Z4" s="12" cm="1">
        <f t="array" ref="Z4">INDEX(municipality_wind_potential!$X:$X,MATCH(municipalities!$F4,municipality_wind_potential!$E:$E,0),0)</f>
        <v>60</v>
      </c>
      <c r="AA4" s="12">
        <f t="shared" si="5"/>
        <v>336</v>
      </c>
      <c r="AB4" s="12" cm="1">
        <f t="array" ref="AB4">INDEX(municipality_wind_potential!$Y:$Y,MATCH(municipalities!$F4,municipality_wind_potential!$E:$E,0),0) / 3.6</f>
        <v>1056.2444444444445</v>
      </c>
      <c r="AC4" s="12">
        <f t="shared" si="6"/>
        <v>69.290856731461488</v>
      </c>
      <c r="AD4" s="12" cm="1">
        <f t="array" ref="AD4">INDEX(municipality_pv_potential!$G:$G,MATCH(municipalities!$A4,municipality_pv_potential!$E:$E,0),0)/3.6*$AH$4</f>
        <v>64.163333333333341</v>
      </c>
      <c r="AE4" s="12">
        <f t="shared" si="7"/>
        <v>389.96280297576192</v>
      </c>
      <c r="AF4" s="12" cm="1">
        <f t="array" ref="AF4">INDEX(municipality_pv_potential!$H:$H,MATCH(municipalities!$A4,municipality_pv_potential!$E:$E,0),0)/3.6</f>
        <v>361.10555555555555</v>
      </c>
      <c r="AG4" s="12" t="s">
        <v>1165</v>
      </c>
      <c r="AH4">
        <v>0.2</v>
      </c>
      <c r="AJ4">
        <v>28.7</v>
      </c>
      <c r="AK4">
        <v>7.5</v>
      </c>
      <c r="AL4">
        <v>12.6</v>
      </c>
      <c r="AM4">
        <v>17.100000000000001</v>
      </c>
      <c r="AN4">
        <v>55.5</v>
      </c>
    </row>
    <row r="5" spans="1:40" x14ac:dyDescent="0.25">
      <c r="A5" s="5" t="s">
        <v>29</v>
      </c>
      <c r="B5" s="6" t="s">
        <v>30</v>
      </c>
      <c r="C5" s="7" t="s">
        <v>31</v>
      </c>
      <c r="D5" s="7" t="s">
        <v>31</v>
      </c>
      <c r="E5" s="7" t="s">
        <v>22</v>
      </c>
      <c r="F5" s="7" t="s">
        <v>29</v>
      </c>
      <c r="G5" s="7" t="str" cm="1">
        <f t="array" ref="G5">INDEX('municipalities per province'!F:F,MATCH(municipalities!A5,'municipalities per province'!B:B,0),0)</f>
        <v>Groningen</v>
      </c>
      <c r="H5" s="7" t="str" cm="1">
        <f t="array" ref="H5">INDEX('municipalities per province'!E:E,MATCH(municipalities!$A5,'municipalities per province'!$B:$B,0),0)</f>
        <v>PV20</v>
      </c>
      <c r="I5" s="7" t="str" cm="1">
        <f t="array" ref="I5">INDEX('municipalities per province'!G:G,MATCH(municipalities!$A5,'municipalities per province'!$B:$B,0),0)</f>
        <v>Groningen</v>
      </c>
      <c r="J5" s="7" t="str" cm="1">
        <f t="array" ref="J5">INDEX('municipalities per province'!H:H,MATCH(municipalities!$A5,'municipalities per province'!$B:$B,0),0)</f>
        <v>ES01</v>
      </c>
      <c r="K5" s="7" cm="1">
        <f t="array" ref="K5">INDEX(coordinates!C:C,MATCH(municipalities!$A5,coordinates!$A:$A,0),0)</f>
        <v>6.8800915529674782</v>
      </c>
      <c r="L5" s="7" cm="1">
        <f t="array" ref="L5">INDEX(coordinates!D:D,MATCH(municipalities!$A5,coordinates!$A:$A,0),0)</f>
        <v>53.088990464022856</v>
      </c>
      <c r="M5" s="8">
        <v>1</v>
      </c>
      <c r="N5" s="9">
        <v>27616</v>
      </c>
      <c r="O5" s="9">
        <v>13863</v>
      </c>
      <c r="P5" s="9">
        <v>13753</v>
      </c>
      <c r="Q5" s="9">
        <v>3</v>
      </c>
      <c r="R5" s="10">
        <v>1013</v>
      </c>
      <c r="S5" s="11">
        <v>65</v>
      </c>
      <c r="T5" s="11">
        <v>35</v>
      </c>
      <c r="U5" s="12">
        <f t="shared" si="0"/>
        <v>29.5</v>
      </c>
      <c r="V5" s="12">
        <f t="shared" si="1"/>
        <v>7.1</v>
      </c>
      <c r="W5" s="12">
        <f t="shared" si="2"/>
        <v>11.7</v>
      </c>
      <c r="X5" s="12">
        <f t="shared" si="3"/>
        <v>15.4</v>
      </c>
      <c r="Y5" s="12">
        <f t="shared" si="4"/>
        <v>46.6</v>
      </c>
      <c r="Z5" s="12" cm="1">
        <f t="array" ref="Z5">INDEX(municipality_wind_potential!$X:$X,MATCH(municipalities!$F5,municipality_wind_potential!$E:$E,0),0)</f>
        <v>40</v>
      </c>
      <c r="AA5" s="12">
        <f t="shared" si="5"/>
        <v>224</v>
      </c>
      <c r="AB5" s="12" cm="1">
        <f t="array" ref="AB5">INDEX(municipality_wind_potential!$Y:$Y,MATCH(municipalities!$F5,municipality_wind_potential!$E:$E,0),0) / 3.6</f>
        <v>701.20277777777778</v>
      </c>
      <c r="AC5" s="12">
        <f t="shared" si="6"/>
        <v>61.567074634029282</v>
      </c>
      <c r="AD5" s="12" cm="1">
        <f t="array" ref="AD5">INDEX(municipality_pv_potential!$G:$G,MATCH(municipalities!$A5,municipality_pv_potential!$E:$E,0),0)/3.6*$AH$4</f>
        <v>57.011111111111113</v>
      </c>
      <c r="AE5" s="12">
        <f t="shared" si="7"/>
        <v>262.94996400287977</v>
      </c>
      <c r="AF5" s="12" cm="1">
        <f t="array" ref="AF5">INDEX(municipality_pv_potential!$H:$H,MATCH(municipalities!$A5,municipality_pv_potential!$E:$E,0),0)/3.6</f>
        <v>243.49166666666667</v>
      </c>
      <c r="AG5" s="12"/>
      <c r="AJ5">
        <v>29.5</v>
      </c>
      <c r="AK5">
        <v>7.1</v>
      </c>
      <c r="AL5">
        <v>11.7</v>
      </c>
      <c r="AM5">
        <v>15.4</v>
      </c>
      <c r="AN5">
        <v>46.6</v>
      </c>
    </row>
    <row r="6" spans="1:40" x14ac:dyDescent="0.25">
      <c r="A6" s="5" t="s">
        <v>32</v>
      </c>
      <c r="B6" s="6" t="s">
        <v>33</v>
      </c>
      <c r="C6" s="7" t="s">
        <v>34</v>
      </c>
      <c r="D6" s="7" t="s">
        <v>34</v>
      </c>
      <c r="E6" s="7" t="s">
        <v>22</v>
      </c>
      <c r="F6" s="7" t="s">
        <v>32</v>
      </c>
      <c r="G6" s="7" t="str" cm="1">
        <f t="array" ref="G6">INDEX('municipalities per province'!F:F,MATCH(municipalities!A6,'municipalities per province'!B:B,0),0)</f>
        <v>Flevoland</v>
      </c>
      <c r="H6" s="7" t="str" cm="1">
        <f t="array" ref="H6">INDEX('municipalities per province'!E:E,MATCH(municipalities!$A6,'municipalities per province'!$B:$B,0),0)</f>
        <v>PV24</v>
      </c>
      <c r="I6" s="7" t="str" cm="1">
        <f t="array" ref="I6">INDEX('municipalities per province'!G:G,MATCH(municipalities!$A6,'municipalities per province'!$B:$B,0),0)</f>
        <v>Flevoland</v>
      </c>
      <c r="J6" s="7" t="str" cm="1">
        <f t="array" ref="J6">INDEX('municipalities per province'!H:H,MATCH(municipalities!$A6,'municipalities per province'!$B:$B,0),0)</f>
        <v>ES06</v>
      </c>
      <c r="K6" s="7" cm="1">
        <f t="array" ref="K6">INDEX(coordinates!C:C,MATCH(municipalities!$A6,coordinates!$A:$A,0),0)</f>
        <v>5.5205362058979981</v>
      </c>
      <c r="L6" s="7" cm="1">
        <f t="array" ref="L6">INDEX(coordinates!D:D,MATCH(municipalities!$A6,coordinates!$A:$A,0),0)</f>
        <v>52.319161717278533</v>
      </c>
      <c r="M6" s="8">
        <v>1</v>
      </c>
      <c r="N6" s="9">
        <v>23692</v>
      </c>
      <c r="O6" s="9">
        <v>12003</v>
      </c>
      <c r="P6" s="9">
        <v>11689</v>
      </c>
      <c r="Q6" s="9">
        <v>4</v>
      </c>
      <c r="R6" s="10">
        <v>842</v>
      </c>
      <c r="S6" s="11">
        <v>70</v>
      </c>
      <c r="T6" s="11">
        <v>30</v>
      </c>
      <c r="U6" s="12">
        <f t="shared" si="0"/>
        <v>35.299999999999997</v>
      </c>
      <c r="V6" s="12">
        <f t="shared" si="1"/>
        <v>4</v>
      </c>
      <c r="W6" s="12">
        <f t="shared" si="2"/>
        <v>6.2</v>
      </c>
      <c r="X6" s="12">
        <f t="shared" si="3"/>
        <v>7.9</v>
      </c>
      <c r="Y6" s="12">
        <f t="shared" si="4"/>
        <v>105.1</v>
      </c>
      <c r="Z6" s="12" cm="1">
        <f t="array" ref="Z6">INDEX(municipality_wind_potential!$X:$X,MATCH(municipalities!$F6,municipality_wind_potential!$E:$E,0),0)</f>
        <v>202</v>
      </c>
      <c r="AA6" s="12">
        <f t="shared" si="5"/>
        <v>1131.1999999999998</v>
      </c>
      <c r="AB6" s="12" cm="1">
        <f t="array" ref="AB6">INDEX(municipality_wind_potential!$Y:$Y,MATCH(municipalities!$F6,municipality_wind_potential!$E:$E,0),0) / 3.6</f>
        <v>3249.7916666666665</v>
      </c>
      <c r="AC6" s="12">
        <f t="shared" si="6"/>
        <v>71.498680105591561</v>
      </c>
      <c r="AD6" s="12" cm="1">
        <f t="array" ref="AD6">INDEX(municipality_pv_potential!$G:$G,MATCH(municipalities!$A6,municipality_pv_potential!$E:$E,0),0)/3.6*$AH$4</f>
        <v>66.207777777777778</v>
      </c>
      <c r="AE6" s="12">
        <f t="shared" si="7"/>
        <v>868.61651067914556</v>
      </c>
      <c r="AF6" s="12" cm="1">
        <f t="array" ref="AF6">INDEX(municipality_pv_potential!$H:$H,MATCH(municipalities!$A6,municipality_pv_potential!$E:$E,0),0)/3.6</f>
        <v>804.33888888888885</v>
      </c>
      <c r="AG6" s="12"/>
      <c r="AJ6">
        <v>35.299999999999997</v>
      </c>
      <c r="AK6">
        <v>4</v>
      </c>
      <c r="AL6">
        <v>6.2</v>
      </c>
      <c r="AM6">
        <v>7.9</v>
      </c>
      <c r="AN6">
        <v>105.1</v>
      </c>
    </row>
    <row r="7" spans="1:40" x14ac:dyDescent="0.25">
      <c r="A7" s="5" t="s">
        <v>35</v>
      </c>
      <c r="B7" s="6" t="s">
        <v>36</v>
      </c>
      <c r="C7" s="7" t="s">
        <v>37</v>
      </c>
      <c r="D7" s="7" t="s">
        <v>37</v>
      </c>
      <c r="E7" s="7" t="s">
        <v>22</v>
      </c>
      <c r="F7" s="7" t="s">
        <v>35</v>
      </c>
      <c r="G7" s="7" t="str" cm="1">
        <f t="array" ref="G7">INDEX('municipalities per province'!F:F,MATCH(municipalities!A7,'municipalities per province'!B:B,0),0)</f>
        <v>Friesland</v>
      </c>
      <c r="H7" s="7" t="str" cm="1">
        <f t="array" ref="H7">INDEX('municipalities per province'!E:E,MATCH(municipalities!$A7,'municipalities per province'!$B:$B,0),0)</f>
        <v>PV21</v>
      </c>
      <c r="I7" s="7" t="str" cm="1">
        <f t="array" ref="I7">INDEX('municipalities per province'!G:G,MATCH(municipalities!$A7,'municipalities per province'!$B:$B,0),0)</f>
        <v>Friesland</v>
      </c>
      <c r="J7" s="7" t="str" cm="1">
        <f t="array" ref="J7">INDEX('municipalities per province'!H:H,MATCH(municipalities!$A7,'municipalities per province'!$B:$B,0),0)</f>
        <v>ES02</v>
      </c>
      <c r="K7" s="7" cm="1">
        <f t="array" ref="K7">INDEX(coordinates!C:C,MATCH(municipalities!$A7,coordinates!$A:$A,0),0)</f>
        <v>6.1431362564374998</v>
      </c>
      <c r="L7" s="7" cm="1">
        <f t="array" ref="L7">INDEX(coordinates!D:D,MATCH(municipalities!$A7,coordinates!$A:$A,0),0)</f>
        <v>53.21667993853579</v>
      </c>
      <c r="M7" s="8">
        <v>1</v>
      </c>
      <c r="N7" s="9">
        <v>28149</v>
      </c>
      <c r="O7" s="9">
        <v>14352</v>
      </c>
      <c r="P7" s="9">
        <v>13797</v>
      </c>
      <c r="Q7" s="9">
        <v>5</v>
      </c>
      <c r="R7" s="10">
        <v>437</v>
      </c>
      <c r="S7" s="11">
        <v>64</v>
      </c>
      <c r="T7" s="11">
        <v>36</v>
      </c>
      <c r="U7" s="12">
        <f t="shared" si="0"/>
        <v>29.6</v>
      </c>
      <c r="V7" s="12">
        <f t="shared" si="1"/>
        <v>6.5</v>
      </c>
      <c r="W7" s="12">
        <f t="shared" si="2"/>
        <v>10.7</v>
      </c>
      <c r="X7" s="12">
        <f t="shared" si="3"/>
        <v>14</v>
      </c>
      <c r="Y7" s="12">
        <f t="shared" si="4"/>
        <v>101.4</v>
      </c>
      <c r="Z7" s="12" cm="1">
        <f t="array" ref="Z7">INDEX(municipality_wind_potential!$X:$X,MATCH(municipalities!$F7,municipality_wind_potential!$E:$E,0),0)</f>
        <v>44</v>
      </c>
      <c r="AA7" s="12">
        <f t="shared" si="5"/>
        <v>246.39999999999998</v>
      </c>
      <c r="AB7" s="12" cm="1">
        <f t="array" ref="AB7">INDEX(municipality_wind_potential!$Y:$Y,MATCH(municipalities!$F7,municipality_wind_potential!$E:$E,0),0) / 3.6</f>
        <v>862.4</v>
      </c>
      <c r="AC7" s="12">
        <f t="shared" si="6"/>
        <v>70.119390448764094</v>
      </c>
      <c r="AD7" s="12" cm="1">
        <f t="array" ref="AD7">INDEX(municipality_pv_potential!$G:$G,MATCH(municipalities!$A7,municipality_pv_potential!$E:$E,0),0)/3.6*$AH$4</f>
        <v>64.930555555555557</v>
      </c>
      <c r="AE7" s="12">
        <f t="shared" si="7"/>
        <v>362.46100311975039</v>
      </c>
      <c r="AF7" s="12" cm="1">
        <f t="array" ref="AF7">INDEX(municipality_pv_potential!$H:$H,MATCH(municipalities!$A7,municipality_pv_potential!$E:$E,0),0)/3.6</f>
        <v>335.63888888888886</v>
      </c>
      <c r="AG7" s="12"/>
      <c r="AJ7">
        <v>29.6</v>
      </c>
      <c r="AK7">
        <v>6.5</v>
      </c>
      <c r="AL7">
        <v>10.7</v>
      </c>
      <c r="AM7">
        <v>14</v>
      </c>
      <c r="AN7">
        <v>101.4</v>
      </c>
    </row>
    <row r="8" spans="1:40" x14ac:dyDescent="0.25">
      <c r="A8" s="5" t="s">
        <v>38</v>
      </c>
      <c r="B8" s="6" t="s">
        <v>39</v>
      </c>
      <c r="C8" s="7" t="s">
        <v>40</v>
      </c>
      <c r="D8" s="7" t="s">
        <v>40</v>
      </c>
      <c r="E8" s="7" t="s">
        <v>22</v>
      </c>
      <c r="F8" s="7" t="s">
        <v>38</v>
      </c>
      <c r="G8" s="7" t="str" cm="1">
        <f t="array" ref="G8">INDEX('municipalities per province'!F:F,MATCH(municipalities!A8,'municipalities per province'!B:B,0),0)</f>
        <v>Friesland</v>
      </c>
      <c r="H8" s="7" t="str" cm="1">
        <f t="array" ref="H8">INDEX('municipalities per province'!E:E,MATCH(municipalities!$A8,'municipalities per province'!$B:$B,0),0)</f>
        <v>PV21</v>
      </c>
      <c r="I8" s="7" t="str" cm="1">
        <f t="array" ref="I8">INDEX('municipalities per province'!G:G,MATCH(municipalities!$A8,'municipalities per province'!$B:$B,0),0)</f>
        <v>Friesland</v>
      </c>
      <c r="J8" s="7" t="str" cm="1">
        <f t="array" ref="J8">INDEX('municipalities per province'!H:H,MATCH(municipalities!$A8,'municipalities per province'!$B:$B,0),0)</f>
        <v>ES02</v>
      </c>
      <c r="K8" s="7" cm="1">
        <f t="array" ref="K8">INDEX(coordinates!C:C,MATCH(municipalities!$A8,coordinates!$A:$A,0),0)</f>
        <v>5.7646773229272856</v>
      </c>
      <c r="L8" s="7" cm="1">
        <f t="array" ref="L8">INDEX(coordinates!D:D,MATCH(municipalities!$A8,coordinates!$A:$A,0),0)</f>
        <v>53.42534130705355</v>
      </c>
      <c r="M8" s="8">
        <v>1</v>
      </c>
      <c r="N8" s="9">
        <v>3840</v>
      </c>
      <c r="O8" s="9">
        <v>1938</v>
      </c>
      <c r="P8" s="9">
        <v>1902</v>
      </c>
      <c r="Q8" s="9">
        <v>5</v>
      </c>
      <c r="R8" s="10">
        <v>266</v>
      </c>
      <c r="S8" s="11">
        <v>66</v>
      </c>
      <c r="T8" s="11">
        <v>34</v>
      </c>
      <c r="U8" s="12">
        <f t="shared" si="0"/>
        <v>34.730630630630642</v>
      </c>
      <c r="V8" s="12">
        <f t="shared" si="1"/>
        <v>3.9</v>
      </c>
      <c r="W8" s="12">
        <f t="shared" si="2"/>
        <v>5.7</v>
      </c>
      <c r="X8" s="12">
        <f t="shared" si="3"/>
        <v>7.7</v>
      </c>
      <c r="Y8" s="12">
        <f t="shared" si="4"/>
        <v>191.8</v>
      </c>
      <c r="Z8" s="12" cm="1">
        <f t="array" ref="Z8">INDEX(municipality_wind_potential!$X:$X,MATCH(municipalities!$F8,municipality_wind_potential!$E:$E,0),0)</f>
        <v>23</v>
      </c>
      <c r="AA8" s="12">
        <f t="shared" si="5"/>
        <v>128.79999999999998</v>
      </c>
      <c r="AB8" s="12" cm="1">
        <f t="array" ref="AB8">INDEX(municipality_wind_potential!$Y:$Y,MATCH(municipalities!$F8,municipality_wind_potential!$E:$E,0),0) / 3.6</f>
        <v>495.88055555555559</v>
      </c>
      <c r="AC8" s="12">
        <f t="shared" si="6"/>
        <v>13.134749220062394</v>
      </c>
      <c r="AD8" s="12" cm="1">
        <f t="array" ref="AD8">INDEX(municipality_pv_potential!$G:$G,MATCH(municipalities!$A8,municipality_pv_potential!$E:$E,0),0)/3.6*$AH$4</f>
        <v>12.162777777777778</v>
      </c>
      <c r="AE8" s="12">
        <f t="shared" si="7"/>
        <v>94.867410607151427</v>
      </c>
      <c r="AF8" s="12" cm="1">
        <f t="array" ref="AF8">INDEX(municipality_pv_potential!$H:$H,MATCH(municipalities!$A8,municipality_pv_potential!$E:$E,0),0)/3.6</f>
        <v>87.847222222222214</v>
      </c>
      <c r="AG8" s="12"/>
      <c r="AJ8">
        <v>-99999</v>
      </c>
      <c r="AK8">
        <v>3.9</v>
      </c>
      <c r="AL8">
        <v>5.7</v>
      </c>
      <c r="AM8">
        <v>7.7</v>
      </c>
      <c r="AN8">
        <v>191.8</v>
      </c>
    </row>
    <row r="9" spans="1:40" x14ac:dyDescent="0.25">
      <c r="A9" s="5" t="s">
        <v>41</v>
      </c>
      <c r="B9" s="6" t="s">
        <v>42</v>
      </c>
      <c r="C9" s="7" t="s">
        <v>43</v>
      </c>
      <c r="D9" s="7" t="s">
        <v>43</v>
      </c>
      <c r="E9" s="7" t="s">
        <v>22</v>
      </c>
      <c r="F9" s="7" t="s">
        <v>41</v>
      </c>
      <c r="G9" s="7" t="str" cm="1">
        <f t="array" ref="G9">INDEX('municipalities per province'!F:F,MATCH(municipalities!A9,'municipalities per province'!B:B,0),0)</f>
        <v>Friesland</v>
      </c>
      <c r="H9" s="7" t="str" cm="1">
        <f t="array" ref="H9">INDEX('municipalities per province'!E:E,MATCH(municipalities!$A9,'municipalities per province'!$B:$B,0),0)</f>
        <v>PV21</v>
      </c>
      <c r="I9" s="7" t="str" cm="1">
        <f t="array" ref="I9">INDEX('municipalities per province'!G:G,MATCH(municipalities!$A9,'municipalities per province'!$B:$B,0),0)</f>
        <v>Friesland</v>
      </c>
      <c r="J9" s="7" t="str" cm="1">
        <f t="array" ref="J9">INDEX('municipalities per province'!H:H,MATCH(municipalities!$A9,'municipalities per province'!$B:$B,0),0)</f>
        <v>ES02</v>
      </c>
      <c r="K9" s="7" cm="1">
        <f t="array" ref="K9">INDEX(coordinates!C:C,MATCH(municipalities!$A9,coordinates!$A:$A,0),0)</f>
        <v>5.2545118084635503</v>
      </c>
      <c r="L9" s="7" cm="1">
        <f t="array" ref="L9">INDEX(coordinates!D:D,MATCH(municipalities!$A9,coordinates!$A:$A,0),0)</f>
        <v>53.140827603964723</v>
      </c>
      <c r="M9" s="8">
        <v>1</v>
      </c>
      <c r="N9" s="9">
        <v>16188</v>
      </c>
      <c r="O9" s="9">
        <v>8115</v>
      </c>
      <c r="P9" s="9">
        <v>8073</v>
      </c>
      <c r="Q9" s="9">
        <v>3</v>
      </c>
      <c r="R9" s="10">
        <v>1092</v>
      </c>
      <c r="S9" s="11">
        <v>56</v>
      </c>
      <c r="T9" s="11">
        <v>44</v>
      </c>
      <c r="U9" s="12">
        <f t="shared" si="0"/>
        <v>29.5</v>
      </c>
      <c r="V9" s="12">
        <f t="shared" si="1"/>
        <v>8.6999999999999993</v>
      </c>
      <c r="W9" s="12">
        <f t="shared" si="2"/>
        <v>13.1</v>
      </c>
      <c r="X9" s="12">
        <f t="shared" si="3"/>
        <v>16.899999999999999</v>
      </c>
      <c r="Y9" s="12">
        <f t="shared" si="4"/>
        <v>51</v>
      </c>
      <c r="Z9" s="12" cm="1">
        <f t="array" ref="Z9">INDEX(municipality_wind_potential!$X:$X,MATCH(municipalities!$F9,municipality_wind_potential!$E:$E,0),0)</f>
        <v>10</v>
      </c>
      <c r="AA9" s="12">
        <f t="shared" si="5"/>
        <v>56</v>
      </c>
      <c r="AB9" s="12" cm="1">
        <f t="array" ref="AB9">INDEX(municipality_wind_potential!$Y:$Y,MATCH(municipalities!$F9,municipality_wind_potential!$E:$E,0),0) / 3.6</f>
        <v>215.6</v>
      </c>
      <c r="AC9" s="12">
        <f t="shared" si="6"/>
        <v>28.512718982481402</v>
      </c>
      <c r="AD9" s="12" cm="1">
        <f t="array" ref="AD9">INDEX(municipality_pv_potential!$G:$G,MATCH(municipalities!$A9,municipality_pv_potential!$E:$E,0),0)/3.6*$AH$4</f>
        <v>26.402777777777779</v>
      </c>
      <c r="AE9" s="12">
        <f t="shared" si="7"/>
        <v>80.939524838012957</v>
      </c>
      <c r="AF9" s="12" cm="1">
        <f t="array" ref="AF9">INDEX(municipality_pv_potential!$H:$H,MATCH(municipalities!$A9,municipality_pv_potential!$E:$E,0),0)/3.6</f>
        <v>74.95</v>
      </c>
      <c r="AG9" s="12"/>
      <c r="AJ9">
        <v>29.5</v>
      </c>
      <c r="AK9">
        <v>8.6999999999999993</v>
      </c>
      <c r="AL9">
        <v>13.1</v>
      </c>
      <c r="AM9">
        <v>16.899999999999999</v>
      </c>
      <c r="AN9">
        <v>51</v>
      </c>
    </row>
    <row r="10" spans="1:40" x14ac:dyDescent="0.25">
      <c r="A10" s="5" t="s">
        <v>44</v>
      </c>
      <c r="B10" s="6" t="s">
        <v>45</v>
      </c>
      <c r="C10" s="7" t="s">
        <v>46</v>
      </c>
      <c r="D10" s="7" t="s">
        <v>46</v>
      </c>
      <c r="E10" s="7" t="s">
        <v>22</v>
      </c>
      <c r="F10" s="7" t="s">
        <v>44</v>
      </c>
      <c r="G10" s="7" t="str" cm="1">
        <f t="array" ref="G10">INDEX('municipalities per province'!F:F,MATCH(municipalities!A10,'municipalities per province'!B:B,0),0)</f>
        <v>Friesland</v>
      </c>
      <c r="H10" s="7" t="str" cm="1">
        <f t="array" ref="H10">INDEX('municipalities per province'!E:E,MATCH(municipalities!$A10,'municipalities per province'!$B:$B,0),0)</f>
        <v>PV21</v>
      </c>
      <c r="I10" s="7" t="str" cm="1">
        <f t="array" ref="I10">INDEX('municipalities per province'!G:G,MATCH(municipalities!$A10,'municipalities per province'!$B:$B,0),0)</f>
        <v>Friesland</v>
      </c>
      <c r="J10" s="7" t="str" cm="1">
        <f t="array" ref="J10">INDEX('municipalities per province'!H:H,MATCH(municipalities!$A10,'municipalities per province'!$B:$B,0),0)</f>
        <v>ES02</v>
      </c>
      <c r="K10" s="7" cm="1">
        <f t="array" ref="K10">INDEX(coordinates!C:C,MATCH(municipalities!$A10,coordinates!$A:$A,0),0)</f>
        <v>5.9779107498489896</v>
      </c>
      <c r="L10" s="7" cm="1">
        <f t="array" ref="L10">INDEX(coordinates!D:D,MATCH(municipalities!$A10,coordinates!$A:$A,0),0)</f>
        <v>52.995986527264527</v>
      </c>
      <c r="M10" s="8">
        <v>1</v>
      </c>
      <c r="N10" s="9">
        <v>51637</v>
      </c>
      <c r="O10" s="9">
        <v>25706</v>
      </c>
      <c r="P10" s="9">
        <v>25931</v>
      </c>
      <c r="Q10" s="9">
        <v>3</v>
      </c>
      <c r="R10" s="10">
        <v>1109</v>
      </c>
      <c r="S10" s="11">
        <v>60</v>
      </c>
      <c r="T10" s="11">
        <v>40</v>
      </c>
      <c r="U10" s="12">
        <f t="shared" si="0"/>
        <v>32.200000000000003</v>
      </c>
      <c r="V10" s="12">
        <f t="shared" si="1"/>
        <v>6.4</v>
      </c>
      <c r="W10" s="12">
        <f t="shared" si="2"/>
        <v>10</v>
      </c>
      <c r="X10" s="12">
        <f t="shared" si="3"/>
        <v>13.1</v>
      </c>
      <c r="Y10" s="12">
        <f t="shared" si="4"/>
        <v>90.9</v>
      </c>
      <c r="Z10" s="12" cm="1">
        <f t="array" ref="Z10">INDEX(municipality_wind_potential!$X:$X,MATCH(municipalities!$F10,municipality_wind_potential!$E:$E,0),0)</f>
        <v>117</v>
      </c>
      <c r="AA10" s="12">
        <f t="shared" si="5"/>
        <v>655.19999999999993</v>
      </c>
      <c r="AB10" s="12" cm="1">
        <f t="array" ref="AB10">INDEX(municipality_wind_potential!$Y:$Y,MATCH(municipalities!$F10,municipality_wind_potential!$E:$E,0),0) / 3.6</f>
        <v>2283.4</v>
      </c>
      <c r="AC10" s="12">
        <f t="shared" si="6"/>
        <v>121.87305015598753</v>
      </c>
      <c r="AD10" s="12" cm="1">
        <f t="array" ref="AD10">INDEX(municipality_pv_potential!$G:$G,MATCH(municipalities!$A10,municipality_pv_potential!$E:$E,0),0)/3.6*$AH$4</f>
        <v>112.85444444444445</v>
      </c>
      <c r="AE10" s="12">
        <f t="shared" si="7"/>
        <v>645.12838972882162</v>
      </c>
      <c r="AF10" s="12" cm="1">
        <f t="array" ref="AF10">INDEX(municipality_pv_potential!$H:$H,MATCH(municipalities!$A10,municipality_pv_potential!$E:$E,0),0)/3.6</f>
        <v>597.3888888888888</v>
      </c>
      <c r="AG10" s="12"/>
      <c r="AJ10">
        <v>32.200000000000003</v>
      </c>
      <c r="AK10">
        <v>6.4</v>
      </c>
      <c r="AL10">
        <v>10</v>
      </c>
      <c r="AM10">
        <v>13.1</v>
      </c>
      <c r="AN10">
        <v>90.9</v>
      </c>
    </row>
    <row r="11" spans="1:40" x14ac:dyDescent="0.25">
      <c r="A11" s="5" t="s">
        <v>47</v>
      </c>
      <c r="B11" s="6" t="s">
        <v>48</v>
      </c>
      <c r="C11" s="7" t="s">
        <v>49</v>
      </c>
      <c r="D11" s="7" t="s">
        <v>49</v>
      </c>
      <c r="E11" s="7" t="s">
        <v>22</v>
      </c>
      <c r="F11" s="7" t="s">
        <v>47</v>
      </c>
      <c r="G11" s="7" t="str" cm="1">
        <f t="array" ref="G11">INDEX('municipalities per province'!F:F,MATCH(municipalities!A11,'municipalities per province'!B:B,0),0)</f>
        <v>Friesland</v>
      </c>
      <c r="H11" s="7" t="str" cm="1">
        <f t="array" ref="H11">INDEX('municipalities per province'!E:E,MATCH(municipalities!$A11,'municipalities per province'!$B:$B,0),0)</f>
        <v>PV21</v>
      </c>
      <c r="I11" s="7" t="str" cm="1">
        <f t="array" ref="I11">INDEX('municipalities per province'!G:G,MATCH(municipalities!$A11,'municipalities per province'!$B:$B,0),0)</f>
        <v>Friesland</v>
      </c>
      <c r="J11" s="7" t="str" cm="1">
        <f t="array" ref="J11">INDEX('municipalities per province'!H:H,MATCH(municipalities!$A11,'municipalities per province'!$B:$B,0),0)</f>
        <v>ES02</v>
      </c>
      <c r="K11" s="7" cm="1">
        <f t="array" ref="K11">INDEX(coordinates!C:C,MATCH(municipalities!$A11,coordinates!$A:$A,0),0)</f>
        <v>5.7978953473778301</v>
      </c>
      <c r="L11" s="7" cm="1">
        <f t="array" ref="L11">INDEX(coordinates!D:D,MATCH(municipalities!$A11,coordinates!$A:$A,0),0)</f>
        <v>53.170076357062307</v>
      </c>
      <c r="M11" s="8">
        <v>1</v>
      </c>
      <c r="N11" s="9">
        <v>127073</v>
      </c>
      <c r="O11" s="9">
        <v>63248</v>
      </c>
      <c r="P11" s="9">
        <v>63825</v>
      </c>
      <c r="Q11" s="9">
        <v>2</v>
      </c>
      <c r="R11" s="10">
        <v>2196</v>
      </c>
      <c r="S11" s="11">
        <v>51</v>
      </c>
      <c r="T11" s="11">
        <v>49</v>
      </c>
      <c r="U11" s="12">
        <f t="shared" si="0"/>
        <v>28.5</v>
      </c>
      <c r="V11" s="12">
        <f t="shared" si="1"/>
        <v>9.5</v>
      </c>
      <c r="W11" s="12">
        <f t="shared" si="2"/>
        <v>13.9</v>
      </c>
      <c r="X11" s="12">
        <f t="shared" si="3"/>
        <v>16.8</v>
      </c>
      <c r="Y11" s="12">
        <f t="shared" si="4"/>
        <v>36</v>
      </c>
      <c r="Z11" s="12" cm="1">
        <f t="array" ref="Z11">INDEX(municipality_wind_potential!$X:$X,MATCH(municipalities!$F11,municipality_wind_potential!$E:$E,0),0)</f>
        <v>88</v>
      </c>
      <c r="AA11" s="12">
        <f t="shared" si="5"/>
        <v>492.79999999999995</v>
      </c>
      <c r="AB11" s="12" cm="1">
        <f t="array" ref="AB11">INDEX(municipality_wind_potential!$Y:$Y,MATCH(municipalities!$F11,municipality_wind_potential!$E:$E,0),0) / 3.6</f>
        <v>1724.8</v>
      </c>
      <c r="AC11" s="12">
        <f t="shared" si="6"/>
        <v>203.16714662826971</v>
      </c>
      <c r="AD11" s="12" cm="1">
        <f t="array" ref="AD11">INDEX(municipality_pv_potential!$G:$G,MATCH(municipalities!$A11,municipality_pv_potential!$E:$E,0),0)/3.6*$AH$4</f>
        <v>188.13277777777776</v>
      </c>
      <c r="AE11" s="12">
        <f t="shared" si="7"/>
        <v>857.48140148788093</v>
      </c>
      <c r="AF11" s="12" cm="1">
        <f t="array" ref="AF11">INDEX(municipality_pv_potential!$H:$H,MATCH(municipalities!$A11,municipality_pv_potential!$E:$E,0),0)/3.6</f>
        <v>794.02777777777771</v>
      </c>
      <c r="AG11" s="12"/>
      <c r="AJ11">
        <v>28.5</v>
      </c>
      <c r="AK11">
        <v>9.5</v>
      </c>
      <c r="AL11">
        <v>13.9</v>
      </c>
      <c r="AM11">
        <v>16.8</v>
      </c>
      <c r="AN11">
        <v>36</v>
      </c>
    </row>
    <row r="12" spans="1:40" x14ac:dyDescent="0.25">
      <c r="A12" s="5" t="s">
        <v>50</v>
      </c>
      <c r="B12" s="6" t="s">
        <v>51</v>
      </c>
      <c r="C12" s="7" t="s">
        <v>52</v>
      </c>
      <c r="D12" s="7" t="s">
        <v>52</v>
      </c>
      <c r="E12" s="7" t="s">
        <v>22</v>
      </c>
      <c r="F12" s="7" t="s">
        <v>50</v>
      </c>
      <c r="G12" s="7" t="str" cm="1">
        <f t="array" ref="G12">INDEX('municipalities per province'!F:F,MATCH(municipalities!A12,'municipalities per province'!B:B,0),0)</f>
        <v>Friesland</v>
      </c>
      <c r="H12" s="7" t="str" cm="1">
        <f t="array" ref="H12">INDEX('municipalities per province'!E:E,MATCH(municipalities!$A12,'municipalities per province'!$B:$B,0),0)</f>
        <v>PV21</v>
      </c>
      <c r="I12" s="7" t="str" cm="1">
        <f t="array" ref="I12">INDEX('municipalities per province'!G:G,MATCH(municipalities!$A12,'municipalities per province'!$B:$B,0),0)</f>
        <v>Friesland</v>
      </c>
      <c r="J12" s="7" t="str" cm="1">
        <f t="array" ref="J12">INDEX('municipalities per province'!H:H,MATCH(municipalities!$A12,'municipalities per province'!$B:$B,0),0)</f>
        <v>ES02</v>
      </c>
      <c r="K12" s="7" cm="1">
        <f t="array" ref="K12">INDEX(coordinates!C:C,MATCH(municipalities!$A12,coordinates!$A:$A,0),0)</f>
        <v>6.2829984910680539</v>
      </c>
      <c r="L12" s="7" cm="1">
        <f t="array" ref="L12">INDEX(coordinates!D:D,MATCH(municipalities!$A12,coordinates!$A:$A,0),0)</f>
        <v>52.982380925110697</v>
      </c>
      <c r="M12" s="8">
        <v>1</v>
      </c>
      <c r="N12" s="9">
        <v>25837</v>
      </c>
      <c r="O12" s="9">
        <v>12925</v>
      </c>
      <c r="P12" s="9">
        <v>12912</v>
      </c>
      <c r="Q12" s="9">
        <v>5</v>
      </c>
      <c r="R12" s="10">
        <v>482</v>
      </c>
      <c r="S12" s="11">
        <v>67</v>
      </c>
      <c r="T12" s="11">
        <v>33</v>
      </c>
      <c r="U12" s="12">
        <f t="shared" si="0"/>
        <v>31.1</v>
      </c>
      <c r="V12" s="12">
        <f t="shared" si="1"/>
        <v>6.3</v>
      </c>
      <c r="W12" s="12">
        <f t="shared" si="2"/>
        <v>10.1</v>
      </c>
      <c r="X12" s="12">
        <f t="shared" si="3"/>
        <v>12.7</v>
      </c>
      <c r="Y12" s="12">
        <f t="shared" si="4"/>
        <v>120.8</v>
      </c>
      <c r="Z12" s="12" cm="1">
        <f t="array" ref="Z12">INDEX(municipality_wind_potential!$X:$X,MATCH(municipalities!$F12,municipality_wind_potential!$E:$E,0),0)</f>
        <v>163</v>
      </c>
      <c r="AA12" s="12">
        <f t="shared" si="5"/>
        <v>912.8</v>
      </c>
      <c r="AB12" s="12" cm="1">
        <f t="array" ref="AB12">INDEX(municipality_wind_potential!$Y:$Y,MATCH(municipalities!$F12,municipality_wind_potential!$E:$E,0),0) / 3.6</f>
        <v>2884.7</v>
      </c>
      <c r="AC12" s="12">
        <f t="shared" si="6"/>
        <v>87.603191744660421</v>
      </c>
      <c r="AD12" s="12" cm="1">
        <f t="array" ref="AD12">INDEX(municipality_pv_potential!$G:$G,MATCH(municipalities!$A12,municipality_pv_potential!$E:$E,0),0)/3.6*$AH$4</f>
        <v>81.120555555555555</v>
      </c>
      <c r="AE12" s="12">
        <f t="shared" si="7"/>
        <v>699.6280297576194</v>
      </c>
      <c r="AF12" s="12" cm="1">
        <f t="array" ref="AF12">INDEX(municipality_pv_potential!$H:$H,MATCH(municipalities!$A12,municipality_pv_potential!$E:$E,0),0)/3.6</f>
        <v>647.85555555555561</v>
      </c>
      <c r="AG12" s="12"/>
      <c r="AJ12">
        <v>31.1</v>
      </c>
      <c r="AK12">
        <v>6.3</v>
      </c>
      <c r="AL12">
        <v>10.1</v>
      </c>
      <c r="AM12">
        <v>12.7</v>
      </c>
      <c r="AN12">
        <v>120.8</v>
      </c>
    </row>
    <row r="13" spans="1:40" x14ac:dyDescent="0.25">
      <c r="A13" s="5" t="s">
        <v>53</v>
      </c>
      <c r="B13" s="6" t="s">
        <v>54</v>
      </c>
      <c r="C13" s="7" t="s">
        <v>55</v>
      </c>
      <c r="D13" s="7" t="s">
        <v>55</v>
      </c>
      <c r="E13" s="7" t="s">
        <v>22</v>
      </c>
      <c r="F13" s="7" t="s">
        <v>53</v>
      </c>
      <c r="G13" s="7" t="str" cm="1">
        <f t="array" ref="G13">INDEX('municipalities per province'!F:F,MATCH(municipalities!A13,'municipalities per province'!B:B,0),0)</f>
        <v>Friesland</v>
      </c>
      <c r="H13" s="7" t="str" cm="1">
        <f t="array" ref="H13">INDEX('municipalities per province'!E:E,MATCH(municipalities!$A13,'municipalities per province'!$B:$B,0),0)</f>
        <v>PV21</v>
      </c>
      <c r="I13" s="7" t="str" cm="1">
        <f t="array" ref="I13">INDEX('municipalities per province'!G:G,MATCH(municipalities!$A13,'municipalities per province'!$B:$B,0),0)</f>
        <v>Friesland</v>
      </c>
      <c r="J13" s="7" t="str" cm="1">
        <f t="array" ref="J13">INDEX('municipalities per province'!H:H,MATCH(municipalities!$A13,'municipalities per province'!$B:$B,0),0)</f>
        <v>ES02</v>
      </c>
      <c r="K13" s="7" cm="1">
        <f t="array" ref="K13">INDEX(coordinates!C:C,MATCH(municipalities!$A13,coordinates!$A:$A,0),0)</f>
        <v>6.1128479448689781</v>
      </c>
      <c r="L13" s="7" cm="1">
        <f t="array" ref="L13">INDEX(coordinates!D:D,MATCH(municipalities!$A13,coordinates!$A:$A,0),0)</f>
        <v>53.049142111513561</v>
      </c>
      <c r="M13" s="8">
        <v>1</v>
      </c>
      <c r="N13" s="9">
        <v>30054</v>
      </c>
      <c r="O13" s="9">
        <v>15092</v>
      </c>
      <c r="P13" s="9">
        <v>14962</v>
      </c>
      <c r="Q13" s="9">
        <v>5</v>
      </c>
      <c r="R13" s="10">
        <v>422</v>
      </c>
      <c r="S13" s="11">
        <v>70</v>
      </c>
      <c r="T13" s="11">
        <v>30</v>
      </c>
      <c r="U13" s="12">
        <f t="shared" si="0"/>
        <v>32.799999999999997</v>
      </c>
      <c r="V13" s="12">
        <f t="shared" si="1"/>
        <v>5</v>
      </c>
      <c r="W13" s="12">
        <f t="shared" si="2"/>
        <v>8.1</v>
      </c>
      <c r="X13" s="12">
        <f t="shared" si="3"/>
        <v>10.7</v>
      </c>
      <c r="Y13" s="12">
        <f t="shared" si="4"/>
        <v>151.19999999999999</v>
      </c>
      <c r="Z13" s="12" cm="1">
        <f t="array" ref="Z13">INDEX(municipality_wind_potential!$X:$X,MATCH(municipalities!$F13,municipality_wind_potential!$E:$E,0),0)</f>
        <v>142</v>
      </c>
      <c r="AA13" s="12">
        <f t="shared" si="5"/>
        <v>795.19999999999993</v>
      </c>
      <c r="AB13" s="12" cm="1">
        <f t="array" ref="AB13">INDEX(municipality_wind_potential!$Y:$Y,MATCH(municipalities!$F13,municipality_wind_potential!$E:$E,0),0) / 3.6</f>
        <v>2773.4</v>
      </c>
      <c r="AC13" s="12">
        <f t="shared" si="6"/>
        <v>90.14218862491002</v>
      </c>
      <c r="AD13" s="12" cm="1">
        <f t="array" ref="AD13">INDEX(municipality_pv_potential!$G:$G,MATCH(municipalities!$A13,municipality_pv_potential!$E:$E,0),0)/3.6*$AH$4</f>
        <v>83.471666666666678</v>
      </c>
      <c r="AE13" s="12">
        <f t="shared" si="7"/>
        <v>784.58423326133914</v>
      </c>
      <c r="AF13" s="12" cm="1">
        <f t="array" ref="AF13">INDEX(municipality_pv_potential!$H:$H,MATCH(municipalities!$A13,municipality_pv_potential!$E:$E,0),0)/3.6</f>
        <v>726.52499999999998</v>
      </c>
      <c r="AG13" s="12"/>
      <c r="AJ13">
        <v>32.799999999999997</v>
      </c>
      <c r="AK13">
        <v>5</v>
      </c>
      <c r="AL13">
        <v>8.1</v>
      </c>
      <c r="AM13">
        <v>10.7</v>
      </c>
      <c r="AN13">
        <v>151.19999999999999</v>
      </c>
    </row>
    <row r="14" spans="1:40" x14ac:dyDescent="0.25">
      <c r="A14" s="5" t="s">
        <v>56</v>
      </c>
      <c r="B14" s="6" t="s">
        <v>57</v>
      </c>
      <c r="C14" s="7" t="s">
        <v>58</v>
      </c>
      <c r="D14" s="7" t="s">
        <v>58</v>
      </c>
      <c r="E14" s="7" t="s">
        <v>22</v>
      </c>
      <c r="F14" s="7" t="s">
        <v>56</v>
      </c>
      <c r="G14" s="7" t="str" cm="1">
        <f t="array" ref="G14">INDEX('municipalities per province'!F:F,MATCH(municipalities!A14,'municipalities per province'!B:B,0),0)</f>
        <v>Friesland</v>
      </c>
      <c r="H14" s="7" t="str" cm="1">
        <f t="array" ref="H14">INDEX('municipalities per province'!E:E,MATCH(municipalities!$A14,'municipalities per province'!$B:$B,0),0)</f>
        <v>PV21</v>
      </c>
      <c r="I14" s="7" t="str" cm="1">
        <f t="array" ref="I14">INDEX('municipalities per province'!G:G,MATCH(municipalities!$A14,'municipalities per province'!$B:$B,0),0)</f>
        <v>Friesland</v>
      </c>
      <c r="J14" s="7" t="str" cm="1">
        <f t="array" ref="J14">INDEX('municipalities per province'!H:H,MATCH(municipalities!$A14,'municipalities per province'!$B:$B,0),0)</f>
        <v>ES02</v>
      </c>
      <c r="K14" s="7" cm="1">
        <f t="array" ref="K14">INDEX(coordinates!C:C,MATCH(municipalities!$A14,coordinates!$A:$A,0),0)</f>
        <v>6.2211923211902516</v>
      </c>
      <c r="L14" s="7" cm="1">
        <f t="array" ref="L14">INDEX(coordinates!D:D,MATCH(municipalities!$A14,coordinates!$A:$A,0),0)</f>
        <v>53.469886801184288</v>
      </c>
      <c r="M14" s="8">
        <v>1</v>
      </c>
      <c r="N14" s="9">
        <v>982</v>
      </c>
      <c r="O14" s="9">
        <v>519</v>
      </c>
      <c r="P14" s="9">
        <v>463</v>
      </c>
      <c r="Q14" s="9">
        <v>5</v>
      </c>
      <c r="R14" s="10">
        <v>325</v>
      </c>
      <c r="S14" s="11">
        <v>53</v>
      </c>
      <c r="T14" s="11">
        <v>46</v>
      </c>
      <c r="U14" s="12">
        <f t="shared" si="0"/>
        <v>34.730630630630642</v>
      </c>
      <c r="V14" s="12">
        <f t="shared" si="1"/>
        <v>4.7</v>
      </c>
      <c r="W14" s="12">
        <f t="shared" si="2"/>
        <v>8.4</v>
      </c>
      <c r="X14" s="12">
        <f t="shared" si="3"/>
        <v>10.5</v>
      </c>
      <c r="Y14" s="12">
        <f t="shared" si="4"/>
        <v>123.1</v>
      </c>
      <c r="Z14" s="12" cm="1">
        <f t="array" ref="Z14">INDEX(municipality_wind_potential!$X:$X,MATCH(municipalities!$F14,municipality_wind_potential!$E:$E,0),0)</f>
        <v>12</v>
      </c>
      <c r="AA14" s="12">
        <f t="shared" si="5"/>
        <v>67.199999999999989</v>
      </c>
      <c r="AB14" s="12" cm="1">
        <f t="array" ref="AB14">INDEX(municipality_wind_potential!$Y:$Y,MATCH(municipalities!$F14,municipality_wind_potential!$E:$E,0),0) / 3.6</f>
        <v>247.9388888888889</v>
      </c>
      <c r="AC14" s="12">
        <f t="shared" si="6"/>
        <v>3.1749460043196547</v>
      </c>
      <c r="AD14" s="12" cm="1">
        <f t="array" ref="AD14">INDEX(municipality_pv_potential!$G:$G,MATCH(municipalities!$A14,municipality_pv_potential!$E:$E,0),0)/3.6*$AH$4</f>
        <v>2.94</v>
      </c>
      <c r="AE14" s="12">
        <f t="shared" si="7"/>
        <v>30.04259659227262</v>
      </c>
      <c r="AF14" s="12" cm="1">
        <f t="array" ref="AF14">INDEX(municipality_pv_potential!$H:$H,MATCH(municipalities!$A14,municipality_pv_potential!$E:$E,0),0)/3.6</f>
        <v>27.819444444444446</v>
      </c>
      <c r="AG14" s="12"/>
      <c r="AJ14">
        <v>-99999</v>
      </c>
      <c r="AK14">
        <v>4.7</v>
      </c>
      <c r="AL14">
        <v>8.4</v>
      </c>
      <c r="AM14">
        <v>10.5</v>
      </c>
      <c r="AN14">
        <v>123.1</v>
      </c>
    </row>
    <row r="15" spans="1:40" x14ac:dyDescent="0.25">
      <c r="A15" s="5" t="s">
        <v>59</v>
      </c>
      <c r="B15" s="6" t="s">
        <v>60</v>
      </c>
      <c r="C15" s="7" t="s">
        <v>61</v>
      </c>
      <c r="D15" s="7" t="s">
        <v>61</v>
      </c>
      <c r="E15" s="7" t="s">
        <v>22</v>
      </c>
      <c r="F15" s="7" t="s">
        <v>59</v>
      </c>
      <c r="G15" s="7" t="str" cm="1">
        <f t="array" ref="G15">INDEX('municipalities per province'!F:F,MATCH(municipalities!A15,'municipalities per province'!B:B,0),0)</f>
        <v>Friesland</v>
      </c>
      <c r="H15" s="7" t="str" cm="1">
        <f t="array" ref="H15">INDEX('municipalities per province'!E:E,MATCH(municipalities!$A15,'municipalities per province'!$B:$B,0),0)</f>
        <v>PV21</v>
      </c>
      <c r="I15" s="7" t="str" cm="1">
        <f t="array" ref="I15">INDEX('municipalities per province'!G:G,MATCH(municipalities!$A15,'municipalities per province'!$B:$B,0),0)</f>
        <v>Friesland</v>
      </c>
      <c r="J15" s="7" t="str" cm="1">
        <f t="array" ref="J15">INDEX('municipalities per province'!H:H,MATCH(municipalities!$A15,'municipalities per province'!$B:$B,0),0)</f>
        <v>ES02</v>
      </c>
      <c r="K15" s="7" cm="1">
        <f t="array" ref="K15">INDEX(coordinates!C:C,MATCH(municipalities!$A15,coordinates!$A:$A,0),0)</f>
        <v>6.0389611456632357</v>
      </c>
      <c r="L15" s="7" cm="1">
        <f t="array" ref="L15">INDEX(coordinates!D:D,MATCH(municipalities!$A15,coordinates!$A:$A,0),0)</f>
        <v>53.113411808940683</v>
      </c>
      <c r="M15" s="8">
        <v>1</v>
      </c>
      <c r="N15" s="9">
        <v>56098</v>
      </c>
      <c r="O15" s="9">
        <v>27963</v>
      </c>
      <c r="P15" s="9">
        <v>28135</v>
      </c>
      <c r="Q15" s="9">
        <v>3</v>
      </c>
      <c r="R15" s="10">
        <v>1342</v>
      </c>
      <c r="S15" s="11">
        <v>60</v>
      </c>
      <c r="T15" s="11">
        <v>40</v>
      </c>
      <c r="U15" s="12">
        <f t="shared" si="0"/>
        <v>30.4</v>
      </c>
      <c r="V15" s="12">
        <f t="shared" si="1"/>
        <v>7.1</v>
      </c>
      <c r="W15" s="12">
        <f t="shared" si="2"/>
        <v>11.7</v>
      </c>
      <c r="X15" s="12">
        <f t="shared" si="3"/>
        <v>14.8</v>
      </c>
      <c r="Y15" s="12">
        <f t="shared" si="4"/>
        <v>70.7</v>
      </c>
      <c r="Z15" s="12" cm="1">
        <f t="array" ref="Z15">INDEX(municipality_wind_potential!$X:$X,MATCH(municipalities!$F15,municipality_wind_potential!$E:$E,0),0)</f>
        <v>47</v>
      </c>
      <c r="AA15" s="12">
        <f t="shared" si="5"/>
        <v>263.2</v>
      </c>
      <c r="AB15" s="12" cm="1">
        <f t="array" ref="AB15">INDEX(municipality_wind_potential!$Y:$Y,MATCH(municipalities!$F15,municipality_wind_potential!$E:$E,0),0) / 3.6</f>
        <v>921.2</v>
      </c>
      <c r="AC15" s="12">
        <f t="shared" si="6"/>
        <v>108.69090472762178</v>
      </c>
      <c r="AD15" s="12" cm="1">
        <f t="array" ref="AD15">INDEX(municipality_pv_potential!$G:$G,MATCH(municipalities!$A15,municipality_pv_potential!$E:$E,0),0)/3.6*$AH$4</f>
        <v>100.64777777777778</v>
      </c>
      <c r="AE15" s="12">
        <f t="shared" si="7"/>
        <v>388.15094792416608</v>
      </c>
      <c r="AF15" s="12" cm="1">
        <f t="array" ref="AF15">INDEX(municipality_pv_potential!$H:$H,MATCH(municipalities!$A15,municipality_pv_potential!$E:$E,0),0)/3.6</f>
        <v>359.42777777777781</v>
      </c>
      <c r="AG15" s="12"/>
      <c r="AJ15">
        <v>30.4</v>
      </c>
      <c r="AK15">
        <v>7.1</v>
      </c>
      <c r="AL15">
        <v>11.7</v>
      </c>
      <c r="AM15">
        <v>14.8</v>
      </c>
      <c r="AN15">
        <v>70.7</v>
      </c>
    </row>
    <row r="16" spans="1:40" x14ac:dyDescent="0.25">
      <c r="A16" s="5" t="s">
        <v>62</v>
      </c>
      <c r="B16" s="6" t="s">
        <v>63</v>
      </c>
      <c r="C16" s="7" t="s">
        <v>64</v>
      </c>
      <c r="D16" s="7" t="s">
        <v>64</v>
      </c>
      <c r="E16" s="7" t="s">
        <v>22</v>
      </c>
      <c r="F16" s="7" t="s">
        <v>62</v>
      </c>
      <c r="G16" s="7" t="str" cm="1">
        <f t="array" ref="G16">INDEX('municipalities per province'!F:F,MATCH(municipalities!A16,'municipalities per province'!B:B,0),0)</f>
        <v>Friesland</v>
      </c>
      <c r="H16" s="7" t="str" cm="1">
        <f t="array" ref="H16">INDEX('municipalities per province'!E:E,MATCH(municipalities!$A16,'municipalities per province'!$B:$B,0),0)</f>
        <v>PV21</v>
      </c>
      <c r="I16" s="7" t="str" cm="1">
        <f t="array" ref="I16">INDEX('municipalities per province'!G:G,MATCH(municipalities!$A16,'municipalities per province'!$B:$B,0),0)</f>
        <v>Friesland</v>
      </c>
      <c r="J16" s="7" t="str" cm="1">
        <f t="array" ref="J16">INDEX('municipalities per province'!H:H,MATCH(municipalities!$A16,'municipalities per province'!$B:$B,0),0)</f>
        <v>ES02</v>
      </c>
      <c r="K16" s="7" cm="1">
        <f t="array" ref="K16">INDEX(coordinates!C:C,MATCH(municipalities!$A16,coordinates!$A:$A,0),0)</f>
        <v>5.3817024695441642</v>
      </c>
      <c r="L16" s="7" cm="1">
        <f t="array" ref="L16">INDEX(coordinates!D:D,MATCH(municipalities!$A16,coordinates!$A:$A,0),0)</f>
        <v>53.331215825559021</v>
      </c>
      <c r="M16" s="8">
        <v>1</v>
      </c>
      <c r="N16" s="9">
        <v>4928</v>
      </c>
      <c r="O16" s="9">
        <v>2497</v>
      </c>
      <c r="P16" s="9">
        <v>2431</v>
      </c>
      <c r="Q16" s="9">
        <v>5</v>
      </c>
      <c r="R16" s="10">
        <v>254</v>
      </c>
      <c r="S16" s="11">
        <v>63</v>
      </c>
      <c r="T16" s="11">
        <v>37</v>
      </c>
      <c r="U16" s="12">
        <f t="shared" si="0"/>
        <v>32.700000000000003</v>
      </c>
      <c r="V16" s="12">
        <f t="shared" si="1"/>
        <v>3.5</v>
      </c>
      <c r="W16" s="12">
        <f t="shared" si="2"/>
        <v>5.2</v>
      </c>
      <c r="X16" s="12">
        <f t="shared" si="3"/>
        <v>7.6</v>
      </c>
      <c r="Y16" s="12">
        <f t="shared" si="4"/>
        <v>160.69999999999999</v>
      </c>
      <c r="Z16" s="12" cm="1">
        <f t="array" ref="Z16">INDEX(municipality_wind_potential!$X:$X,MATCH(municipalities!$F16,municipality_wind_potential!$E:$E,0),0)</f>
        <v>64</v>
      </c>
      <c r="AA16" s="12">
        <f t="shared" si="5"/>
        <v>358.4</v>
      </c>
      <c r="AB16" s="12" cm="1">
        <f t="array" ref="AB16">INDEX(municipality_wind_potential!$Y:$Y,MATCH(municipalities!$F16,municipality_wind_potential!$E:$E,0),0) / 3.6</f>
        <v>1379.838888888889</v>
      </c>
      <c r="AC16" s="12">
        <f t="shared" si="6"/>
        <v>12.460403167746581</v>
      </c>
      <c r="AD16" s="12" cm="1">
        <f t="array" ref="AD16">INDEX(municipality_pv_potential!$G:$G,MATCH(municipalities!$A16,municipality_pv_potential!$E:$E,0),0)/3.6*$AH$4</f>
        <v>11.538333333333334</v>
      </c>
      <c r="AE16" s="12">
        <f t="shared" si="7"/>
        <v>65.991720662347021</v>
      </c>
      <c r="AF16" s="12" cm="1">
        <f t="array" ref="AF16">INDEX(municipality_pv_potential!$H:$H,MATCH(municipalities!$A16,municipality_pv_potential!$E:$E,0),0)/3.6</f>
        <v>61.108333333333334</v>
      </c>
      <c r="AG16" s="12"/>
      <c r="AJ16">
        <v>32.700000000000003</v>
      </c>
      <c r="AK16">
        <v>3.5</v>
      </c>
      <c r="AL16">
        <v>5.2</v>
      </c>
      <c r="AM16">
        <v>7.6</v>
      </c>
      <c r="AN16">
        <v>160.69999999999999</v>
      </c>
    </row>
    <row r="17" spans="1:40" x14ac:dyDescent="0.25">
      <c r="A17" s="5" t="s">
        <v>65</v>
      </c>
      <c r="B17" s="6" t="s">
        <v>66</v>
      </c>
      <c r="C17" s="7" t="s">
        <v>67</v>
      </c>
      <c r="D17" s="7" t="s">
        <v>67</v>
      </c>
      <c r="E17" s="7" t="s">
        <v>22</v>
      </c>
      <c r="F17" s="7" t="s">
        <v>65</v>
      </c>
      <c r="G17" s="7" t="str" cm="1">
        <f t="array" ref="G17">INDEX('municipalities per province'!F:F,MATCH(municipalities!A17,'municipalities per province'!B:B,0),0)</f>
        <v>Friesland</v>
      </c>
      <c r="H17" s="7" t="str" cm="1">
        <f t="array" ref="H17">INDEX('municipalities per province'!E:E,MATCH(municipalities!$A17,'municipalities per province'!$B:$B,0),0)</f>
        <v>PV21</v>
      </c>
      <c r="I17" s="7" t="str" cm="1">
        <f t="array" ref="I17">INDEX('municipalities per province'!G:G,MATCH(municipalities!$A17,'municipalities per province'!$B:$B,0),0)</f>
        <v>Friesland</v>
      </c>
      <c r="J17" s="7" t="str" cm="1">
        <f t="array" ref="J17">INDEX('municipalities per province'!H:H,MATCH(municipalities!$A17,'municipalities per province'!$B:$B,0),0)</f>
        <v>ES02</v>
      </c>
      <c r="K17" s="7" cm="1">
        <f t="array" ref="K17">INDEX(coordinates!C:C,MATCH(municipalities!$A17,coordinates!$A:$A,0),0)</f>
        <v>5.0438790595354641</v>
      </c>
      <c r="L17" s="7" cm="1">
        <f t="array" ref="L17">INDEX(coordinates!D:D,MATCH(municipalities!$A17,coordinates!$A:$A,0),0)</f>
        <v>53.213687572243131</v>
      </c>
      <c r="M17" s="8">
        <v>1</v>
      </c>
      <c r="N17" s="9">
        <v>1291</v>
      </c>
      <c r="O17" s="9">
        <v>654</v>
      </c>
      <c r="P17" s="9">
        <v>637</v>
      </c>
      <c r="Q17" s="9">
        <v>5</v>
      </c>
      <c r="R17" s="10">
        <v>222</v>
      </c>
      <c r="S17" s="11">
        <v>37</v>
      </c>
      <c r="T17" s="11">
        <v>63</v>
      </c>
      <c r="U17" s="12">
        <f t="shared" si="0"/>
        <v>34.730630630630642</v>
      </c>
      <c r="V17" s="12">
        <f t="shared" si="1"/>
        <v>4.2</v>
      </c>
      <c r="W17" s="12">
        <f t="shared" si="2"/>
        <v>6.1</v>
      </c>
      <c r="X17" s="12">
        <f t="shared" si="3"/>
        <v>8.5</v>
      </c>
      <c r="Y17" s="12">
        <f t="shared" si="4"/>
        <v>19.7</v>
      </c>
      <c r="Z17" s="12" cm="1">
        <f t="array" ref="Z17">INDEX(municipality_wind_potential!$X:$X,MATCH(municipalities!$F17,municipality_wind_potential!$E:$E,0),0)</f>
        <v>23</v>
      </c>
      <c r="AA17" s="12">
        <f t="shared" si="5"/>
        <v>128.79999999999998</v>
      </c>
      <c r="AB17" s="12" cm="1">
        <f t="array" ref="AB17">INDEX(municipality_wind_potential!$Y:$Y,MATCH(municipalities!$F17,municipality_wind_potential!$E:$E,0),0) / 3.6</f>
        <v>495.88055555555559</v>
      </c>
      <c r="AC17" s="12">
        <f t="shared" si="6"/>
        <v>2.6211903047756175</v>
      </c>
      <c r="AD17" s="12" cm="1">
        <f t="array" ref="AD17">INDEX(municipality_pv_potential!$G:$G,MATCH(municipalities!$A17,municipality_pv_potential!$E:$E,0),0)/3.6*$AH$4</f>
        <v>2.4272222222222219</v>
      </c>
      <c r="AE17" s="12">
        <f t="shared" si="7"/>
        <v>6.8994480441564671E-2</v>
      </c>
      <c r="AF17" s="12" cm="1">
        <f t="array" ref="AF17">INDEX(municipality_pv_potential!$H:$H,MATCH(municipalities!$A17,municipality_pv_potential!$E:$E,0),0)/3.6</f>
        <v>6.3888888888888884E-2</v>
      </c>
      <c r="AG17" s="12"/>
      <c r="AJ17">
        <v>-99999</v>
      </c>
      <c r="AK17">
        <v>4.2</v>
      </c>
      <c r="AL17">
        <v>6.1</v>
      </c>
      <c r="AM17">
        <v>8.5</v>
      </c>
      <c r="AN17">
        <v>19.7</v>
      </c>
    </row>
    <row r="18" spans="1:40" x14ac:dyDescent="0.25">
      <c r="A18" s="5" t="s">
        <v>68</v>
      </c>
      <c r="B18" s="6" t="s">
        <v>69</v>
      </c>
      <c r="C18" s="7" t="s">
        <v>70</v>
      </c>
      <c r="D18" s="7" t="s">
        <v>70</v>
      </c>
      <c r="E18" s="7" t="s">
        <v>22</v>
      </c>
      <c r="F18" s="7" t="s">
        <v>68</v>
      </c>
      <c r="G18" s="7" t="str" cm="1">
        <f t="array" ref="G18">INDEX('municipalities per province'!F:F,MATCH(municipalities!A18,'municipalities per province'!B:B,0),0)</f>
        <v>Friesland</v>
      </c>
      <c r="H18" s="7" t="str" cm="1">
        <f t="array" ref="H18">INDEX('municipalities per province'!E:E,MATCH(municipalities!$A18,'municipalities per province'!$B:$B,0),0)</f>
        <v>PV21</v>
      </c>
      <c r="I18" s="7" t="str" cm="1">
        <f t="array" ref="I18">INDEX('municipalities per province'!G:G,MATCH(municipalities!$A18,'municipalities per province'!$B:$B,0),0)</f>
        <v>Friesland</v>
      </c>
      <c r="J18" s="7" t="str" cm="1">
        <f t="array" ref="J18">INDEX('municipalities per province'!H:H,MATCH(municipalities!$A18,'municipalities per province'!$B:$B,0),0)</f>
        <v>ES02</v>
      </c>
      <c r="K18" s="7" cm="1">
        <f t="array" ref="K18">INDEX(coordinates!C:C,MATCH(municipalities!$A18,coordinates!$A:$A,0),0)</f>
        <v>6.0177737977694017</v>
      </c>
      <c r="L18" s="7" cm="1">
        <f t="array" ref="L18">INDEX(coordinates!D:D,MATCH(municipalities!$A18,coordinates!$A:$A,0),0)</f>
        <v>52.875741128480939</v>
      </c>
      <c r="M18" s="8">
        <v>1</v>
      </c>
      <c r="N18" s="9">
        <v>26467</v>
      </c>
      <c r="O18" s="9">
        <v>13252</v>
      </c>
      <c r="P18" s="9">
        <v>13215</v>
      </c>
      <c r="Q18" s="9">
        <v>4</v>
      </c>
      <c r="R18" s="10">
        <v>690</v>
      </c>
      <c r="S18" s="11">
        <v>65</v>
      </c>
      <c r="T18" s="11">
        <v>35</v>
      </c>
      <c r="U18" s="12">
        <f t="shared" si="0"/>
        <v>31</v>
      </c>
      <c r="V18" s="12">
        <f t="shared" si="1"/>
        <v>5.9</v>
      </c>
      <c r="W18" s="12">
        <f t="shared" si="2"/>
        <v>9.1</v>
      </c>
      <c r="X18" s="12">
        <f t="shared" si="3"/>
        <v>12.2</v>
      </c>
      <c r="Y18" s="12">
        <f t="shared" si="4"/>
        <v>112.4</v>
      </c>
      <c r="Z18" s="12" cm="1">
        <f t="array" ref="Z18">INDEX(municipality_wind_potential!$X:$X,MATCH(municipalities!$F18,municipality_wind_potential!$E:$E,0),0)</f>
        <v>151</v>
      </c>
      <c r="AA18" s="12">
        <f t="shared" si="5"/>
        <v>845.59999999999991</v>
      </c>
      <c r="AB18" s="12" cm="1">
        <f t="array" ref="AB18">INDEX(municipality_wind_potential!$Y:$Y,MATCH(municipalities!$F18,municipality_wind_potential!$E:$E,0),0) / 3.6</f>
        <v>2680.5527777777775</v>
      </c>
      <c r="AC18" s="12">
        <f t="shared" si="6"/>
        <v>88.528917686585061</v>
      </c>
      <c r="AD18" s="12" cm="1">
        <f t="array" ref="AD18">INDEX(municipality_pv_potential!$G:$G,MATCH(municipalities!$A18,municipality_pv_potential!$E:$E,0),0)/3.6*$AH$4</f>
        <v>81.977777777777774</v>
      </c>
      <c r="AE18" s="12">
        <f t="shared" si="7"/>
        <v>809.32625389968791</v>
      </c>
      <c r="AF18" s="12" cm="1">
        <f t="array" ref="AF18">INDEX(municipality_pv_potential!$H:$H,MATCH(municipalities!$A18,municipality_pv_potential!$E:$E,0),0)/3.6</f>
        <v>749.43611111111102</v>
      </c>
      <c r="AG18" s="12"/>
      <c r="AJ18">
        <v>31</v>
      </c>
      <c r="AK18">
        <v>5.9</v>
      </c>
      <c r="AL18">
        <v>9.1</v>
      </c>
      <c r="AM18">
        <v>12.2</v>
      </c>
      <c r="AN18">
        <v>112.4</v>
      </c>
    </row>
    <row r="19" spans="1:40" x14ac:dyDescent="0.25">
      <c r="A19" s="5" t="s">
        <v>71</v>
      </c>
      <c r="B19" s="6" t="s">
        <v>72</v>
      </c>
      <c r="C19" s="7" t="s">
        <v>73</v>
      </c>
      <c r="D19" s="7" t="s">
        <v>73</v>
      </c>
      <c r="E19" s="7" t="s">
        <v>22</v>
      </c>
      <c r="F19" s="7" t="s">
        <v>71</v>
      </c>
      <c r="G19" s="7" t="str" cm="1">
        <f t="array" ref="G19">INDEX('municipalities per province'!F:F,MATCH(municipalities!A19,'municipalities per province'!B:B,0),0)</f>
        <v>Drenthe</v>
      </c>
      <c r="H19" s="7" t="str" cm="1">
        <f t="array" ref="H19">INDEX('municipalities per province'!E:E,MATCH(municipalities!$A19,'municipalities per province'!$B:$B,0),0)</f>
        <v>PV22</v>
      </c>
      <c r="I19" s="7" t="str" cm="1">
        <f t="array" ref="I19">INDEX('municipalities per province'!G:G,MATCH(municipalities!$A19,'municipalities per province'!$B:$B,0),0)</f>
        <v>Drenthe</v>
      </c>
      <c r="J19" s="7" t="str" cm="1">
        <f t="array" ref="J19">INDEX('municipalities per province'!H:H,MATCH(municipalities!$A19,'municipalities per province'!$B:$B,0),0)</f>
        <v>ES03</v>
      </c>
      <c r="K19" s="7" cm="1">
        <f t="array" ref="K19">INDEX(coordinates!C:C,MATCH(municipalities!$A19,coordinates!$A:$A,0),0)</f>
        <v>6.5524828129172361</v>
      </c>
      <c r="L19" s="7" cm="1">
        <f t="array" ref="L19">INDEX(coordinates!D:D,MATCH(municipalities!$A19,coordinates!$A:$A,0),0)</f>
        <v>53.001287892385847</v>
      </c>
      <c r="M19" s="8">
        <v>1</v>
      </c>
      <c r="N19" s="9">
        <v>69414</v>
      </c>
      <c r="O19" s="9">
        <v>34334</v>
      </c>
      <c r="P19" s="9">
        <v>35080</v>
      </c>
      <c r="Q19" s="9">
        <v>2</v>
      </c>
      <c r="R19" s="10">
        <v>1592</v>
      </c>
      <c r="S19" s="11">
        <v>58</v>
      </c>
      <c r="T19" s="11">
        <v>41</v>
      </c>
      <c r="U19" s="12">
        <f t="shared" si="0"/>
        <v>31</v>
      </c>
      <c r="V19" s="12">
        <f t="shared" si="1"/>
        <v>6.5</v>
      </c>
      <c r="W19" s="12">
        <f t="shared" si="2"/>
        <v>10.3</v>
      </c>
      <c r="X19" s="12">
        <f t="shared" si="3"/>
        <v>12.9</v>
      </c>
      <c r="Y19" s="12">
        <f t="shared" si="4"/>
        <v>65</v>
      </c>
      <c r="Z19" s="12" cm="1">
        <f t="array" ref="Z19">INDEX(municipality_wind_potential!$X:$X,MATCH(municipalities!$F19,municipality_wind_potential!$E:$E,0),0)</f>
        <v>42</v>
      </c>
      <c r="AA19" s="12">
        <f t="shared" si="5"/>
        <v>235.2</v>
      </c>
      <c r="AB19" s="12" cm="1">
        <f t="array" ref="AB19">INDEX(municipality_wind_potential!$Y:$Y,MATCH(municipalities!$F19,municipality_wind_potential!$E:$E,0),0) / 3.6</f>
        <v>736.70833333333337</v>
      </c>
      <c r="AC19" s="12">
        <f t="shared" si="6"/>
        <v>100.37017038636911</v>
      </c>
      <c r="AD19" s="12" cm="1">
        <f t="array" ref="AD19">INDEX(municipality_pv_potential!$G:$G,MATCH(municipalities!$A19,municipality_pv_potential!$E:$E,0),0)/3.6*$AH$4</f>
        <v>92.942777777777792</v>
      </c>
      <c r="AE19" s="12">
        <f t="shared" si="7"/>
        <v>148.28113750899931</v>
      </c>
      <c r="AF19" s="12" cm="1">
        <f t="array" ref="AF19">INDEX(municipality_pv_potential!$H:$H,MATCH(municipalities!$A19,municipality_pv_potential!$E:$E,0),0)/3.6</f>
        <v>137.30833333333334</v>
      </c>
      <c r="AG19" s="12"/>
      <c r="AJ19">
        <v>31</v>
      </c>
      <c r="AK19">
        <v>6.5</v>
      </c>
      <c r="AL19">
        <v>10.3</v>
      </c>
      <c r="AM19">
        <v>12.9</v>
      </c>
      <c r="AN19">
        <v>65</v>
      </c>
    </row>
    <row r="20" spans="1:40" x14ac:dyDescent="0.25">
      <c r="A20" s="5" t="s">
        <v>74</v>
      </c>
      <c r="B20" s="6" t="s">
        <v>75</v>
      </c>
      <c r="C20" s="7" t="s">
        <v>76</v>
      </c>
      <c r="D20" s="7" t="s">
        <v>76</v>
      </c>
      <c r="E20" s="7" t="s">
        <v>22</v>
      </c>
      <c r="F20" s="7" t="s">
        <v>74</v>
      </c>
      <c r="G20" s="7" t="str" cm="1">
        <f t="array" ref="G20">INDEX('municipalities per province'!F:F,MATCH(municipalities!A20,'municipalities per province'!B:B,0),0)</f>
        <v>Drenthe</v>
      </c>
      <c r="H20" s="7" t="str" cm="1">
        <f t="array" ref="H20">INDEX('municipalities per province'!E:E,MATCH(municipalities!$A20,'municipalities per province'!$B:$B,0),0)</f>
        <v>PV22</v>
      </c>
      <c r="I20" s="7" t="str" cm="1">
        <f t="array" ref="I20">INDEX('municipalities per province'!G:G,MATCH(municipalities!$A20,'municipalities per province'!$B:$B,0),0)</f>
        <v>Drenthe</v>
      </c>
      <c r="J20" s="7" t="str" cm="1">
        <f t="array" ref="J20">INDEX('municipalities per province'!H:H,MATCH(municipalities!$A20,'municipalities per province'!$B:$B,0),0)</f>
        <v>ES03</v>
      </c>
      <c r="K20" s="7" cm="1">
        <f t="array" ref="K20">INDEX(coordinates!C:C,MATCH(municipalities!$A20,coordinates!$A:$A,0),0)</f>
        <v>6.7359150976544919</v>
      </c>
      <c r="L20" s="7" cm="1">
        <f t="array" ref="L20">INDEX(coordinates!D:D,MATCH(municipalities!$A20,coordinates!$A:$A,0),0)</f>
        <v>52.740307785688103</v>
      </c>
      <c r="M20" s="8">
        <v>1</v>
      </c>
      <c r="N20" s="9">
        <v>35700</v>
      </c>
      <c r="O20" s="9">
        <v>17877</v>
      </c>
      <c r="P20" s="9">
        <v>17823</v>
      </c>
      <c r="Q20" s="9">
        <v>4</v>
      </c>
      <c r="R20" s="10">
        <v>507</v>
      </c>
      <c r="S20" s="11">
        <v>69</v>
      </c>
      <c r="T20" s="11">
        <v>31</v>
      </c>
      <c r="U20" s="12">
        <f t="shared" si="0"/>
        <v>32</v>
      </c>
      <c r="V20" s="12">
        <f t="shared" si="1"/>
        <v>6.2</v>
      </c>
      <c r="W20" s="12">
        <f t="shared" si="2"/>
        <v>9.6</v>
      </c>
      <c r="X20" s="12">
        <f t="shared" si="3"/>
        <v>12.2</v>
      </c>
      <c r="Y20" s="12">
        <f t="shared" si="4"/>
        <v>104</v>
      </c>
      <c r="Z20" s="12" cm="1">
        <f t="array" ref="Z20">INDEX(municipality_wind_potential!$X:$X,MATCH(municipalities!$F20,municipality_wind_potential!$E:$E,0),0)</f>
        <v>159</v>
      </c>
      <c r="AA20" s="12">
        <f t="shared" si="5"/>
        <v>890.4</v>
      </c>
      <c r="AB20" s="12" cm="1">
        <f t="array" ref="AB20">INDEX(municipality_wind_potential!$Y:$Y,MATCH(municipalities!$F20,municipality_wind_potential!$E:$E,0),0) / 3.6</f>
        <v>2822.5666666666666</v>
      </c>
      <c r="AC20" s="12">
        <f t="shared" si="6"/>
        <v>114.25905927525797</v>
      </c>
      <c r="AD20" s="12" cm="1">
        <f t="array" ref="AD20">INDEX(municipality_pv_potential!$G:$G,MATCH(municipalities!$A20,municipality_pv_potential!$E:$E,0),0)/3.6*$AH$4</f>
        <v>105.80388888888888</v>
      </c>
      <c r="AE20" s="12">
        <f t="shared" si="7"/>
        <v>1018.304535637149</v>
      </c>
      <c r="AF20" s="12" cm="1">
        <f t="array" ref="AF20">INDEX(municipality_pv_potential!$H:$H,MATCH(municipalities!$A20,municipality_pv_potential!$E:$E,0),0)/3.6</f>
        <v>942.94999999999993</v>
      </c>
      <c r="AG20" s="12"/>
      <c r="AJ20">
        <v>32</v>
      </c>
      <c r="AK20">
        <v>6.2</v>
      </c>
      <c r="AL20">
        <v>9.6</v>
      </c>
      <c r="AM20">
        <v>12.2</v>
      </c>
      <c r="AN20">
        <v>104</v>
      </c>
    </row>
    <row r="21" spans="1:40" x14ac:dyDescent="0.25">
      <c r="A21" s="5" t="s">
        <v>77</v>
      </c>
      <c r="B21" s="6" t="s">
        <v>78</v>
      </c>
      <c r="C21" s="7" t="s">
        <v>79</v>
      </c>
      <c r="D21" s="7" t="s">
        <v>79</v>
      </c>
      <c r="E21" s="7" t="s">
        <v>22</v>
      </c>
      <c r="F21" s="7" t="s">
        <v>77</v>
      </c>
      <c r="G21" s="7" t="str" cm="1">
        <f t="array" ref="G21">INDEX('municipalities per province'!F:F,MATCH(municipalities!A21,'municipalities per province'!B:B,0),0)</f>
        <v>Drenthe</v>
      </c>
      <c r="H21" s="7" t="str" cm="1">
        <f t="array" ref="H21">INDEX('municipalities per province'!E:E,MATCH(municipalities!$A21,'municipalities per province'!$B:$B,0),0)</f>
        <v>PV22</v>
      </c>
      <c r="I21" s="7" t="str" cm="1">
        <f t="array" ref="I21">INDEX('municipalities per province'!G:G,MATCH(municipalities!$A21,'municipalities per province'!$B:$B,0),0)</f>
        <v>Drenthe</v>
      </c>
      <c r="J21" s="7" t="str" cm="1">
        <f t="array" ref="J21">INDEX('municipalities per province'!H:H,MATCH(municipalities!$A21,'municipalities per province'!$B:$B,0),0)</f>
        <v>ES03</v>
      </c>
      <c r="K21" s="7" cm="1">
        <f t="array" ref="K21">INDEX(coordinates!C:C,MATCH(municipalities!$A21,coordinates!$A:$A,0),0)</f>
        <v>6.9619846618044976</v>
      </c>
      <c r="L21" s="7" cm="1">
        <f t="array" ref="L21">INDEX(coordinates!D:D,MATCH(municipalities!$A21,coordinates!$A:$A,0),0)</f>
        <v>52.749717816667669</v>
      </c>
      <c r="M21" s="8">
        <v>1</v>
      </c>
      <c r="N21" s="9">
        <v>108765</v>
      </c>
      <c r="O21" s="9">
        <v>54301</v>
      </c>
      <c r="P21" s="9">
        <v>54464</v>
      </c>
      <c r="Q21" s="9">
        <v>4</v>
      </c>
      <c r="R21" s="10">
        <v>863</v>
      </c>
      <c r="S21" s="11">
        <v>62</v>
      </c>
      <c r="T21" s="11">
        <v>38</v>
      </c>
      <c r="U21" s="12">
        <f t="shared" si="0"/>
        <v>29.9</v>
      </c>
      <c r="V21" s="12">
        <f t="shared" si="1"/>
        <v>7.4</v>
      </c>
      <c r="W21" s="12">
        <f t="shared" si="2"/>
        <v>11.5</v>
      </c>
      <c r="X21" s="12">
        <f t="shared" si="3"/>
        <v>15</v>
      </c>
      <c r="Y21" s="12">
        <f t="shared" si="4"/>
        <v>52.2</v>
      </c>
      <c r="Z21" s="12" cm="1">
        <f t="array" ref="Z21">INDEX(municipality_wind_potential!$X:$X,MATCH(municipalities!$F21,municipality_wind_potential!$E:$E,0),0)</f>
        <v>217</v>
      </c>
      <c r="AA21" s="12">
        <f t="shared" si="5"/>
        <v>1215.1999999999998</v>
      </c>
      <c r="AB21" s="12" cm="1">
        <f t="array" ref="AB21">INDEX(municipality_wind_potential!$Y:$Y,MATCH(municipalities!$F21,municipality_wind_potential!$E:$E,0),0) / 3.6</f>
        <v>3843.3083333333334</v>
      </c>
      <c r="AC21" s="12">
        <f t="shared" si="6"/>
        <v>231.7110631149508</v>
      </c>
      <c r="AD21" s="12" cm="1">
        <f t="array" ref="AD21">INDEX(municipality_pv_potential!$G:$G,MATCH(municipalities!$A21,municipality_pv_potential!$E:$E,0),0)/3.6*$AH$4</f>
        <v>214.56444444444443</v>
      </c>
      <c r="AE21" s="12">
        <f t="shared" si="7"/>
        <v>1019.9544036477082</v>
      </c>
      <c r="AF21" s="12" cm="1">
        <f t="array" ref="AF21">INDEX(municipality_pv_potential!$H:$H,MATCH(municipalities!$A21,municipality_pv_potential!$E:$E,0),0)/3.6</f>
        <v>944.47777777777776</v>
      </c>
      <c r="AG21" s="12"/>
      <c r="AJ21">
        <v>29.9</v>
      </c>
      <c r="AK21">
        <v>7.4</v>
      </c>
      <c r="AL21">
        <v>11.5</v>
      </c>
      <c r="AM21">
        <v>15</v>
      </c>
      <c r="AN21">
        <v>52.2</v>
      </c>
    </row>
    <row r="22" spans="1:40" x14ac:dyDescent="0.25">
      <c r="A22" s="5" t="s">
        <v>80</v>
      </c>
      <c r="B22" s="6" t="s">
        <v>81</v>
      </c>
      <c r="C22" s="7" t="s">
        <v>82</v>
      </c>
      <c r="D22" s="7" t="s">
        <v>82</v>
      </c>
      <c r="E22" s="7" t="s">
        <v>22</v>
      </c>
      <c r="F22" s="7" t="s">
        <v>80</v>
      </c>
      <c r="G22" s="7" t="str" cm="1">
        <f t="array" ref="G22">INDEX('municipalities per province'!F:F,MATCH(municipalities!A22,'municipalities per province'!B:B,0),0)</f>
        <v>Drenthe</v>
      </c>
      <c r="H22" s="7" t="str" cm="1">
        <f t="array" ref="H22">INDEX('municipalities per province'!E:E,MATCH(municipalities!$A22,'municipalities per province'!$B:$B,0),0)</f>
        <v>PV22</v>
      </c>
      <c r="I22" s="7" t="str" cm="1">
        <f t="array" ref="I22">INDEX('municipalities per province'!G:G,MATCH(municipalities!$A22,'municipalities per province'!$B:$B,0),0)</f>
        <v>Drenthe</v>
      </c>
      <c r="J22" s="7" t="str" cm="1">
        <f t="array" ref="J22">INDEX('municipalities per province'!H:H,MATCH(municipalities!$A22,'municipalities per province'!$B:$B,0),0)</f>
        <v>ES03</v>
      </c>
      <c r="K22" s="7" cm="1">
        <f t="array" ref="K22">INDEX(coordinates!C:C,MATCH(municipalities!$A22,coordinates!$A:$A,0),0)</f>
        <v>6.513553182409594</v>
      </c>
      <c r="L22" s="7" cm="1">
        <f t="array" ref="L22">INDEX(coordinates!D:D,MATCH(municipalities!$A22,coordinates!$A:$A,0),0)</f>
        <v>52.723103590677589</v>
      </c>
      <c r="M22" s="8">
        <v>1</v>
      </c>
      <c r="N22" s="9">
        <v>56433</v>
      </c>
      <c r="O22" s="9">
        <v>28227</v>
      </c>
      <c r="P22" s="9">
        <v>28206</v>
      </c>
      <c r="Q22" s="9">
        <v>3</v>
      </c>
      <c r="R22" s="10">
        <v>1224</v>
      </c>
      <c r="S22" s="11">
        <v>61</v>
      </c>
      <c r="T22" s="11">
        <v>38</v>
      </c>
      <c r="U22" s="12">
        <f t="shared" si="0"/>
        <v>30.3</v>
      </c>
      <c r="V22" s="12">
        <f t="shared" si="1"/>
        <v>6</v>
      </c>
      <c r="W22" s="12">
        <f t="shared" si="2"/>
        <v>9.6999999999999993</v>
      </c>
      <c r="X22" s="12">
        <f t="shared" si="3"/>
        <v>12.7</v>
      </c>
      <c r="Y22" s="12">
        <f t="shared" si="4"/>
        <v>74.099999999999994</v>
      </c>
      <c r="Z22" s="12" cm="1">
        <f t="array" ref="Z22">INDEX(municipality_wind_potential!$X:$X,MATCH(municipalities!$F22,municipality_wind_potential!$E:$E,0),0)</f>
        <v>41</v>
      </c>
      <c r="AA22" s="12">
        <f t="shared" si="5"/>
        <v>229.6</v>
      </c>
      <c r="AB22" s="12" cm="1">
        <f t="array" ref="AB22">INDEX(municipality_wind_potential!$Y:$Y,MATCH(municipalities!$F22,municipality_wind_potential!$E:$E,0),0) / 3.6</f>
        <v>727.83333333333326</v>
      </c>
      <c r="AC22" s="12">
        <f t="shared" si="6"/>
        <v>119.52363810895126</v>
      </c>
      <c r="AD22" s="12" cm="1">
        <f t="array" ref="AD22">INDEX(municipality_pv_potential!$G:$G,MATCH(municipalities!$A22,municipality_pv_potential!$E:$E,0),0)/3.6*$AH$4</f>
        <v>110.67888888888888</v>
      </c>
      <c r="AE22" s="12">
        <f t="shared" si="7"/>
        <v>356.94744420446369</v>
      </c>
      <c r="AF22" s="12" cm="1">
        <f t="array" ref="AF22">INDEX(municipality_pv_potential!$H:$H,MATCH(municipalities!$A22,municipality_pv_potential!$E:$E,0),0)/3.6</f>
        <v>330.53333333333336</v>
      </c>
      <c r="AG22" s="12"/>
      <c r="AJ22">
        <v>30.3</v>
      </c>
      <c r="AK22">
        <v>6</v>
      </c>
      <c r="AL22">
        <v>9.6999999999999993</v>
      </c>
      <c r="AM22">
        <v>12.7</v>
      </c>
      <c r="AN22">
        <v>74.099999999999994</v>
      </c>
    </row>
    <row r="23" spans="1:40" x14ac:dyDescent="0.25">
      <c r="A23" s="5" t="s">
        <v>83</v>
      </c>
      <c r="B23" s="6" t="s">
        <v>84</v>
      </c>
      <c r="C23" s="7" t="s">
        <v>85</v>
      </c>
      <c r="D23" s="7" t="s">
        <v>85</v>
      </c>
      <c r="E23" s="7" t="s">
        <v>22</v>
      </c>
      <c r="F23" s="7" t="s">
        <v>83</v>
      </c>
      <c r="G23" s="7" t="str" cm="1">
        <f t="array" ref="G23">INDEX('municipalities per province'!F:F,MATCH(municipalities!A23,'municipalities per province'!B:B,0),0)</f>
        <v>Drenthe</v>
      </c>
      <c r="H23" s="7" t="str" cm="1">
        <f t="array" ref="H23">INDEX('municipalities per province'!E:E,MATCH(municipalities!$A23,'municipalities per province'!$B:$B,0),0)</f>
        <v>PV22</v>
      </c>
      <c r="I23" s="7" t="str" cm="1">
        <f t="array" ref="I23">INDEX('municipalities per province'!G:G,MATCH(municipalities!$A23,'municipalities per province'!$B:$B,0),0)</f>
        <v>Drenthe</v>
      </c>
      <c r="J23" s="7" t="str" cm="1">
        <f t="array" ref="J23">INDEX('municipalities per province'!H:H,MATCH(municipalities!$A23,'municipalities per province'!$B:$B,0),0)</f>
        <v>ES03</v>
      </c>
      <c r="K23" s="7" cm="1">
        <f t="array" ref="K23">INDEX(coordinates!C:C,MATCH(municipalities!$A23,coordinates!$A:$A,0),0)</f>
        <v>6.1938134010880983</v>
      </c>
      <c r="L23" s="7" cm="1">
        <f t="array" ref="L23">INDEX(coordinates!D:D,MATCH(municipalities!$A23,coordinates!$A:$A,0),0)</f>
        <v>52.715937994813423</v>
      </c>
      <c r="M23" s="8">
        <v>1</v>
      </c>
      <c r="N23" s="9">
        <v>35464</v>
      </c>
      <c r="O23" s="9">
        <v>17295</v>
      </c>
      <c r="P23" s="9">
        <v>18169</v>
      </c>
      <c r="Q23" s="9">
        <v>3</v>
      </c>
      <c r="R23" s="10">
        <v>1299</v>
      </c>
      <c r="S23" s="11">
        <v>58</v>
      </c>
      <c r="T23" s="11">
        <v>42</v>
      </c>
      <c r="U23" s="12">
        <f t="shared" si="0"/>
        <v>32.1</v>
      </c>
      <c r="V23" s="12">
        <f t="shared" si="1"/>
        <v>5.7</v>
      </c>
      <c r="W23" s="12">
        <f t="shared" si="2"/>
        <v>8.9</v>
      </c>
      <c r="X23" s="12">
        <f t="shared" si="3"/>
        <v>11.6</v>
      </c>
      <c r="Y23" s="12">
        <f t="shared" si="4"/>
        <v>71.099999999999994</v>
      </c>
      <c r="Z23" s="12" cm="1">
        <f t="array" ref="Z23">INDEX(municipality_wind_potential!$X:$X,MATCH(municipalities!$F23,municipality_wind_potential!$E:$E,0),0)</f>
        <v>25</v>
      </c>
      <c r="AA23" s="12">
        <f t="shared" si="5"/>
        <v>140</v>
      </c>
      <c r="AB23" s="12" cm="1">
        <f t="array" ref="AB23">INDEX(municipality_wind_potential!$Y:$Y,MATCH(municipalities!$F23,municipality_wind_potential!$E:$E,0),0) / 3.6</f>
        <v>434.92500000000001</v>
      </c>
      <c r="AC23" s="12">
        <f t="shared" si="6"/>
        <v>61.779457643388533</v>
      </c>
      <c r="AD23" s="12" cm="1">
        <f t="array" ref="AD23">INDEX(municipality_pv_potential!$G:$G,MATCH(municipalities!$A23,municipality_pv_potential!$E:$E,0),0)/3.6*$AH$4</f>
        <v>57.207777777777778</v>
      </c>
      <c r="AE23" s="12">
        <f t="shared" si="7"/>
        <v>173.59011279097672</v>
      </c>
      <c r="AF23" s="12" cm="1">
        <f t="array" ref="AF23">INDEX(municipality_pv_potential!$H:$H,MATCH(municipalities!$A23,municipality_pv_potential!$E:$E,0),0)/3.6</f>
        <v>160.74444444444444</v>
      </c>
      <c r="AG23" s="12"/>
      <c r="AJ23">
        <v>32.1</v>
      </c>
      <c r="AK23">
        <v>5.7</v>
      </c>
      <c r="AL23">
        <v>8.9</v>
      </c>
      <c r="AM23">
        <v>11.6</v>
      </c>
      <c r="AN23">
        <v>71.099999999999994</v>
      </c>
    </row>
    <row r="24" spans="1:40" x14ac:dyDescent="0.25">
      <c r="A24" s="5" t="s">
        <v>86</v>
      </c>
      <c r="B24" s="6" t="s">
        <v>87</v>
      </c>
      <c r="C24" s="7" t="s">
        <v>88</v>
      </c>
      <c r="D24" s="7" t="s">
        <v>88</v>
      </c>
      <c r="E24" s="7" t="s">
        <v>22</v>
      </c>
      <c r="F24" s="7" t="s">
        <v>86</v>
      </c>
      <c r="G24" s="7" t="str" cm="1">
        <f t="array" ref="G24">INDEX('municipalities per province'!F:F,MATCH(municipalities!A24,'municipalities per province'!B:B,0),0)</f>
        <v>Overijssel</v>
      </c>
      <c r="H24" s="7" t="str" cm="1">
        <f t="array" ref="H24">INDEX('municipalities per province'!E:E,MATCH(municipalities!$A24,'municipalities per province'!$B:$B,0),0)</f>
        <v>PV23</v>
      </c>
      <c r="I24" s="7" t="str" cm="1">
        <f t="array" ref="I24">INDEX('municipalities per province'!G:G,MATCH(municipalities!$A24,'municipalities per province'!$B:$B,0),0)</f>
        <v>Twente</v>
      </c>
      <c r="J24" s="7" t="str" cm="1">
        <f t="array" ref="J24">INDEX('municipalities per province'!H:H,MATCH(municipalities!$A24,'municipalities per province'!$B:$B,0),0)</f>
        <v>ES04</v>
      </c>
      <c r="K24" s="7" cm="1">
        <f t="array" ref="K24">INDEX(coordinates!C:C,MATCH(municipalities!$A24,coordinates!$A:$A,0),0)</f>
        <v>6.6581974321883663</v>
      </c>
      <c r="L24" s="7" cm="1">
        <f t="array" ref="L24">INDEX(coordinates!D:D,MATCH(municipalities!$A24,coordinates!$A:$A,0),0)</f>
        <v>52.347902454382911</v>
      </c>
      <c r="M24" s="8">
        <v>1</v>
      </c>
      <c r="N24" s="9">
        <v>73949</v>
      </c>
      <c r="O24" s="9">
        <v>37114</v>
      </c>
      <c r="P24" s="9">
        <v>36835</v>
      </c>
      <c r="Q24" s="9">
        <v>2</v>
      </c>
      <c r="R24" s="10">
        <v>1607</v>
      </c>
      <c r="S24" s="11">
        <v>54</v>
      </c>
      <c r="T24" s="11">
        <v>46</v>
      </c>
      <c r="U24" s="12">
        <f t="shared" si="0"/>
        <v>29.6</v>
      </c>
      <c r="V24" s="12">
        <f t="shared" si="1"/>
        <v>9.4</v>
      </c>
      <c r="W24" s="12">
        <f t="shared" si="2"/>
        <v>14.8</v>
      </c>
      <c r="X24" s="12">
        <f t="shared" si="3"/>
        <v>18.5</v>
      </c>
      <c r="Y24" s="12">
        <f t="shared" si="4"/>
        <v>39</v>
      </c>
      <c r="Z24" s="12" cm="1">
        <f t="array" ref="Z24">INDEX(municipality_wind_potential!$X:$X,MATCH(municipalities!$F24,municipality_wind_potential!$E:$E,0),0)</f>
        <v>8</v>
      </c>
      <c r="AA24" s="12">
        <f t="shared" si="5"/>
        <v>44.8</v>
      </c>
      <c r="AB24" s="12" cm="1">
        <f t="array" ref="AB24">INDEX(municipality_wind_potential!$Y:$Y,MATCH(municipalities!$F24,municipality_wind_potential!$E:$E,0),0) / 3.6</f>
        <v>118.71944444444443</v>
      </c>
      <c r="AC24" s="12">
        <f t="shared" si="6"/>
        <v>140.37796976241901</v>
      </c>
      <c r="AD24" s="12" cm="1">
        <f t="array" ref="AD24">INDEX(municipality_pv_potential!$G:$G,MATCH(municipalities!$A24,municipality_pv_potential!$E:$E,0),0)/3.6*$AH$4</f>
        <v>129.99</v>
      </c>
      <c r="AE24" s="12">
        <f t="shared" si="7"/>
        <v>138.14794816414687</v>
      </c>
      <c r="AF24" s="12" cm="1">
        <f t="array" ref="AF24">INDEX(municipality_pv_potential!$H:$H,MATCH(municipalities!$A24,municipality_pv_potential!$E:$E,0),0)/3.6</f>
        <v>127.92499999999998</v>
      </c>
      <c r="AG24" s="12"/>
      <c r="AJ24">
        <v>29.6</v>
      </c>
      <c r="AK24">
        <v>9.4</v>
      </c>
      <c r="AL24">
        <v>14.8</v>
      </c>
      <c r="AM24">
        <v>18.5</v>
      </c>
      <c r="AN24">
        <v>39</v>
      </c>
    </row>
    <row r="25" spans="1:40" x14ac:dyDescent="0.25">
      <c r="A25" s="5" t="s">
        <v>89</v>
      </c>
      <c r="B25" s="6" t="s">
        <v>90</v>
      </c>
      <c r="C25" s="7" t="s">
        <v>91</v>
      </c>
      <c r="D25" s="7" t="s">
        <v>91</v>
      </c>
      <c r="E25" s="7" t="s">
        <v>22</v>
      </c>
      <c r="F25" s="7" t="s">
        <v>89</v>
      </c>
      <c r="G25" s="7" t="str" cm="1">
        <f t="array" ref="G25">INDEX('municipalities per province'!F:F,MATCH(municipalities!A25,'municipalities per province'!B:B,0),0)</f>
        <v>Overijssel</v>
      </c>
      <c r="H25" s="7" t="str" cm="1">
        <f t="array" ref="H25">INDEX('municipalities per province'!E:E,MATCH(municipalities!$A25,'municipalities per province'!$B:$B,0),0)</f>
        <v>PV23</v>
      </c>
      <c r="I25" s="7" t="str" cm="1">
        <f t="array" ref="I25">INDEX('municipalities per province'!G:G,MATCH(municipalities!$A25,'municipalities per province'!$B:$B,0),0)</f>
        <v>Twente</v>
      </c>
      <c r="J25" s="7" t="str" cm="1">
        <f t="array" ref="J25">INDEX('municipalities per province'!H:H,MATCH(municipalities!$A25,'municipalities per province'!$B:$B,0),0)</f>
        <v>ES04</v>
      </c>
      <c r="K25" s="7" cm="1">
        <f t="array" ref="K25">INDEX(coordinates!C:C,MATCH(municipalities!$A25,coordinates!$A:$A,0),0)</f>
        <v>6.7435601293727441</v>
      </c>
      <c r="L25" s="7" cm="1">
        <f t="array" ref="L25">INDEX(coordinates!D:D,MATCH(municipalities!$A25,coordinates!$A:$A,0),0)</f>
        <v>52.312331694587627</v>
      </c>
      <c r="M25" s="8">
        <v>1</v>
      </c>
      <c r="N25" s="9">
        <v>24524</v>
      </c>
      <c r="O25" s="9">
        <v>12148</v>
      </c>
      <c r="P25" s="9">
        <v>12376</v>
      </c>
      <c r="Q25" s="9">
        <v>3</v>
      </c>
      <c r="R25" s="10">
        <v>1245</v>
      </c>
      <c r="S25" s="11">
        <v>70</v>
      </c>
      <c r="T25" s="11">
        <v>30</v>
      </c>
      <c r="U25" s="12">
        <f t="shared" si="0"/>
        <v>34.5</v>
      </c>
      <c r="V25" s="12">
        <f t="shared" si="1"/>
        <v>3.9</v>
      </c>
      <c r="W25" s="12">
        <f t="shared" si="2"/>
        <v>6.7</v>
      </c>
      <c r="X25" s="12">
        <f t="shared" si="3"/>
        <v>9.1</v>
      </c>
      <c r="Y25" s="12">
        <f t="shared" si="4"/>
        <v>134.80000000000001</v>
      </c>
      <c r="Z25" s="12" cm="1">
        <f t="array" ref="Z25">INDEX(municipality_wind_potential!$X:$X,MATCH(municipalities!$F25,municipality_wind_potential!$E:$E,0),0)</f>
        <v>5</v>
      </c>
      <c r="AA25" s="12">
        <f t="shared" si="5"/>
        <v>28</v>
      </c>
      <c r="AB25" s="12" cm="1">
        <f t="array" ref="AB25">INDEX(municipality_wind_potential!$Y:$Y,MATCH(municipalities!$F25,municipality_wind_potential!$E:$E,0),0) / 3.6</f>
        <v>74.2</v>
      </c>
      <c r="AC25" s="12">
        <f t="shared" si="6"/>
        <v>37.464602831773455</v>
      </c>
      <c r="AD25" s="12" cm="1">
        <f t="array" ref="AD25">INDEX(municipality_pv_potential!$G:$G,MATCH(municipalities!$A25,municipality_pv_potential!$E:$E,0),0)/3.6*$AH$4</f>
        <v>34.69222222222222</v>
      </c>
      <c r="AE25" s="12">
        <f t="shared" si="7"/>
        <v>62.356011519078478</v>
      </c>
      <c r="AF25" s="12" cm="1">
        <f t="array" ref="AF25">INDEX(municipality_pv_potential!$H:$H,MATCH(municipalities!$A25,municipality_pv_potential!$E:$E,0),0)/3.6</f>
        <v>57.741666666666667</v>
      </c>
      <c r="AG25" s="12"/>
      <c r="AJ25">
        <v>34.5</v>
      </c>
      <c r="AK25">
        <v>3.9</v>
      </c>
      <c r="AL25">
        <v>6.7</v>
      </c>
      <c r="AM25">
        <v>9.1</v>
      </c>
      <c r="AN25">
        <v>134.80000000000001</v>
      </c>
    </row>
    <row r="26" spans="1:40" x14ac:dyDescent="0.25">
      <c r="A26" s="5" t="s">
        <v>92</v>
      </c>
      <c r="B26" s="6" t="s">
        <v>93</v>
      </c>
      <c r="C26" s="7" t="s">
        <v>94</v>
      </c>
      <c r="D26" s="7" t="s">
        <v>94</v>
      </c>
      <c r="E26" s="7" t="s">
        <v>22</v>
      </c>
      <c r="F26" s="7" t="s">
        <v>92</v>
      </c>
      <c r="G26" s="7" t="str" cm="1">
        <f t="array" ref="G26">INDEX('municipalities per province'!F:F,MATCH(municipalities!A26,'municipalities per province'!B:B,0),0)</f>
        <v>Overijssel</v>
      </c>
      <c r="H26" s="7" t="str" cm="1">
        <f t="array" ref="H26">INDEX('municipalities per province'!E:E,MATCH(municipalities!$A26,'municipalities per province'!$B:$B,0),0)</f>
        <v>PV23</v>
      </c>
      <c r="I26" s="7" t="str" cm="1">
        <f t="array" ref="I26">INDEX('municipalities per province'!G:G,MATCH(municipalities!$A26,'municipalities per province'!$B:$B,0),0)</f>
        <v>West-Overijssel</v>
      </c>
      <c r="J26" s="7" t="str" cm="1">
        <f t="array" ref="J26">INDEX('municipalities per province'!H:H,MATCH(municipalities!$A26,'municipalities per province'!$B:$B,0),0)</f>
        <v>ES05</v>
      </c>
      <c r="K26" s="7" cm="1">
        <f t="array" ref="K26">INDEX(coordinates!C:C,MATCH(municipalities!$A26,coordinates!$A:$A,0),0)</f>
        <v>6.2766480311398141</v>
      </c>
      <c r="L26" s="7" cm="1">
        <f t="array" ref="L26">INDEX(coordinates!D:D,MATCH(municipalities!$A26,coordinates!$A:$A,0),0)</f>
        <v>52.51476124774733</v>
      </c>
      <c r="M26" s="8">
        <v>1</v>
      </c>
      <c r="N26" s="9">
        <v>29612</v>
      </c>
      <c r="O26" s="9">
        <v>14950</v>
      </c>
      <c r="P26" s="9">
        <v>14662</v>
      </c>
      <c r="Q26" s="9">
        <v>4</v>
      </c>
      <c r="R26" s="10">
        <v>520</v>
      </c>
      <c r="S26" s="11">
        <v>74</v>
      </c>
      <c r="T26" s="11">
        <v>26</v>
      </c>
      <c r="U26" s="12">
        <f t="shared" si="0"/>
        <v>34.9</v>
      </c>
      <c r="V26" s="12">
        <f t="shared" si="1"/>
        <v>3.6</v>
      </c>
      <c r="W26" s="12">
        <f t="shared" si="2"/>
        <v>5.7</v>
      </c>
      <c r="X26" s="12">
        <f t="shared" si="3"/>
        <v>7.5</v>
      </c>
      <c r="Y26" s="12">
        <f t="shared" si="4"/>
        <v>240.7</v>
      </c>
      <c r="Z26" s="12" cm="1">
        <f t="array" ref="Z26">INDEX(municipality_wind_potential!$X:$X,MATCH(municipalities!$F26,municipality_wind_potential!$E:$E,0),0)</f>
        <v>70</v>
      </c>
      <c r="AA26" s="12">
        <f t="shared" si="5"/>
        <v>392</v>
      </c>
      <c r="AB26" s="12" cm="1">
        <f t="array" ref="AB26">INDEX(municipality_wind_potential!$Y:$Y,MATCH(municipalities!$F26,municipality_wind_potential!$E:$E,0),0) / 3.6</f>
        <v>1233.7638888888889</v>
      </c>
      <c r="AC26" s="12">
        <f t="shared" si="6"/>
        <v>102.26481881449484</v>
      </c>
      <c r="AD26" s="12" cm="1">
        <f t="array" ref="AD26">INDEX(municipality_pv_potential!$G:$G,MATCH(municipalities!$A26,municipality_pv_potential!$E:$E,0),0)/3.6*$AH$4</f>
        <v>94.697222222222223</v>
      </c>
      <c r="AE26" s="12">
        <f t="shared" si="7"/>
        <v>588.84989200863924</v>
      </c>
      <c r="AF26" s="12" cm="1">
        <f t="array" ref="AF26">INDEX(municipality_pv_potential!$H:$H,MATCH(municipalities!$A26,municipality_pv_potential!$E:$E,0),0)/3.6</f>
        <v>545.27499999999998</v>
      </c>
      <c r="AG26" s="12"/>
      <c r="AJ26">
        <v>34.9</v>
      </c>
      <c r="AK26">
        <v>3.6</v>
      </c>
      <c r="AL26">
        <v>5.7</v>
      </c>
      <c r="AM26">
        <v>7.5</v>
      </c>
      <c r="AN26">
        <v>240.7</v>
      </c>
    </row>
    <row r="27" spans="1:40" x14ac:dyDescent="0.25">
      <c r="A27" s="5" t="s">
        <v>95</v>
      </c>
      <c r="B27" s="6" t="s">
        <v>96</v>
      </c>
      <c r="C27" s="7" t="s">
        <v>97</v>
      </c>
      <c r="D27" s="7" t="s">
        <v>97</v>
      </c>
      <c r="E27" s="7" t="s">
        <v>22</v>
      </c>
      <c r="F27" s="7" t="s">
        <v>95</v>
      </c>
      <c r="G27" s="7" t="str" cm="1">
        <f t="array" ref="G27">INDEX('municipalities per province'!F:F,MATCH(municipalities!A27,'municipalities per province'!B:B,0),0)</f>
        <v>Overijssel</v>
      </c>
      <c r="H27" s="7" t="str" cm="1">
        <f t="array" ref="H27">INDEX('municipalities per province'!E:E,MATCH(municipalities!$A27,'municipalities per province'!$B:$B,0),0)</f>
        <v>PV23</v>
      </c>
      <c r="I27" s="7" t="str" cm="1">
        <f t="array" ref="I27">INDEX('municipalities per province'!G:G,MATCH(municipalities!$A27,'municipalities per province'!$B:$B,0),0)</f>
        <v>West-Overijssel</v>
      </c>
      <c r="J27" s="7" t="str" cm="1">
        <f t="array" ref="J27">INDEX('municipalities per province'!H:H,MATCH(municipalities!$A27,'municipalities per province'!$B:$B,0),0)</f>
        <v>ES05</v>
      </c>
      <c r="K27" s="7" cm="1">
        <f t="array" ref="K27">INDEX(coordinates!C:C,MATCH(municipalities!$A27,coordinates!$A:$A,0),0)</f>
        <v>6.2357936796490696</v>
      </c>
      <c r="L27" s="7" cm="1">
        <f t="array" ref="L27">INDEX(coordinates!D:D,MATCH(municipalities!$A27,coordinates!$A:$A,0),0)</f>
        <v>52.268229672280107</v>
      </c>
      <c r="M27" s="8">
        <v>1</v>
      </c>
      <c r="N27" s="9">
        <v>102781</v>
      </c>
      <c r="O27" s="9">
        <v>50854</v>
      </c>
      <c r="P27" s="9">
        <v>51927</v>
      </c>
      <c r="Q27" s="9">
        <v>2</v>
      </c>
      <c r="R27" s="10">
        <v>1850</v>
      </c>
      <c r="S27" s="11">
        <v>55</v>
      </c>
      <c r="T27" s="11">
        <v>45</v>
      </c>
      <c r="U27" s="12">
        <f t="shared" si="0"/>
        <v>31.5</v>
      </c>
      <c r="V27" s="12">
        <f t="shared" si="1"/>
        <v>7.2</v>
      </c>
      <c r="W27" s="12">
        <f t="shared" si="2"/>
        <v>11.1</v>
      </c>
      <c r="X27" s="12">
        <f t="shared" si="3"/>
        <v>13.9</v>
      </c>
      <c r="Y27" s="12">
        <f t="shared" si="4"/>
        <v>64.099999999999994</v>
      </c>
      <c r="Z27" s="12" cm="1">
        <f t="array" ref="Z27">INDEX(municipality_wind_potential!$X:$X,MATCH(municipalities!$F27,municipality_wind_potential!$E:$E,0),0)</f>
        <v>46</v>
      </c>
      <c r="AA27" s="12">
        <f t="shared" si="5"/>
        <v>257.59999999999997</v>
      </c>
      <c r="AB27" s="12" cm="1">
        <f t="array" ref="AB27">INDEX(municipality_wind_potential!$Y:$Y,MATCH(municipalities!$F27,municipality_wind_potential!$E:$E,0),0) / 3.6</f>
        <v>682.63888888888891</v>
      </c>
      <c r="AC27" s="12">
        <f t="shared" si="6"/>
        <v>153.1041516678666</v>
      </c>
      <c r="AD27" s="12" cm="1">
        <f t="array" ref="AD27">INDEX(municipality_pv_potential!$G:$G,MATCH(municipalities!$A27,municipality_pv_potential!$E:$E,0),0)/3.6*$AH$4</f>
        <v>141.77444444444447</v>
      </c>
      <c r="AE27" s="12">
        <f t="shared" si="7"/>
        <v>357.85637149028076</v>
      </c>
      <c r="AF27" s="12" cm="1">
        <f t="array" ref="AF27">INDEX(municipality_pv_potential!$H:$H,MATCH(municipalities!$A27,municipality_pv_potential!$E:$E,0),0)/3.6</f>
        <v>331.375</v>
      </c>
      <c r="AG27" s="12"/>
      <c r="AJ27">
        <v>31.5</v>
      </c>
      <c r="AK27">
        <v>7.2</v>
      </c>
      <c r="AL27">
        <v>11.1</v>
      </c>
      <c r="AM27">
        <v>13.9</v>
      </c>
      <c r="AN27">
        <v>64.099999999999994</v>
      </c>
    </row>
    <row r="28" spans="1:40" x14ac:dyDescent="0.25">
      <c r="A28" s="5" t="s">
        <v>98</v>
      </c>
      <c r="B28" s="6" t="s">
        <v>99</v>
      </c>
      <c r="C28" s="7" t="s">
        <v>100</v>
      </c>
      <c r="D28" s="7" t="s">
        <v>100</v>
      </c>
      <c r="E28" s="7" t="s">
        <v>22</v>
      </c>
      <c r="F28" s="7" t="s">
        <v>98</v>
      </c>
      <c r="G28" s="7" t="str" cm="1">
        <f t="array" ref="G28">INDEX('municipalities per province'!F:F,MATCH(municipalities!A28,'municipalities per province'!B:B,0),0)</f>
        <v>Overijssel</v>
      </c>
      <c r="H28" s="7" t="str" cm="1">
        <f t="array" ref="H28">INDEX('municipalities per province'!E:E,MATCH(municipalities!$A28,'municipalities per province'!$B:$B,0),0)</f>
        <v>PV23</v>
      </c>
      <c r="I28" s="7" t="str" cm="1">
        <f t="array" ref="I28">INDEX('municipalities per province'!G:G,MATCH(municipalities!$A28,'municipalities per province'!$B:$B,0),0)</f>
        <v>Twente</v>
      </c>
      <c r="J28" s="7" t="str" cm="1">
        <f t="array" ref="J28">INDEX('municipalities per province'!H:H,MATCH(municipalities!$A28,'municipalities per province'!$B:$B,0),0)</f>
        <v>ES04</v>
      </c>
      <c r="K28" s="7" cm="1">
        <f t="array" ref="K28">INDEX(coordinates!C:C,MATCH(municipalities!$A28,coordinates!$A:$A,0),0)</f>
        <v>6.8778085450225017</v>
      </c>
      <c r="L28" s="7" cm="1">
        <f t="array" ref="L28">INDEX(coordinates!D:D,MATCH(municipalities!$A28,coordinates!$A:$A,0),0)</f>
        <v>52.220814387847362</v>
      </c>
      <c r="M28" s="8">
        <v>1</v>
      </c>
      <c r="N28" s="9">
        <v>161235</v>
      </c>
      <c r="O28" s="9">
        <v>82526</v>
      </c>
      <c r="P28" s="9">
        <v>78709</v>
      </c>
      <c r="Q28" s="9">
        <v>2</v>
      </c>
      <c r="R28" s="10">
        <v>2218</v>
      </c>
      <c r="S28" s="11">
        <v>48</v>
      </c>
      <c r="T28" s="11">
        <v>52</v>
      </c>
      <c r="U28" s="12">
        <f t="shared" si="0"/>
        <v>27.9</v>
      </c>
      <c r="V28" s="12">
        <f t="shared" si="1"/>
        <v>10.199999999999999</v>
      </c>
      <c r="W28" s="12">
        <f t="shared" si="2"/>
        <v>15.8</v>
      </c>
      <c r="X28" s="12">
        <f t="shared" si="3"/>
        <v>19.399999999999999</v>
      </c>
      <c r="Y28" s="12">
        <f t="shared" si="4"/>
        <v>23.2</v>
      </c>
      <c r="Z28" s="12" cm="1">
        <f t="array" ref="Z28">INDEX(municipality_wind_potential!$X:$X,MATCH(municipalities!$F28,municipality_wind_potential!$E:$E,0),0)</f>
        <v>21</v>
      </c>
      <c r="AA28" s="12">
        <f t="shared" si="5"/>
        <v>117.6</v>
      </c>
      <c r="AB28" s="12" cm="1">
        <f t="array" ref="AB28">INDEX(municipality_wind_potential!$Y:$Y,MATCH(municipalities!$F28,municipality_wind_potential!$E:$E,0),0) / 3.6</f>
        <v>311.63888888888891</v>
      </c>
      <c r="AC28" s="12">
        <f t="shared" si="6"/>
        <v>232.08723302135832</v>
      </c>
      <c r="AD28" s="12" cm="1">
        <f t="array" ref="AD28">INDEX(municipality_pv_potential!$G:$G,MATCH(municipalities!$A28,municipality_pv_potential!$E:$E,0),0)/3.6*$AH$4</f>
        <v>214.91277777777779</v>
      </c>
      <c r="AE28" s="12">
        <f t="shared" si="7"/>
        <v>238.06995440364773</v>
      </c>
      <c r="AF28" s="12" cm="1">
        <f t="array" ref="AF28">INDEX(municipality_pv_potential!$H:$H,MATCH(municipalities!$A28,municipality_pv_potential!$E:$E,0),0)/3.6</f>
        <v>220.45277777777778</v>
      </c>
      <c r="AG28" s="12"/>
      <c r="AJ28">
        <v>27.9</v>
      </c>
      <c r="AK28">
        <v>10.199999999999999</v>
      </c>
      <c r="AL28">
        <v>15.8</v>
      </c>
      <c r="AM28">
        <v>19.399999999999999</v>
      </c>
      <c r="AN28">
        <v>23.2</v>
      </c>
    </row>
    <row r="29" spans="1:40" x14ac:dyDescent="0.25">
      <c r="A29" s="5" t="s">
        <v>101</v>
      </c>
      <c r="B29" s="6" t="s">
        <v>102</v>
      </c>
      <c r="C29" s="7" t="s">
        <v>103</v>
      </c>
      <c r="D29" s="7" t="s">
        <v>103</v>
      </c>
      <c r="E29" s="7" t="s">
        <v>22</v>
      </c>
      <c r="F29" s="7" t="s">
        <v>101</v>
      </c>
      <c r="G29" s="7" t="str" cm="1">
        <f t="array" ref="G29">INDEX('municipalities per province'!F:F,MATCH(municipalities!A29,'municipalities per province'!B:B,0),0)</f>
        <v>Overijssel</v>
      </c>
      <c r="H29" s="7" t="str" cm="1">
        <f t="array" ref="H29">INDEX('municipalities per province'!E:E,MATCH(municipalities!$A29,'municipalities per province'!$B:$B,0),0)</f>
        <v>PV23</v>
      </c>
      <c r="I29" s="7" t="str" cm="1">
        <f t="array" ref="I29">INDEX('municipalities per province'!G:G,MATCH(municipalities!$A29,'municipalities per province'!$B:$B,0),0)</f>
        <v>Twente</v>
      </c>
      <c r="J29" s="7" t="str" cm="1">
        <f t="array" ref="J29">INDEX('municipalities per province'!H:H,MATCH(municipalities!$A29,'municipalities per province'!$B:$B,0),0)</f>
        <v>ES04</v>
      </c>
      <c r="K29" s="7" cm="1">
        <f t="array" ref="K29">INDEX(coordinates!C:C,MATCH(municipalities!$A29,coordinates!$A:$A,0),0)</f>
        <v>6.7558409976980958</v>
      </c>
      <c r="L29" s="7" cm="1">
        <f t="array" ref="L29">INDEX(coordinates!D:D,MATCH(municipalities!$A29,coordinates!$A:$A,0),0)</f>
        <v>52.155498590399311</v>
      </c>
      <c r="M29" s="8">
        <v>1</v>
      </c>
      <c r="N29" s="9">
        <v>24502</v>
      </c>
      <c r="O29" s="9">
        <v>12216</v>
      </c>
      <c r="P29" s="9">
        <v>12286</v>
      </c>
      <c r="Q29" s="9">
        <v>3</v>
      </c>
      <c r="R29" s="10">
        <v>1043</v>
      </c>
      <c r="S29" s="11">
        <v>70</v>
      </c>
      <c r="T29" s="11">
        <v>30</v>
      </c>
      <c r="U29" s="12">
        <f t="shared" si="0"/>
        <v>33.799999999999997</v>
      </c>
      <c r="V29" s="12">
        <f t="shared" si="1"/>
        <v>4.0999999999999996</v>
      </c>
      <c r="W29" s="12">
        <f t="shared" si="2"/>
        <v>7</v>
      </c>
      <c r="X29" s="12">
        <f t="shared" si="3"/>
        <v>9.8000000000000007</v>
      </c>
      <c r="Y29" s="12">
        <f t="shared" si="4"/>
        <v>152.5</v>
      </c>
      <c r="Z29" s="12" cm="1">
        <f t="array" ref="Z29">INDEX(municipality_wind_potential!$X:$X,MATCH(municipalities!$F29,municipality_wind_potential!$E:$E,0),0)</f>
        <v>46</v>
      </c>
      <c r="AA29" s="12">
        <f t="shared" si="5"/>
        <v>257.59999999999997</v>
      </c>
      <c r="AB29" s="12" cm="1">
        <f t="array" ref="AB29">INDEX(municipality_wind_potential!$Y:$Y,MATCH(municipalities!$F29,municipality_wind_potential!$E:$E,0),0) / 3.6</f>
        <v>733.82499999999993</v>
      </c>
      <c r="AC29" s="12">
        <f t="shared" si="6"/>
        <v>72.582193424526025</v>
      </c>
      <c r="AD29" s="12" cm="1">
        <f t="array" ref="AD29">INDEX(municipality_pv_potential!$G:$G,MATCH(municipalities!$A29,municipality_pv_potential!$E:$E,0),0)/3.6*$AH$4</f>
        <v>67.211111111111109</v>
      </c>
      <c r="AE29" s="12">
        <f t="shared" si="7"/>
        <v>291.80765538756901</v>
      </c>
      <c r="AF29" s="12" cm="1">
        <f t="array" ref="AF29">INDEX(municipality_pv_potential!$H:$H,MATCH(municipalities!$A29,municipality_pv_potential!$E:$E,0),0)/3.6</f>
        <v>270.2138888888889</v>
      </c>
      <c r="AG29" s="12"/>
      <c r="AJ29">
        <v>33.799999999999997</v>
      </c>
      <c r="AK29">
        <v>4.0999999999999996</v>
      </c>
      <c r="AL29">
        <v>7</v>
      </c>
      <c r="AM29">
        <v>9.8000000000000007</v>
      </c>
      <c r="AN29">
        <v>152.5</v>
      </c>
    </row>
    <row r="30" spans="1:40" x14ac:dyDescent="0.25">
      <c r="A30" s="5" t="s">
        <v>104</v>
      </c>
      <c r="B30" s="6" t="s">
        <v>105</v>
      </c>
      <c r="C30" s="7" t="s">
        <v>106</v>
      </c>
      <c r="D30" s="7" t="s">
        <v>106</v>
      </c>
      <c r="E30" s="7" t="s">
        <v>22</v>
      </c>
      <c r="F30" s="7" t="s">
        <v>104</v>
      </c>
      <c r="G30" s="7" t="str" cm="1">
        <f t="array" ref="G30">INDEX('municipalities per province'!F:F,MATCH(municipalities!A30,'municipalities per province'!B:B,0),0)</f>
        <v>Overijssel</v>
      </c>
      <c r="H30" s="7" t="str" cm="1">
        <f t="array" ref="H30">INDEX('municipalities per province'!E:E,MATCH(municipalities!$A30,'municipalities per province'!$B:$B,0),0)</f>
        <v>PV23</v>
      </c>
      <c r="I30" s="7" t="str" cm="1">
        <f t="array" ref="I30">INDEX('municipalities per province'!G:G,MATCH(municipalities!$A30,'municipalities per province'!$B:$B,0),0)</f>
        <v>West-Overijssel</v>
      </c>
      <c r="J30" s="7" t="str" cm="1">
        <f t="array" ref="J30">INDEX('municipalities per province'!H:H,MATCH(municipalities!$A30,'municipalities per province'!$B:$B,0),0)</f>
        <v>ES05</v>
      </c>
      <c r="K30" s="7" cm="1">
        <f t="array" ref="K30">INDEX(coordinates!C:C,MATCH(municipalities!$A30,coordinates!$A:$A,0),0)</f>
        <v>6.5740748339262964</v>
      </c>
      <c r="L30" s="7" cm="1">
        <f t="array" ref="L30">INDEX(coordinates!D:D,MATCH(municipalities!$A30,coordinates!$A:$A,0),0)</f>
        <v>52.585641745025413</v>
      </c>
      <c r="M30" s="8">
        <v>1</v>
      </c>
      <c r="N30" s="9">
        <v>62509</v>
      </c>
      <c r="O30" s="9">
        <v>31726</v>
      </c>
      <c r="P30" s="9">
        <v>30783</v>
      </c>
      <c r="Q30" s="9">
        <v>4</v>
      </c>
      <c r="R30" s="10">
        <v>577</v>
      </c>
      <c r="S30" s="11">
        <v>70</v>
      </c>
      <c r="T30" s="11">
        <v>30</v>
      </c>
      <c r="U30" s="12">
        <f t="shared" si="0"/>
        <v>32.700000000000003</v>
      </c>
      <c r="V30" s="12">
        <f t="shared" si="1"/>
        <v>4</v>
      </c>
      <c r="W30" s="12">
        <f t="shared" si="2"/>
        <v>6.7</v>
      </c>
      <c r="X30" s="12">
        <f t="shared" si="3"/>
        <v>9.3000000000000007</v>
      </c>
      <c r="Y30" s="12">
        <f t="shared" si="4"/>
        <v>108.2</v>
      </c>
      <c r="Z30" s="12" cm="1">
        <f t="array" ref="Z30">INDEX(municipality_wind_potential!$X:$X,MATCH(municipalities!$F30,municipality_wind_potential!$E:$E,0),0)</f>
        <v>115</v>
      </c>
      <c r="AA30" s="12">
        <f t="shared" si="5"/>
        <v>644</v>
      </c>
      <c r="AB30" s="12" cm="1">
        <f t="array" ref="AB30">INDEX(municipality_wind_potential!$Y:$Y,MATCH(municipalities!$F30,municipality_wind_potential!$E:$E,0),0) / 3.6</f>
        <v>2041.4805555555554</v>
      </c>
      <c r="AC30" s="12">
        <f t="shared" si="6"/>
        <v>187.66018718502519</v>
      </c>
      <c r="AD30" s="12" cm="1">
        <f t="array" ref="AD30">INDEX(municipality_pv_potential!$G:$G,MATCH(municipalities!$A30,municipality_pv_potential!$E:$E,0),0)/3.6*$AH$4</f>
        <v>173.77333333333334</v>
      </c>
      <c r="AE30" s="12">
        <f t="shared" si="7"/>
        <v>1125.7679385649149</v>
      </c>
      <c r="AF30" s="12" cm="1">
        <f t="array" ref="AF30">INDEX(municipality_pv_potential!$H:$H,MATCH(municipalities!$A30,municipality_pv_potential!$E:$E,0),0)/3.6</f>
        <v>1042.4611111111112</v>
      </c>
      <c r="AG30" s="12"/>
      <c r="AJ30">
        <v>32.700000000000003</v>
      </c>
      <c r="AK30">
        <v>4</v>
      </c>
      <c r="AL30">
        <v>6.7</v>
      </c>
      <c r="AM30">
        <v>9.3000000000000007</v>
      </c>
      <c r="AN30">
        <v>108.2</v>
      </c>
    </row>
    <row r="31" spans="1:40" x14ac:dyDescent="0.25">
      <c r="A31" s="5" t="s">
        <v>107</v>
      </c>
      <c r="B31" s="6" t="s">
        <v>108</v>
      </c>
      <c r="C31" s="7" t="s">
        <v>109</v>
      </c>
      <c r="D31" s="7" t="s">
        <v>109</v>
      </c>
      <c r="E31" s="7" t="s">
        <v>22</v>
      </c>
      <c r="F31" s="7" t="s">
        <v>107</v>
      </c>
      <c r="G31" s="7" t="str" cm="1">
        <f t="array" ref="G31">INDEX('municipalities per province'!F:F,MATCH(municipalities!A31,'municipalities per province'!B:B,0),0)</f>
        <v>Overijssel</v>
      </c>
      <c r="H31" s="7" t="str" cm="1">
        <f t="array" ref="H31">INDEX('municipalities per province'!E:E,MATCH(municipalities!$A31,'municipalities per province'!$B:$B,0),0)</f>
        <v>PV23</v>
      </c>
      <c r="I31" s="7" t="str" cm="1">
        <f t="array" ref="I31">INDEX('municipalities per province'!G:G,MATCH(municipalities!$A31,'municipalities per province'!$B:$B,0),0)</f>
        <v>Twente</v>
      </c>
      <c r="J31" s="7" t="str" cm="1">
        <f t="array" ref="J31">INDEX('municipalities per province'!H:H,MATCH(municipalities!$A31,'municipalities per province'!$B:$B,0),0)</f>
        <v>ES04</v>
      </c>
      <c r="K31" s="7" cm="1">
        <f t="array" ref="K31">INDEX(coordinates!C:C,MATCH(municipalities!$A31,coordinates!$A:$A,0),0)</f>
        <v>6.4509175457391263</v>
      </c>
      <c r="L31" s="7" cm="1">
        <f t="array" ref="L31">INDEX(coordinates!D:D,MATCH(municipalities!$A31,coordinates!$A:$A,0),0)</f>
        <v>52.386383322496869</v>
      </c>
      <c r="M31" s="8">
        <v>1</v>
      </c>
      <c r="N31" s="9">
        <v>36261</v>
      </c>
      <c r="O31" s="9">
        <v>18109</v>
      </c>
      <c r="P31" s="9">
        <v>18152</v>
      </c>
      <c r="Q31" s="9">
        <v>4</v>
      </c>
      <c r="R31" s="10">
        <v>824</v>
      </c>
      <c r="S31" s="11">
        <v>73</v>
      </c>
      <c r="T31" s="11">
        <v>27</v>
      </c>
      <c r="U31" s="12">
        <f t="shared" si="0"/>
        <v>33.200000000000003</v>
      </c>
      <c r="V31" s="12">
        <f t="shared" si="1"/>
        <v>3.4</v>
      </c>
      <c r="W31" s="12">
        <f t="shared" si="2"/>
        <v>6</v>
      </c>
      <c r="X31" s="12">
        <f t="shared" si="3"/>
        <v>8.5</v>
      </c>
      <c r="Y31" s="12">
        <f t="shared" si="4"/>
        <v>148.30000000000001</v>
      </c>
      <c r="Z31" s="12" cm="1">
        <f t="array" ref="Z31">INDEX(municipality_wind_potential!$X:$X,MATCH(municipalities!$F31,municipality_wind_potential!$E:$E,0),0)</f>
        <v>75</v>
      </c>
      <c r="AA31" s="12">
        <f t="shared" si="5"/>
        <v>420</v>
      </c>
      <c r="AB31" s="12" cm="1">
        <f t="array" ref="AB31">INDEX(municipality_wind_potential!$Y:$Y,MATCH(municipalities!$F31,municipality_wind_potential!$E:$E,0),0) / 3.6</f>
        <v>1201.536111111111</v>
      </c>
      <c r="AC31" s="12">
        <f t="shared" si="6"/>
        <v>90.830333573314135</v>
      </c>
      <c r="AD31" s="12" cm="1">
        <f t="array" ref="AD31">INDEX(municipality_pv_potential!$G:$G,MATCH(municipalities!$A31,municipality_pv_potential!$E:$E,0),0)/3.6*$AH$4</f>
        <v>84.108888888888885</v>
      </c>
      <c r="AE31" s="12">
        <f t="shared" si="7"/>
        <v>331.47048236141109</v>
      </c>
      <c r="AF31" s="12" cm="1">
        <f t="array" ref="AF31">INDEX(municipality_pv_potential!$H:$H,MATCH(municipalities!$A31,municipality_pv_potential!$E:$E,0),0)/3.6</f>
        <v>306.94166666666666</v>
      </c>
      <c r="AG31" s="12"/>
      <c r="AJ31">
        <v>33.200000000000003</v>
      </c>
      <c r="AK31">
        <v>3.4</v>
      </c>
      <c r="AL31">
        <v>6</v>
      </c>
      <c r="AM31">
        <v>8.5</v>
      </c>
      <c r="AN31">
        <v>148.30000000000001</v>
      </c>
    </row>
    <row r="32" spans="1:40" x14ac:dyDescent="0.25">
      <c r="A32" s="5" t="s">
        <v>110</v>
      </c>
      <c r="B32" s="6" t="s">
        <v>111</v>
      </c>
      <c r="C32" s="7" t="s">
        <v>112</v>
      </c>
      <c r="D32" s="7" t="s">
        <v>112</v>
      </c>
      <c r="E32" s="7" t="s">
        <v>22</v>
      </c>
      <c r="F32" s="7" t="s">
        <v>110</v>
      </c>
      <c r="G32" s="7" t="str" cm="1">
        <f t="array" ref="G32">INDEX('municipalities per province'!F:F,MATCH(municipalities!A32,'municipalities per province'!B:B,0),0)</f>
        <v>Overijssel</v>
      </c>
      <c r="H32" s="7" t="str" cm="1">
        <f t="array" ref="H32">INDEX('municipalities per province'!E:E,MATCH(municipalities!$A32,'municipalities per province'!$B:$B,0),0)</f>
        <v>PV23</v>
      </c>
      <c r="I32" s="7" t="str" cm="1">
        <f t="array" ref="I32">INDEX('municipalities per province'!G:G,MATCH(municipalities!$A32,'municipalities per province'!$B:$B,0),0)</f>
        <v>Twente</v>
      </c>
      <c r="J32" s="7" t="str" cm="1">
        <f t="array" ref="J32">INDEX('municipalities per province'!H:H,MATCH(municipalities!$A32,'municipalities per province'!$B:$B,0),0)</f>
        <v>ES04</v>
      </c>
      <c r="K32" s="7" cm="1">
        <f t="array" ref="K32">INDEX(coordinates!C:C,MATCH(municipalities!$A32,coordinates!$A:$A,0),0)</f>
        <v>6.7782226605381481</v>
      </c>
      <c r="L32" s="7" cm="1">
        <f t="array" ref="L32">INDEX(coordinates!D:D,MATCH(municipalities!$A32,coordinates!$A:$A,0),0)</f>
        <v>52.254918252444099</v>
      </c>
      <c r="M32" s="8">
        <v>1</v>
      </c>
      <c r="N32" s="9">
        <v>82311</v>
      </c>
      <c r="O32" s="9">
        <v>41544</v>
      </c>
      <c r="P32" s="9">
        <v>40767</v>
      </c>
      <c r="Q32" s="9">
        <v>2</v>
      </c>
      <c r="R32" s="10">
        <v>1872</v>
      </c>
      <c r="S32" s="11">
        <v>57</v>
      </c>
      <c r="T32" s="11">
        <v>43</v>
      </c>
      <c r="U32" s="12">
        <f t="shared" si="0"/>
        <v>31.2</v>
      </c>
      <c r="V32" s="12">
        <f t="shared" si="1"/>
        <v>7.1</v>
      </c>
      <c r="W32" s="12">
        <f t="shared" si="2"/>
        <v>11.3</v>
      </c>
      <c r="X32" s="12">
        <f t="shared" si="3"/>
        <v>14.1</v>
      </c>
      <c r="Y32" s="12">
        <f t="shared" si="4"/>
        <v>57.9</v>
      </c>
      <c r="Z32" s="12" cm="1">
        <f t="array" ref="Z32">INDEX(municipality_wind_potential!$X:$X,MATCH(municipalities!$F32,municipality_wind_potential!$E:$E,0),0)</f>
        <v>6</v>
      </c>
      <c r="AA32" s="12">
        <f t="shared" si="5"/>
        <v>33.599999999999994</v>
      </c>
      <c r="AB32" s="12" cm="1">
        <f t="array" ref="AB32">INDEX(municipality_wind_potential!$Y:$Y,MATCH(municipalities!$F32,municipality_wind_potential!$E:$E,0),0) / 3.6</f>
        <v>81.61944444444444</v>
      </c>
      <c r="AC32" s="12">
        <f t="shared" si="6"/>
        <v>130.90472762179024</v>
      </c>
      <c r="AD32" s="12" cm="1">
        <f t="array" ref="AD32">INDEX(municipality_pv_potential!$G:$G,MATCH(municipalities!$A32,municipality_pv_potential!$E:$E,0),0)/3.6*$AH$4</f>
        <v>121.21777777777777</v>
      </c>
      <c r="AE32" s="12">
        <f t="shared" si="7"/>
        <v>91.087712982961349</v>
      </c>
      <c r="AF32" s="12" cm="1">
        <f t="array" ref="AF32">INDEX(municipality_pv_potential!$H:$H,MATCH(municipalities!$A32,municipality_pv_potential!$E:$E,0),0)/3.6</f>
        <v>84.347222222222214</v>
      </c>
      <c r="AG32" s="12"/>
      <c r="AJ32">
        <v>31.2</v>
      </c>
      <c r="AK32">
        <v>7.1</v>
      </c>
      <c r="AL32">
        <v>11.3</v>
      </c>
      <c r="AM32">
        <v>14.1</v>
      </c>
      <c r="AN32">
        <v>57.9</v>
      </c>
    </row>
    <row r="33" spans="1:40" x14ac:dyDescent="0.25">
      <c r="A33" s="5" t="s">
        <v>113</v>
      </c>
      <c r="B33" s="6" t="s">
        <v>114</v>
      </c>
      <c r="C33" s="7" t="s">
        <v>115</v>
      </c>
      <c r="D33" s="7" t="s">
        <v>115</v>
      </c>
      <c r="E33" s="7" t="s">
        <v>22</v>
      </c>
      <c r="F33" s="7" t="s">
        <v>113</v>
      </c>
      <c r="G33" s="7" t="str" cm="1">
        <f t="array" ref="G33">INDEX('municipalities per province'!F:F,MATCH(municipalities!A33,'municipalities per province'!B:B,0),0)</f>
        <v>Overijssel</v>
      </c>
      <c r="H33" s="7" t="str" cm="1">
        <f t="array" ref="H33">INDEX('municipalities per province'!E:E,MATCH(municipalities!$A33,'municipalities per province'!$B:$B,0),0)</f>
        <v>PV23</v>
      </c>
      <c r="I33" s="7" t="str" cm="1">
        <f t="array" ref="I33">INDEX('municipalities per province'!G:G,MATCH(municipalities!$A33,'municipalities per province'!$B:$B,0),0)</f>
        <v>West-Overijssel</v>
      </c>
      <c r="J33" s="7" t="str" cm="1">
        <f t="array" ref="J33">INDEX('municipalities per province'!H:H,MATCH(municipalities!$A33,'municipalities per province'!$B:$B,0),0)</f>
        <v>ES05</v>
      </c>
      <c r="K33" s="7" cm="1">
        <f t="array" ref="K33">INDEX(coordinates!C:C,MATCH(municipalities!$A33,coordinates!$A:$A,0),0)</f>
        <v>5.8257826034012323</v>
      </c>
      <c r="L33" s="7" cm="1">
        <f t="array" ref="L33">INDEX(coordinates!D:D,MATCH(municipalities!$A33,coordinates!$A:$A,0),0)</f>
        <v>52.592078938156597</v>
      </c>
      <c r="M33" s="8">
        <v>1</v>
      </c>
      <c r="N33" s="9">
        <v>55614</v>
      </c>
      <c r="O33" s="9">
        <v>27804</v>
      </c>
      <c r="P33" s="9">
        <v>27810</v>
      </c>
      <c r="Q33" s="9">
        <v>3</v>
      </c>
      <c r="R33" s="10">
        <v>1476</v>
      </c>
      <c r="S33" s="11">
        <v>63</v>
      </c>
      <c r="T33" s="11">
        <v>37</v>
      </c>
      <c r="U33" s="12">
        <f t="shared" si="0"/>
        <v>31.8</v>
      </c>
      <c r="V33" s="12">
        <f t="shared" si="1"/>
        <v>4.9000000000000004</v>
      </c>
      <c r="W33" s="12">
        <f t="shared" si="2"/>
        <v>8.4</v>
      </c>
      <c r="X33" s="12">
        <f t="shared" si="3"/>
        <v>11.2</v>
      </c>
      <c r="Y33" s="12">
        <f t="shared" si="4"/>
        <v>92.5</v>
      </c>
      <c r="Z33" s="12" cm="1">
        <f t="array" ref="Z33">INDEX(municipality_wind_potential!$X:$X,MATCH(municipalities!$F33,municipality_wind_potential!$E:$E,0),0)</f>
        <v>94</v>
      </c>
      <c r="AA33" s="12">
        <f t="shared" si="5"/>
        <v>526.4</v>
      </c>
      <c r="AB33" s="12" cm="1">
        <f t="array" ref="AB33">INDEX(municipality_wind_potential!$Y:$Y,MATCH(municipalities!$F33,municipality_wind_potential!$E:$E,0),0) / 3.6</f>
        <v>1668.6888888888889</v>
      </c>
      <c r="AC33" s="12">
        <f t="shared" si="6"/>
        <v>96.556875449964011</v>
      </c>
      <c r="AD33" s="12" cm="1">
        <f t="array" ref="AD33">INDEX(municipality_pv_potential!$G:$G,MATCH(municipalities!$A33,municipality_pv_potential!$E:$E,0),0)/3.6*$AH$4</f>
        <v>89.411666666666676</v>
      </c>
      <c r="AE33" s="12">
        <f t="shared" si="7"/>
        <v>502.48080153587716</v>
      </c>
      <c r="AF33" s="12" cm="1">
        <f t="array" ref="AF33">INDEX(municipality_pv_potential!$H:$H,MATCH(municipalities!$A33,municipality_pv_potential!$E:$E,0),0)/3.6</f>
        <v>465.29722222222222</v>
      </c>
      <c r="AG33" s="12"/>
      <c r="AJ33">
        <v>31.8</v>
      </c>
      <c r="AK33">
        <v>4.9000000000000004</v>
      </c>
      <c r="AL33">
        <v>8.4</v>
      </c>
      <c r="AM33">
        <v>11.2</v>
      </c>
      <c r="AN33">
        <v>92.5</v>
      </c>
    </row>
    <row r="34" spans="1:40" x14ac:dyDescent="0.25">
      <c r="A34" s="5" t="s">
        <v>116</v>
      </c>
      <c r="B34" s="6" t="s">
        <v>117</v>
      </c>
      <c r="C34" s="7" t="s">
        <v>118</v>
      </c>
      <c r="D34" s="7" t="s">
        <v>118</v>
      </c>
      <c r="E34" s="7" t="s">
        <v>22</v>
      </c>
      <c r="F34" s="7" t="s">
        <v>116</v>
      </c>
      <c r="G34" s="7" t="str" cm="1">
        <f t="array" ref="G34">INDEX('municipalities per province'!F:F,MATCH(municipalities!A34,'municipalities per province'!B:B,0),0)</f>
        <v>Overijssel</v>
      </c>
      <c r="H34" s="7" t="str" cm="1">
        <f t="array" ref="H34">INDEX('municipalities per province'!E:E,MATCH(municipalities!$A34,'municipalities per province'!$B:$B,0),0)</f>
        <v>PV23</v>
      </c>
      <c r="I34" s="7" t="str" cm="1">
        <f t="array" ref="I34">INDEX('municipalities per province'!G:G,MATCH(municipalities!$A34,'municipalities per province'!$B:$B,0),0)</f>
        <v>Twente</v>
      </c>
      <c r="J34" s="7" t="str" cm="1">
        <f t="array" ref="J34">INDEX('municipalities per province'!H:H,MATCH(municipalities!$A34,'municipalities per province'!$B:$B,0),0)</f>
        <v>ES04</v>
      </c>
      <c r="K34" s="7" cm="1">
        <f t="array" ref="K34">INDEX(coordinates!C:C,MATCH(municipalities!$A34,coordinates!$A:$A,0),0)</f>
        <v>7.0027509685862563</v>
      </c>
      <c r="L34" s="7" cm="1">
        <f t="array" ref="L34">INDEX(coordinates!D:D,MATCH(municipalities!$A34,coordinates!$A:$A,0),0)</f>
        <v>52.302844869199923</v>
      </c>
      <c r="M34" s="8">
        <v>1</v>
      </c>
      <c r="N34" s="9">
        <v>23362</v>
      </c>
      <c r="O34" s="9">
        <v>11793</v>
      </c>
      <c r="P34" s="9">
        <v>11569</v>
      </c>
      <c r="Q34" s="9">
        <v>4</v>
      </c>
      <c r="R34" s="10">
        <v>761</v>
      </c>
      <c r="S34" s="11">
        <v>70</v>
      </c>
      <c r="T34" s="11">
        <v>30</v>
      </c>
      <c r="U34" s="12">
        <f t="shared" si="0"/>
        <v>33</v>
      </c>
      <c r="V34" s="12">
        <f t="shared" si="1"/>
        <v>4.5</v>
      </c>
      <c r="W34" s="12">
        <f t="shared" si="2"/>
        <v>7.5</v>
      </c>
      <c r="X34" s="12">
        <f t="shared" si="3"/>
        <v>10.4</v>
      </c>
      <c r="Y34" s="12">
        <f t="shared" si="4"/>
        <v>134.80000000000001</v>
      </c>
      <c r="Z34" s="12" cm="1">
        <f t="array" ref="Z34">INDEX(municipality_wind_potential!$X:$X,MATCH(municipalities!$F34,municipality_wind_potential!$E:$E,0),0)</f>
        <v>27</v>
      </c>
      <c r="AA34" s="12">
        <f t="shared" si="5"/>
        <v>151.19999999999999</v>
      </c>
      <c r="AB34" s="12" cm="1">
        <f t="array" ref="AB34">INDEX(municipality_wind_potential!$Y:$Y,MATCH(municipalities!$F34,municipality_wind_potential!$E:$E,0),0) / 3.6</f>
        <v>400.68055555555554</v>
      </c>
      <c r="AC34" s="12">
        <f t="shared" si="6"/>
        <v>54.802015838732906</v>
      </c>
      <c r="AD34" s="12" cm="1">
        <f t="array" ref="AD34">INDEX(municipality_pv_potential!$G:$G,MATCH(municipalities!$A34,municipality_pv_potential!$E:$E,0),0)/3.6*$AH$4</f>
        <v>50.74666666666667</v>
      </c>
      <c r="AE34" s="12">
        <f t="shared" si="7"/>
        <v>298.02915766738658</v>
      </c>
      <c r="AF34" s="12" cm="1">
        <f t="array" ref="AF34">INDEX(municipality_pv_potential!$H:$H,MATCH(municipalities!$A34,municipality_pv_potential!$E:$E,0),0)/3.6</f>
        <v>275.97499999999997</v>
      </c>
      <c r="AG34" s="12"/>
      <c r="AJ34">
        <v>33</v>
      </c>
      <c r="AK34">
        <v>4.5</v>
      </c>
      <c r="AL34">
        <v>7.5</v>
      </c>
      <c r="AM34">
        <v>10.4</v>
      </c>
      <c r="AN34">
        <v>134.80000000000001</v>
      </c>
    </row>
    <row r="35" spans="1:40" x14ac:dyDescent="0.25">
      <c r="A35" s="5" t="s">
        <v>119</v>
      </c>
      <c r="B35" s="6" t="s">
        <v>120</v>
      </c>
      <c r="C35" s="7" t="s">
        <v>121</v>
      </c>
      <c r="D35" s="7" t="s">
        <v>121</v>
      </c>
      <c r="E35" s="7" t="s">
        <v>22</v>
      </c>
      <c r="F35" s="7" t="s">
        <v>119</v>
      </c>
      <c r="G35" s="7" t="str" cm="1">
        <f t="array" ref="G35">INDEX('municipalities per province'!F:F,MATCH(municipalities!A35,'municipalities per province'!B:B,0),0)</f>
        <v>Flevoland</v>
      </c>
      <c r="H35" s="7" t="str" cm="1">
        <f t="array" ref="H35">INDEX('municipalities per province'!E:E,MATCH(municipalities!$A35,'municipalities per province'!$B:$B,0),0)</f>
        <v>PV24</v>
      </c>
      <c r="I35" s="7" t="str" cm="1">
        <f t="array" ref="I35">INDEX('municipalities per province'!G:G,MATCH(municipalities!$A35,'municipalities per province'!$B:$B,0),0)</f>
        <v>Flevoland</v>
      </c>
      <c r="J35" s="7" t="str" cm="1">
        <f t="array" ref="J35">INDEX('municipalities per province'!H:H,MATCH(municipalities!$A35,'municipalities per province'!$B:$B,0),0)</f>
        <v>ES06</v>
      </c>
      <c r="K35" s="7" cm="1">
        <f t="array" ref="K35">INDEX(coordinates!C:C,MATCH(municipalities!$A35,coordinates!$A:$A,0),0)</f>
        <v>5.5888854383403324</v>
      </c>
      <c r="L35" s="7" cm="1">
        <f t="array" ref="L35">INDEX(coordinates!D:D,MATCH(municipalities!$A35,coordinates!$A:$A,0),0)</f>
        <v>52.72806696282867</v>
      </c>
      <c r="M35" s="8">
        <v>1</v>
      </c>
      <c r="N35" s="9">
        <v>49729</v>
      </c>
      <c r="O35" s="9">
        <v>25127</v>
      </c>
      <c r="P35" s="9">
        <v>24602</v>
      </c>
      <c r="Q35" s="9">
        <v>4</v>
      </c>
      <c r="R35" s="10">
        <v>743</v>
      </c>
      <c r="S35" s="11">
        <v>66</v>
      </c>
      <c r="T35" s="11">
        <v>34</v>
      </c>
      <c r="U35" s="12">
        <f t="shared" si="0"/>
        <v>32.799999999999997</v>
      </c>
      <c r="V35" s="12">
        <f t="shared" si="1"/>
        <v>5.4</v>
      </c>
      <c r="W35" s="12">
        <f t="shared" si="2"/>
        <v>8.1999999999999993</v>
      </c>
      <c r="X35" s="12">
        <f t="shared" si="3"/>
        <v>10.4</v>
      </c>
      <c r="Y35" s="12">
        <f t="shared" si="4"/>
        <v>87.1</v>
      </c>
      <c r="Z35" s="12" cm="1">
        <f t="array" ref="Z35">INDEX(municipality_wind_potential!$X:$X,MATCH(municipalities!$F35,municipality_wind_potential!$E:$E,0),0)</f>
        <v>381</v>
      </c>
      <c r="AA35" s="12">
        <f t="shared" si="5"/>
        <v>2133.6</v>
      </c>
      <c r="AB35" s="12" cm="1">
        <f t="array" ref="AB35">INDEX(municipality_wind_potential!$Y:$Y,MATCH(municipalities!$F35,municipality_wind_potential!$E:$E,0),0) / 3.6</f>
        <v>7457.8</v>
      </c>
      <c r="AC35" s="12">
        <f t="shared" si="6"/>
        <v>173.4419246460283</v>
      </c>
      <c r="AD35" s="12" cm="1">
        <f t="array" ref="AD35">INDEX(municipality_pv_potential!$G:$G,MATCH(municipalities!$A35,municipality_pv_potential!$E:$E,0),0)/3.6*$AH$4</f>
        <v>160.60722222222222</v>
      </c>
      <c r="AE35" s="12">
        <f t="shared" si="7"/>
        <v>1986.93904487641</v>
      </c>
      <c r="AF35" s="12" cm="1">
        <f t="array" ref="AF35">INDEX(municipality_pv_potential!$H:$H,MATCH(municipalities!$A35,municipality_pv_potential!$E:$E,0),0)/3.6</f>
        <v>1839.9055555555556</v>
      </c>
      <c r="AG35" s="12"/>
      <c r="AJ35">
        <v>32.799999999999997</v>
      </c>
      <c r="AK35">
        <v>5.4</v>
      </c>
      <c r="AL35">
        <v>8.1999999999999993</v>
      </c>
      <c r="AM35">
        <v>10.4</v>
      </c>
      <c r="AN35">
        <v>87.1</v>
      </c>
    </row>
    <row r="36" spans="1:40" x14ac:dyDescent="0.25">
      <c r="A36" s="5" t="s">
        <v>122</v>
      </c>
      <c r="B36" s="6" t="s">
        <v>123</v>
      </c>
      <c r="C36" s="7" t="s">
        <v>124</v>
      </c>
      <c r="D36" s="7" t="s">
        <v>124</v>
      </c>
      <c r="E36" s="7" t="s">
        <v>22</v>
      </c>
      <c r="F36" s="7" t="s">
        <v>122</v>
      </c>
      <c r="G36" s="7" t="str" cm="1">
        <f t="array" ref="G36">INDEX('municipalities per province'!F:F,MATCH(municipalities!A36,'municipalities per province'!B:B,0),0)</f>
        <v>Overijssel</v>
      </c>
      <c r="H36" s="7" t="str" cm="1">
        <f t="array" ref="H36">INDEX('municipalities per province'!E:E,MATCH(municipalities!$A36,'municipalities per province'!$B:$B,0),0)</f>
        <v>PV23</v>
      </c>
      <c r="I36" s="7" t="str" cm="1">
        <f t="array" ref="I36">INDEX('municipalities per province'!G:G,MATCH(municipalities!$A36,'municipalities per province'!$B:$B,0),0)</f>
        <v>Twente</v>
      </c>
      <c r="J36" s="7" t="str" cm="1">
        <f t="array" ref="J36">INDEX('municipalities per province'!H:H,MATCH(municipalities!$A36,'municipalities per province'!$B:$B,0),0)</f>
        <v>ES04</v>
      </c>
      <c r="K36" s="7" cm="1">
        <f t="array" ref="K36">INDEX(coordinates!C:C,MATCH(municipalities!$A36,coordinates!$A:$A,0),0)</f>
        <v>6.9110434334817681</v>
      </c>
      <c r="L36" s="7" cm="1">
        <f t="array" ref="L36">INDEX(coordinates!D:D,MATCH(municipalities!$A36,coordinates!$A:$A,0),0)</f>
        <v>52.307726946938637</v>
      </c>
      <c r="M36" s="8">
        <v>1</v>
      </c>
      <c r="N36" s="9">
        <v>31925</v>
      </c>
      <c r="O36" s="9">
        <v>15809</v>
      </c>
      <c r="P36" s="9">
        <v>16116</v>
      </c>
      <c r="Q36" s="9">
        <v>3</v>
      </c>
      <c r="R36" s="10">
        <v>1487</v>
      </c>
      <c r="S36" s="11">
        <v>62</v>
      </c>
      <c r="T36" s="11">
        <v>38</v>
      </c>
      <c r="U36" s="12">
        <f t="shared" si="0"/>
        <v>32.700000000000003</v>
      </c>
      <c r="V36" s="12">
        <f t="shared" si="1"/>
        <v>5</v>
      </c>
      <c r="W36" s="12">
        <f t="shared" si="2"/>
        <v>8.8000000000000007</v>
      </c>
      <c r="X36" s="12">
        <f t="shared" si="3"/>
        <v>11.6</v>
      </c>
      <c r="Y36" s="12">
        <f t="shared" si="4"/>
        <v>97.9</v>
      </c>
      <c r="Z36" s="12" cm="1">
        <f t="array" ref="Z36">INDEX(municipality_wind_potential!$X:$X,MATCH(municipalities!$F36,municipality_wind_potential!$E:$E,0),0)</f>
        <v>0</v>
      </c>
      <c r="AA36" s="12">
        <f t="shared" si="5"/>
        <v>0</v>
      </c>
      <c r="AB36" s="12" cm="1">
        <f t="array" ref="AB36">INDEX(municipality_wind_potential!$Y:$Y,MATCH(municipalities!$F36,municipality_wind_potential!$E:$E,0),0) / 3.6</f>
        <v>0</v>
      </c>
      <c r="AC36" s="12">
        <f t="shared" si="6"/>
        <v>57.924166066714662</v>
      </c>
      <c r="AD36" s="12" cm="1">
        <f t="array" ref="AD36">INDEX(municipality_pv_potential!$G:$G,MATCH(municipalities!$A36,municipality_pv_potential!$E:$E,0),0)/3.6*$AH$4</f>
        <v>53.637777777777778</v>
      </c>
      <c r="AE36" s="12">
        <f t="shared" si="7"/>
        <v>22.132229421646265</v>
      </c>
      <c r="AF36" s="12" cm="1">
        <f t="array" ref="AF36">INDEX(municipality_pv_potential!$H:$H,MATCH(municipalities!$A36,municipality_pv_potential!$E:$E,0),0)/3.6</f>
        <v>20.494444444444444</v>
      </c>
      <c r="AG36" s="12"/>
      <c r="AJ36">
        <v>32.700000000000003</v>
      </c>
      <c r="AK36">
        <v>5</v>
      </c>
      <c r="AL36">
        <v>8.8000000000000007</v>
      </c>
      <c r="AM36">
        <v>11.6</v>
      </c>
      <c r="AN36">
        <v>97.9</v>
      </c>
    </row>
    <row r="37" spans="1:40" x14ac:dyDescent="0.25">
      <c r="A37" s="5" t="s">
        <v>125</v>
      </c>
      <c r="B37" s="6" t="s">
        <v>126</v>
      </c>
      <c r="C37" s="7" t="s">
        <v>127</v>
      </c>
      <c r="D37" s="7" t="s">
        <v>127</v>
      </c>
      <c r="E37" s="7" t="s">
        <v>22</v>
      </c>
      <c r="F37" s="7" t="s">
        <v>125</v>
      </c>
      <c r="G37" s="7" t="str" cm="1">
        <f t="array" ref="G37">INDEX('municipalities per province'!F:F,MATCH(municipalities!A37,'municipalities per province'!B:B,0),0)</f>
        <v>Overijssel</v>
      </c>
      <c r="H37" s="7" t="str" cm="1">
        <f t="array" ref="H37">INDEX('municipalities per province'!E:E,MATCH(municipalities!$A37,'municipalities per province'!$B:$B,0),0)</f>
        <v>PV23</v>
      </c>
      <c r="I37" s="7" t="str" cm="1">
        <f t="array" ref="I37">INDEX('municipalities per province'!G:G,MATCH(municipalities!$A37,'municipalities per province'!$B:$B,0),0)</f>
        <v>West-Overijssel</v>
      </c>
      <c r="J37" s="7" t="str" cm="1">
        <f t="array" ref="J37">INDEX('municipalities per province'!H:H,MATCH(municipalities!$A37,'municipalities per province'!$B:$B,0),0)</f>
        <v>ES05</v>
      </c>
      <c r="K37" s="7" cm="1">
        <f t="array" ref="K37">INDEX(coordinates!C:C,MATCH(municipalities!$A37,coordinates!$A:$A,0),0)</f>
        <v>6.4347548106601238</v>
      </c>
      <c r="L37" s="7" cm="1">
        <f t="array" ref="L37">INDEX(coordinates!D:D,MATCH(municipalities!$A37,coordinates!$A:$A,0),0)</f>
        <v>52.516144257927543</v>
      </c>
      <c r="M37" s="8">
        <v>1</v>
      </c>
      <c r="N37" s="9">
        <v>18955</v>
      </c>
      <c r="O37" s="9">
        <v>9562</v>
      </c>
      <c r="P37" s="9">
        <v>9393</v>
      </c>
      <c r="Q37" s="9">
        <v>4</v>
      </c>
      <c r="R37" s="10">
        <v>512</v>
      </c>
      <c r="S37" s="11">
        <v>71</v>
      </c>
      <c r="T37" s="11">
        <v>29</v>
      </c>
      <c r="U37" s="12">
        <f t="shared" si="0"/>
        <v>34.299999999999997</v>
      </c>
      <c r="V37" s="12">
        <f t="shared" si="1"/>
        <v>4.5</v>
      </c>
      <c r="W37" s="12">
        <f t="shared" si="2"/>
        <v>7</v>
      </c>
      <c r="X37" s="12">
        <f t="shared" si="3"/>
        <v>9</v>
      </c>
      <c r="Y37" s="12">
        <f t="shared" si="4"/>
        <v>170.2</v>
      </c>
      <c r="Z37" s="12" cm="1">
        <f t="array" ref="Z37">INDEX(municipality_wind_potential!$X:$X,MATCH(municipalities!$F37,municipality_wind_potential!$E:$E,0),0)</f>
        <v>111</v>
      </c>
      <c r="AA37" s="12">
        <f t="shared" si="5"/>
        <v>621.59999999999991</v>
      </c>
      <c r="AB37" s="12" cm="1">
        <f t="array" ref="AB37">INDEX(municipality_wind_potential!$Y:$Y,MATCH(municipalities!$F37,municipality_wind_potential!$E:$E,0),0) / 3.6</f>
        <v>1782.1444444444444</v>
      </c>
      <c r="AC37" s="12">
        <f t="shared" si="6"/>
        <v>67.588792896568279</v>
      </c>
      <c r="AD37" s="12" cm="1">
        <f t="array" ref="AD37">INDEX(municipality_pv_potential!$G:$G,MATCH(municipalities!$A37,municipality_pv_potential!$E:$E,0),0)/3.6*$AH$4</f>
        <v>62.587222222222216</v>
      </c>
      <c r="AE37" s="12">
        <f t="shared" si="7"/>
        <v>473.91708663306929</v>
      </c>
      <c r="AF37" s="12" cm="1">
        <f t="array" ref="AF37">INDEX(municipality_pv_potential!$H:$H,MATCH(municipalities!$A37,municipality_pv_potential!$E:$E,0),0)/3.6</f>
        <v>438.84722222222217</v>
      </c>
      <c r="AG37" s="12"/>
      <c r="AJ37">
        <v>34.299999999999997</v>
      </c>
      <c r="AK37">
        <v>4.5</v>
      </c>
      <c r="AL37">
        <v>7</v>
      </c>
      <c r="AM37">
        <v>9</v>
      </c>
      <c r="AN37">
        <v>170.2</v>
      </c>
    </row>
    <row r="38" spans="1:40" x14ac:dyDescent="0.25">
      <c r="A38" s="5" t="s">
        <v>128</v>
      </c>
      <c r="B38" s="6" t="s">
        <v>129</v>
      </c>
      <c r="C38" s="7" t="s">
        <v>130</v>
      </c>
      <c r="D38" s="7" t="s">
        <v>130</v>
      </c>
      <c r="E38" s="7" t="s">
        <v>22</v>
      </c>
      <c r="F38" s="7" t="s">
        <v>128</v>
      </c>
      <c r="G38" s="7" t="str" cm="1">
        <f t="array" ref="G38">INDEX('municipalities per province'!F:F,MATCH(municipalities!A38,'municipalities per province'!B:B,0),0)</f>
        <v>Overijssel</v>
      </c>
      <c r="H38" s="7" t="str" cm="1">
        <f t="array" ref="H38">INDEX('municipalities per province'!E:E,MATCH(municipalities!$A38,'municipalities per province'!$B:$B,0),0)</f>
        <v>PV23</v>
      </c>
      <c r="I38" s="7" t="str" cm="1">
        <f t="array" ref="I38">INDEX('municipalities per province'!G:G,MATCH(municipalities!$A38,'municipalities per province'!$B:$B,0),0)</f>
        <v>West-Overijssel</v>
      </c>
      <c r="J38" s="7" t="str" cm="1">
        <f t="array" ref="J38">INDEX('municipalities per province'!H:H,MATCH(municipalities!$A38,'municipalities per province'!$B:$B,0),0)</f>
        <v>ES05</v>
      </c>
      <c r="K38" s="7" cm="1">
        <f t="array" ref="K38">INDEX(coordinates!C:C,MATCH(municipalities!$A38,coordinates!$A:$A,0),0)</f>
        <v>6.2790194648438922</v>
      </c>
      <c r="L38" s="7" cm="1">
        <f t="array" ref="L38">INDEX(coordinates!D:D,MATCH(municipalities!$A38,coordinates!$A:$A,0),0)</f>
        <v>52.387857590727307</v>
      </c>
      <c r="M38" s="8">
        <v>1</v>
      </c>
      <c r="N38" s="9">
        <v>38500</v>
      </c>
      <c r="O38" s="9">
        <v>19305</v>
      </c>
      <c r="P38" s="9">
        <v>19195</v>
      </c>
      <c r="Q38" s="9">
        <v>4</v>
      </c>
      <c r="R38" s="10">
        <v>667</v>
      </c>
      <c r="S38" s="11">
        <v>69</v>
      </c>
      <c r="T38" s="11">
        <v>31</v>
      </c>
      <c r="U38" s="12">
        <f t="shared" si="0"/>
        <v>34</v>
      </c>
      <c r="V38" s="12">
        <f t="shared" si="1"/>
        <v>3.8</v>
      </c>
      <c r="W38" s="12">
        <f t="shared" si="2"/>
        <v>6.3</v>
      </c>
      <c r="X38" s="12">
        <f t="shared" si="3"/>
        <v>8.6</v>
      </c>
      <c r="Y38" s="12">
        <f t="shared" si="4"/>
        <v>184.6</v>
      </c>
      <c r="Z38" s="12" cm="1">
        <f t="array" ref="Z38">INDEX(municipality_wind_potential!$X:$X,MATCH(municipalities!$F38,municipality_wind_potential!$E:$E,0),0)</f>
        <v>64</v>
      </c>
      <c r="AA38" s="12">
        <f t="shared" si="5"/>
        <v>358.4</v>
      </c>
      <c r="AB38" s="12" cm="1">
        <f t="array" ref="AB38">INDEX(municipality_wind_potential!$Y:$Y,MATCH(municipalities!$F38,municipality_wind_potential!$E:$E,0),0) / 3.6</f>
        <v>1024.1277777777777</v>
      </c>
      <c r="AC38" s="12">
        <f t="shared" si="6"/>
        <v>117.73398128149749</v>
      </c>
      <c r="AD38" s="12" cm="1">
        <f t="array" ref="AD38">INDEX(municipality_pv_potential!$G:$G,MATCH(municipalities!$A38,municipality_pv_potential!$E:$E,0),0)/3.6*$AH$4</f>
        <v>109.02166666666668</v>
      </c>
      <c r="AE38" s="12">
        <f t="shared" si="7"/>
        <v>591.52267818574512</v>
      </c>
      <c r="AF38" s="12" cm="1">
        <f t="array" ref="AF38">INDEX(municipality_pv_potential!$H:$H,MATCH(municipalities!$A38,municipality_pv_potential!$E:$E,0),0)/3.6</f>
        <v>547.75</v>
      </c>
      <c r="AG38" s="12"/>
      <c r="AJ38">
        <v>34</v>
      </c>
      <c r="AK38">
        <v>3.8</v>
      </c>
      <c r="AL38">
        <v>6.3</v>
      </c>
      <c r="AM38">
        <v>8.6</v>
      </c>
      <c r="AN38">
        <v>184.6</v>
      </c>
    </row>
    <row r="39" spans="1:40" x14ac:dyDescent="0.25">
      <c r="A39" s="5" t="s">
        <v>131</v>
      </c>
      <c r="B39" s="6" t="s">
        <v>132</v>
      </c>
      <c r="C39" s="7" t="s">
        <v>133</v>
      </c>
      <c r="D39" s="7" t="s">
        <v>133</v>
      </c>
      <c r="E39" s="7" t="s">
        <v>22</v>
      </c>
      <c r="F39" s="7" t="s">
        <v>131</v>
      </c>
      <c r="G39" s="7" t="str" cm="1">
        <f t="array" ref="G39">INDEX('municipalities per province'!F:F,MATCH(municipalities!A39,'municipalities per province'!B:B,0),0)</f>
        <v>Overijssel</v>
      </c>
      <c r="H39" s="7" t="str" cm="1">
        <f t="array" ref="H39">INDEX('municipalities per province'!E:E,MATCH(municipalities!$A39,'municipalities per province'!$B:$B,0),0)</f>
        <v>PV23</v>
      </c>
      <c r="I39" s="7" t="str" cm="1">
        <f t="array" ref="I39">INDEX('municipalities per province'!G:G,MATCH(municipalities!$A39,'municipalities per province'!$B:$B,0),0)</f>
        <v>West-Overijssel</v>
      </c>
      <c r="J39" s="7" t="str" cm="1">
        <f t="array" ref="J39">INDEX('municipalities per province'!H:H,MATCH(municipalities!$A39,'municipalities per province'!$B:$B,0),0)</f>
        <v>ES05</v>
      </c>
      <c r="K39" s="7" cm="1">
        <f t="array" ref="K39">INDEX(coordinates!C:C,MATCH(municipalities!$A39,coordinates!$A:$A,0),0)</f>
        <v>6.2070837924104598</v>
      </c>
      <c r="L39" s="7" cm="1">
        <f t="array" ref="L39">INDEX(coordinates!D:D,MATCH(municipalities!$A39,coordinates!$A:$A,0),0)</f>
        <v>52.633506866269407</v>
      </c>
      <c r="M39" s="8">
        <v>1</v>
      </c>
      <c r="N39" s="9">
        <v>17628</v>
      </c>
      <c r="O39" s="9">
        <v>9002</v>
      </c>
      <c r="P39" s="9">
        <v>8626</v>
      </c>
      <c r="Q39" s="9">
        <v>5</v>
      </c>
      <c r="R39" s="10">
        <v>360</v>
      </c>
      <c r="S39" s="11">
        <v>78</v>
      </c>
      <c r="T39" s="11">
        <v>22</v>
      </c>
      <c r="U39" s="12">
        <f t="shared" si="0"/>
        <v>34.4</v>
      </c>
      <c r="V39" s="12">
        <f t="shared" si="1"/>
        <v>3.6</v>
      </c>
      <c r="W39" s="12">
        <f t="shared" si="2"/>
        <v>5</v>
      </c>
      <c r="X39" s="12">
        <f t="shared" si="3"/>
        <v>6.7</v>
      </c>
      <c r="Y39" s="12">
        <f t="shared" si="4"/>
        <v>255.3</v>
      </c>
      <c r="Z39" s="12" cm="1">
        <f t="array" ref="Z39">INDEX(municipality_wind_potential!$X:$X,MATCH(municipalities!$F39,municipality_wind_potential!$E:$E,0),0)</f>
        <v>97</v>
      </c>
      <c r="AA39" s="12">
        <f t="shared" si="5"/>
        <v>543.19999999999993</v>
      </c>
      <c r="AB39" s="12" cm="1">
        <f t="array" ref="AB39">INDEX(municipality_wind_potential!$Y:$Y,MATCH(municipalities!$F39,municipality_wind_potential!$E:$E,0),0) / 3.6</f>
        <v>1721.9444444444443</v>
      </c>
      <c r="AC39" s="12">
        <f t="shared" si="6"/>
        <v>51.513678905687549</v>
      </c>
      <c r="AD39" s="12" cm="1">
        <f t="array" ref="AD39">INDEX(municipality_pv_potential!$G:$G,MATCH(municipalities!$A39,municipality_pv_potential!$E:$E,0),0)/3.6*$AH$4</f>
        <v>47.701666666666668</v>
      </c>
      <c r="AE39" s="12">
        <f t="shared" si="7"/>
        <v>497.22822174226053</v>
      </c>
      <c r="AF39" s="12" cm="1">
        <f t="array" ref="AF39">INDEX(municipality_pv_potential!$H:$H,MATCH(municipalities!$A39,municipality_pv_potential!$E:$E,0),0)/3.6</f>
        <v>460.43333333333328</v>
      </c>
      <c r="AG39" s="12"/>
      <c r="AJ39">
        <v>34.4</v>
      </c>
      <c r="AK39">
        <v>3.6</v>
      </c>
      <c r="AL39">
        <v>5</v>
      </c>
      <c r="AM39">
        <v>6.7</v>
      </c>
      <c r="AN39">
        <v>255.3</v>
      </c>
    </row>
    <row r="40" spans="1:40" x14ac:dyDescent="0.25">
      <c r="A40" s="5" t="s">
        <v>134</v>
      </c>
      <c r="B40" s="6" t="s">
        <v>135</v>
      </c>
      <c r="C40" s="7" t="s">
        <v>136</v>
      </c>
      <c r="D40" s="7" t="s">
        <v>136</v>
      </c>
      <c r="E40" s="7" t="s">
        <v>22</v>
      </c>
      <c r="F40" s="7" t="s">
        <v>134</v>
      </c>
      <c r="G40" s="7" t="str" cm="1">
        <f t="array" ref="G40">INDEX('municipalities per province'!F:F,MATCH(municipalities!A40,'municipalities per province'!B:B,0),0)</f>
        <v>Overijssel</v>
      </c>
      <c r="H40" s="7" t="str" cm="1">
        <f t="array" ref="H40">INDEX('municipalities per province'!E:E,MATCH(municipalities!$A40,'municipalities per province'!$B:$B,0),0)</f>
        <v>PV23</v>
      </c>
      <c r="I40" s="7" t="str" cm="1">
        <f t="array" ref="I40">INDEX('municipalities per province'!G:G,MATCH(municipalities!$A40,'municipalities per province'!$B:$B,0),0)</f>
        <v>Twente</v>
      </c>
      <c r="J40" s="7" t="str" cm="1">
        <f t="array" ref="J40">INDEX('municipalities per province'!H:H,MATCH(municipalities!$A40,'municipalities per province'!$B:$B,0),0)</f>
        <v>ES04</v>
      </c>
      <c r="K40" s="7" cm="1">
        <f t="array" ref="K40">INDEX(coordinates!C:C,MATCH(municipalities!$A40,coordinates!$A:$A,0),0)</f>
        <v>6.7766735064405497</v>
      </c>
      <c r="L40" s="7" cm="1">
        <f t="array" ref="L40">INDEX(coordinates!D:D,MATCH(municipalities!$A40,coordinates!$A:$A,0),0)</f>
        <v>52.410592780965459</v>
      </c>
      <c r="M40" s="8">
        <v>1</v>
      </c>
      <c r="N40" s="9">
        <v>21408</v>
      </c>
      <c r="O40" s="9">
        <v>10970</v>
      </c>
      <c r="P40" s="9">
        <v>10438</v>
      </c>
      <c r="Q40" s="9">
        <v>5</v>
      </c>
      <c r="R40" s="10">
        <v>298</v>
      </c>
      <c r="S40" s="11">
        <v>72</v>
      </c>
      <c r="T40" s="11">
        <v>28</v>
      </c>
      <c r="U40" s="12">
        <f t="shared" si="0"/>
        <v>35.700000000000003</v>
      </c>
      <c r="V40" s="12">
        <f t="shared" si="1"/>
        <v>4.0999999999999996</v>
      </c>
      <c r="W40" s="12">
        <f t="shared" si="2"/>
        <v>6.1</v>
      </c>
      <c r="X40" s="12">
        <f t="shared" si="3"/>
        <v>8.1999999999999993</v>
      </c>
      <c r="Y40" s="12">
        <f t="shared" si="4"/>
        <v>250.4</v>
      </c>
      <c r="Z40" s="12" cm="1">
        <f t="array" ref="Z40">INDEX(municipality_wind_potential!$X:$X,MATCH(municipalities!$F40,municipality_wind_potential!$E:$E,0),0)</f>
        <v>70</v>
      </c>
      <c r="AA40" s="12">
        <f t="shared" si="5"/>
        <v>392</v>
      </c>
      <c r="AB40" s="12" cm="1">
        <f t="array" ref="AB40">INDEX(municipality_wind_potential!$Y:$Y,MATCH(municipalities!$F40,municipality_wind_potential!$E:$E,0),0) / 3.6</f>
        <v>1120.8972222222221</v>
      </c>
      <c r="AC40" s="12">
        <f t="shared" si="6"/>
        <v>92.425005999520039</v>
      </c>
      <c r="AD40" s="12" cm="1">
        <f t="array" ref="AD40">INDEX(municipality_pv_potential!$G:$G,MATCH(municipalities!$A40,municipality_pv_potential!$E:$E,0),0)/3.6*$AH$4</f>
        <v>85.585555555555558</v>
      </c>
      <c r="AE40" s="12">
        <f t="shared" si="7"/>
        <v>534.00527957763381</v>
      </c>
      <c r="AF40" s="12" cm="1">
        <f t="array" ref="AF40">INDEX(municipality_pv_potential!$H:$H,MATCH(municipalities!$A40,municipality_pv_potential!$E:$E,0),0)/3.6</f>
        <v>494.48888888888888</v>
      </c>
      <c r="AG40" s="12"/>
      <c r="AJ40">
        <v>35.700000000000003</v>
      </c>
      <c r="AK40">
        <v>4.0999999999999996</v>
      </c>
      <c r="AL40">
        <v>6.1</v>
      </c>
      <c r="AM40">
        <v>8.1999999999999993</v>
      </c>
      <c r="AN40">
        <v>250.4</v>
      </c>
    </row>
    <row r="41" spans="1:40" x14ac:dyDescent="0.25">
      <c r="A41" s="5" t="s">
        <v>137</v>
      </c>
      <c r="B41" s="6" t="s">
        <v>138</v>
      </c>
      <c r="C41" s="7" t="s">
        <v>139</v>
      </c>
      <c r="D41" s="7" t="s">
        <v>139</v>
      </c>
      <c r="E41" s="7" t="s">
        <v>22</v>
      </c>
      <c r="F41" s="7" t="s">
        <v>137</v>
      </c>
      <c r="G41" s="7" t="str" cm="1">
        <f t="array" ref="G41">INDEX('municipalities per province'!F:F,MATCH(municipalities!A41,'municipalities per province'!B:B,0),0)</f>
        <v>Flevoland</v>
      </c>
      <c r="H41" s="7" t="str" cm="1">
        <f t="array" ref="H41">INDEX('municipalities per province'!E:E,MATCH(municipalities!$A41,'municipalities per province'!$B:$B,0),0)</f>
        <v>PV24</v>
      </c>
      <c r="I41" s="7" t="str" cm="1">
        <f t="array" ref="I41">INDEX('municipalities per province'!G:G,MATCH(municipalities!$A41,'municipalities per province'!$B:$B,0),0)</f>
        <v>Flevoland</v>
      </c>
      <c r="J41" s="7" t="str" cm="1">
        <f t="array" ref="J41">INDEX('municipalities per province'!H:H,MATCH(municipalities!$A41,'municipalities per province'!$B:$B,0),0)</f>
        <v>ES06</v>
      </c>
      <c r="K41" s="7" cm="1">
        <f t="array" ref="K41">INDEX(coordinates!C:C,MATCH(municipalities!$A41,coordinates!$A:$A,0),0)</f>
        <v>5.4622626745811518</v>
      </c>
      <c r="L41" s="7" cm="1">
        <f t="array" ref="L41">INDEX(coordinates!D:D,MATCH(municipalities!$A41,coordinates!$A:$A,0),0)</f>
        <v>52.696976471736171</v>
      </c>
      <c r="M41" s="8">
        <v>1</v>
      </c>
      <c r="N41" s="9">
        <v>21829</v>
      </c>
      <c r="O41" s="9">
        <v>11072</v>
      </c>
      <c r="P41" s="9">
        <v>10757</v>
      </c>
      <c r="Q41" s="9">
        <v>3</v>
      </c>
      <c r="R41" s="10">
        <v>1093</v>
      </c>
      <c r="S41" s="11">
        <v>78</v>
      </c>
      <c r="T41" s="11">
        <v>22</v>
      </c>
      <c r="U41" s="12">
        <f t="shared" si="0"/>
        <v>32.9</v>
      </c>
      <c r="V41" s="12">
        <f t="shared" si="1"/>
        <v>3.5</v>
      </c>
      <c r="W41" s="12">
        <f t="shared" si="2"/>
        <v>5.4</v>
      </c>
      <c r="X41" s="12">
        <f t="shared" si="3"/>
        <v>7</v>
      </c>
      <c r="Y41" s="12">
        <f t="shared" si="4"/>
        <v>157.80000000000001</v>
      </c>
      <c r="Z41" s="12" cm="1">
        <f t="array" ref="Z41">INDEX(municipality_wind_potential!$X:$X,MATCH(municipalities!$F41,municipality_wind_potential!$E:$E,0),0)</f>
        <v>5</v>
      </c>
      <c r="AA41" s="12">
        <f t="shared" si="5"/>
        <v>28</v>
      </c>
      <c r="AB41" s="12" cm="1">
        <f t="array" ref="AB41">INDEX(municipality_wind_potential!$Y:$Y,MATCH(municipalities!$F41,municipality_wind_potential!$E:$E,0),0) / 3.6</f>
        <v>98</v>
      </c>
      <c r="AC41" s="12">
        <f t="shared" si="6"/>
        <v>25.200983921286298</v>
      </c>
      <c r="AD41" s="12" cm="1">
        <f t="array" ref="AD41">INDEX(municipality_pv_potential!$G:$G,MATCH(municipalities!$A41,municipality_pv_potential!$E:$E,0),0)/3.6*$AH$4</f>
        <v>23.336111111111112</v>
      </c>
      <c r="AE41" s="12">
        <f t="shared" si="7"/>
        <v>24.838012958963283</v>
      </c>
      <c r="AF41" s="12" cm="1">
        <f t="array" ref="AF41">INDEX(municipality_pv_potential!$H:$H,MATCH(municipalities!$A41,municipality_pv_potential!$E:$E,0),0)/3.6</f>
        <v>23</v>
      </c>
      <c r="AG41" s="12"/>
      <c r="AJ41">
        <v>32.9</v>
      </c>
      <c r="AK41">
        <v>3.5</v>
      </c>
      <c r="AL41">
        <v>5.4</v>
      </c>
      <c r="AM41">
        <v>7</v>
      </c>
      <c r="AN41">
        <v>157.80000000000001</v>
      </c>
    </row>
    <row r="42" spans="1:40" x14ac:dyDescent="0.25">
      <c r="A42" s="5" t="s">
        <v>140</v>
      </c>
      <c r="B42" s="6" t="s">
        <v>141</v>
      </c>
      <c r="C42" s="7" t="s">
        <v>142</v>
      </c>
      <c r="D42" s="7" t="s">
        <v>142</v>
      </c>
      <c r="E42" s="7" t="s">
        <v>22</v>
      </c>
      <c r="F42" s="7" t="s">
        <v>140</v>
      </c>
      <c r="G42" s="7" t="str" cm="1">
        <f t="array" ref="G42">INDEX('municipalities per province'!F:F,MATCH(municipalities!A42,'municipalities per province'!B:B,0),0)</f>
        <v>Overijssel</v>
      </c>
      <c r="H42" s="7" t="str" cm="1">
        <f t="array" ref="H42">INDEX('municipalities per province'!E:E,MATCH(municipalities!$A42,'municipalities per province'!$B:$B,0),0)</f>
        <v>PV23</v>
      </c>
      <c r="I42" s="7" t="str" cm="1">
        <f t="array" ref="I42">INDEX('municipalities per province'!G:G,MATCH(municipalities!$A42,'municipalities per province'!$B:$B,0),0)</f>
        <v>Twente</v>
      </c>
      <c r="J42" s="7" t="str" cm="1">
        <f t="array" ref="J42">INDEX('municipalities per province'!H:H,MATCH(municipalities!$A42,'municipalities per province'!$B:$B,0),0)</f>
        <v>ES04</v>
      </c>
      <c r="K42" s="7" cm="1">
        <f t="array" ref="K42">INDEX(coordinates!C:C,MATCH(municipalities!$A42,coordinates!$A:$A,0),0)</f>
        <v>6.5606139470794957</v>
      </c>
      <c r="L42" s="7" cm="1">
        <f t="array" ref="L42">INDEX(coordinates!D:D,MATCH(municipalities!$A42,coordinates!$A:$A,0),0)</f>
        <v>52.344464533979242</v>
      </c>
      <c r="M42" s="8">
        <v>1</v>
      </c>
      <c r="N42" s="9">
        <v>24862</v>
      </c>
      <c r="O42" s="9">
        <v>12425</v>
      </c>
      <c r="P42" s="9">
        <v>12437</v>
      </c>
      <c r="Q42" s="9">
        <v>4</v>
      </c>
      <c r="R42" s="10">
        <v>712</v>
      </c>
      <c r="S42" s="11">
        <v>73</v>
      </c>
      <c r="T42" s="11">
        <v>27</v>
      </c>
      <c r="U42" s="12">
        <f t="shared" si="0"/>
        <v>36.5</v>
      </c>
      <c r="V42" s="12">
        <f t="shared" si="1"/>
        <v>3.3</v>
      </c>
      <c r="W42" s="12">
        <f t="shared" si="2"/>
        <v>5.5</v>
      </c>
      <c r="X42" s="12">
        <f t="shared" si="3"/>
        <v>7.6</v>
      </c>
      <c r="Y42" s="12">
        <f t="shared" si="4"/>
        <v>187.8</v>
      </c>
      <c r="Z42" s="12" cm="1">
        <f t="array" ref="Z42">INDEX(municipality_wind_potential!$X:$X,MATCH(municipalities!$F42,municipality_wind_potential!$E:$E,0),0)</f>
        <v>40</v>
      </c>
      <c r="AA42" s="12">
        <f t="shared" si="5"/>
        <v>224</v>
      </c>
      <c r="AB42" s="12" cm="1">
        <f t="array" ref="AB42">INDEX(municipality_wind_potential!$Y:$Y,MATCH(municipalities!$F42,municipality_wind_potential!$E:$E,0),0) / 3.6</f>
        <v>593.6</v>
      </c>
      <c r="AC42" s="12">
        <f t="shared" si="6"/>
        <v>65.894528437724972</v>
      </c>
      <c r="AD42" s="12" cm="1">
        <f t="array" ref="AD42">INDEX(municipality_pv_potential!$G:$G,MATCH(municipalities!$A42,municipality_pv_potential!$E:$E,0),0)/3.6*$AH$4</f>
        <v>61.018333333333331</v>
      </c>
      <c r="AE42" s="12">
        <f t="shared" si="7"/>
        <v>288.6159107271418</v>
      </c>
      <c r="AF42" s="12" cm="1">
        <f t="array" ref="AF42">INDEX(municipality_pv_potential!$H:$H,MATCH(municipalities!$A42,municipality_pv_potential!$E:$E,0),0)/3.6</f>
        <v>267.25833333333333</v>
      </c>
      <c r="AG42" s="12"/>
      <c r="AJ42">
        <v>36.5</v>
      </c>
      <c r="AK42">
        <v>3.3</v>
      </c>
      <c r="AL42">
        <v>5.5</v>
      </c>
      <c r="AM42">
        <v>7.6</v>
      </c>
      <c r="AN42">
        <v>187.8</v>
      </c>
    </row>
    <row r="43" spans="1:40" x14ac:dyDescent="0.25">
      <c r="A43" s="5" t="s">
        <v>143</v>
      </c>
      <c r="B43" s="6" t="s">
        <v>144</v>
      </c>
      <c r="C43" s="7" t="s">
        <v>145</v>
      </c>
      <c r="D43" s="7" t="s">
        <v>145</v>
      </c>
      <c r="E43" s="7" t="s">
        <v>22</v>
      </c>
      <c r="F43" s="7" t="s">
        <v>143</v>
      </c>
      <c r="G43" s="7" t="str" cm="1">
        <f t="array" ref="G43">INDEX('municipalities per province'!F:F,MATCH(municipalities!A43,'municipalities per province'!B:B,0),0)</f>
        <v>Overijssel</v>
      </c>
      <c r="H43" s="7" t="str" cm="1">
        <f t="array" ref="H43">INDEX('municipalities per province'!E:E,MATCH(municipalities!$A43,'municipalities per province'!$B:$B,0),0)</f>
        <v>PV23</v>
      </c>
      <c r="I43" s="7" t="str" cm="1">
        <f t="array" ref="I43">INDEX('municipalities per province'!G:G,MATCH(municipalities!$A43,'municipalities per province'!$B:$B,0),0)</f>
        <v>West-Overijssel</v>
      </c>
      <c r="J43" s="7" t="str" cm="1">
        <f t="array" ref="J43">INDEX('municipalities per province'!H:H,MATCH(municipalities!$A43,'municipalities per province'!$B:$B,0),0)</f>
        <v>ES05</v>
      </c>
      <c r="K43" s="7" cm="1">
        <f t="array" ref="K43">INDEX(coordinates!C:C,MATCH(municipalities!$A43,coordinates!$A:$A,0),0)</f>
        <v>6.1183656105870918</v>
      </c>
      <c r="L43" s="7" cm="1">
        <f t="array" ref="L43">INDEX(coordinates!D:D,MATCH(municipalities!$A43,coordinates!$A:$A,0),0)</f>
        <v>52.51870031912631</v>
      </c>
      <c r="M43" s="8">
        <v>1</v>
      </c>
      <c r="N43" s="9">
        <v>132411</v>
      </c>
      <c r="O43" s="9">
        <v>65183</v>
      </c>
      <c r="P43" s="9">
        <v>67228</v>
      </c>
      <c r="Q43" s="9">
        <v>2</v>
      </c>
      <c r="R43" s="10">
        <v>2093</v>
      </c>
      <c r="S43" s="11">
        <v>53</v>
      </c>
      <c r="T43" s="11">
        <v>47</v>
      </c>
      <c r="U43" s="12">
        <f t="shared" si="0"/>
        <v>32.200000000000003</v>
      </c>
      <c r="V43" s="12">
        <f t="shared" si="1"/>
        <v>6.7</v>
      </c>
      <c r="W43" s="12">
        <f t="shared" si="2"/>
        <v>10.5</v>
      </c>
      <c r="X43" s="12">
        <f t="shared" si="3"/>
        <v>13</v>
      </c>
      <c r="Y43" s="12">
        <f t="shared" si="4"/>
        <v>66.099999999999994</v>
      </c>
      <c r="Z43" s="12" cm="1">
        <f t="array" ref="Z43">INDEX(municipality_wind_potential!$X:$X,MATCH(municipalities!$F43,municipality_wind_potential!$E:$E,0),0)</f>
        <v>51</v>
      </c>
      <c r="AA43" s="12">
        <f t="shared" si="5"/>
        <v>285.59999999999997</v>
      </c>
      <c r="AB43" s="12" cm="1">
        <f t="array" ref="AB43">INDEX(municipality_wind_potential!$Y:$Y,MATCH(municipalities!$F43,municipality_wind_potential!$E:$E,0),0) / 3.6</f>
        <v>896.47499999999991</v>
      </c>
      <c r="AC43" s="12">
        <f t="shared" si="6"/>
        <v>171.41588672906167</v>
      </c>
      <c r="AD43" s="12" cm="1">
        <f t="array" ref="AD43">INDEX(municipality_pv_potential!$G:$G,MATCH(municipalities!$A43,municipality_pv_potential!$E:$E,0),0)/3.6*$AH$4</f>
        <v>158.73111111111109</v>
      </c>
      <c r="AE43" s="12">
        <f t="shared" si="7"/>
        <v>271.66726661867045</v>
      </c>
      <c r="AF43" s="12" cm="1">
        <f t="array" ref="AF43">INDEX(municipality_pv_potential!$H:$H,MATCH(municipalities!$A43,municipality_pv_potential!$E:$E,0),0)/3.6</f>
        <v>251.56388888888887</v>
      </c>
      <c r="AG43" s="12"/>
      <c r="AJ43">
        <v>32.200000000000003</v>
      </c>
      <c r="AK43">
        <v>6.7</v>
      </c>
      <c r="AL43">
        <v>10.5</v>
      </c>
      <c r="AM43">
        <v>13</v>
      </c>
      <c r="AN43">
        <v>66.099999999999994</v>
      </c>
    </row>
    <row r="44" spans="1:40" x14ac:dyDescent="0.25">
      <c r="A44" s="5" t="s">
        <v>146</v>
      </c>
      <c r="B44" s="6" t="s">
        <v>147</v>
      </c>
      <c r="C44" s="7" t="s">
        <v>148</v>
      </c>
      <c r="D44" s="7" t="s">
        <v>148</v>
      </c>
      <c r="E44" s="7" t="s">
        <v>22</v>
      </c>
      <c r="F44" s="7" t="s">
        <v>146</v>
      </c>
      <c r="G44" s="7" t="str" cm="1">
        <f t="array" ref="G44">INDEX('municipalities per province'!F:F,MATCH(municipalities!A44,'municipalities per province'!B:B,0),0)</f>
        <v>Gelderland</v>
      </c>
      <c r="H44" s="7" t="str" cm="1">
        <f t="array" ref="H44">INDEX('municipalities per province'!E:E,MATCH(municipalities!$A44,'municipalities per province'!$B:$B,0),0)</f>
        <v>PV25</v>
      </c>
      <c r="I44" s="7" t="str" cm="1">
        <f t="array" ref="I44">INDEX('municipalities per province'!G:G,MATCH(municipalities!$A44,'municipalities per province'!$B:$B,0),0)</f>
        <v>Achterhoek</v>
      </c>
      <c r="J44" s="7" t="str" cm="1">
        <f t="array" ref="J44">INDEX('municipalities per province'!H:H,MATCH(municipalities!$A44,'municipalities per province'!$B:$B,0),0)</f>
        <v>ES07</v>
      </c>
      <c r="K44" s="7" cm="1">
        <f t="array" ref="K44">INDEX(coordinates!C:C,MATCH(municipalities!$A44,coordinates!$A:$A,0),0)</f>
        <v>6.5606117152423362</v>
      </c>
      <c r="L44" s="7" cm="1">
        <f t="array" ref="L44">INDEX(coordinates!D:D,MATCH(municipalities!$A44,coordinates!$A:$A,0),0)</f>
        <v>51.921748040769927</v>
      </c>
      <c r="M44" s="8">
        <v>1</v>
      </c>
      <c r="N44" s="9">
        <v>27244</v>
      </c>
      <c r="O44" s="9">
        <v>13730</v>
      </c>
      <c r="P44" s="9">
        <v>13514</v>
      </c>
      <c r="Q44" s="9">
        <v>4</v>
      </c>
      <c r="R44" s="10">
        <v>780</v>
      </c>
      <c r="S44" s="11">
        <v>72</v>
      </c>
      <c r="T44" s="11">
        <v>28</v>
      </c>
      <c r="U44" s="12">
        <f t="shared" si="0"/>
        <v>32.5</v>
      </c>
      <c r="V44" s="12">
        <f t="shared" si="1"/>
        <v>4</v>
      </c>
      <c r="W44" s="12">
        <f t="shared" si="2"/>
        <v>6.8</v>
      </c>
      <c r="X44" s="12">
        <f t="shared" si="3"/>
        <v>9.6</v>
      </c>
      <c r="Y44" s="12">
        <f t="shared" si="4"/>
        <v>129.80000000000001</v>
      </c>
      <c r="Z44" s="12" cm="1">
        <f t="array" ref="Z44">INDEX(municipality_wind_potential!$X:$X,MATCH(municipalities!$F44,municipality_wind_potential!$E:$E,0),0)</f>
        <v>32</v>
      </c>
      <c r="AA44" s="12">
        <f t="shared" si="5"/>
        <v>179.2</v>
      </c>
      <c r="AB44" s="12" cm="1">
        <f t="array" ref="AB44">INDEX(municipality_wind_potential!$Y:$Y,MATCH(municipalities!$F44,municipality_wind_potential!$E:$E,0),0) / 3.6</f>
        <v>559.18888888888887</v>
      </c>
      <c r="AC44" s="12">
        <f t="shared" si="6"/>
        <v>77.225821934245246</v>
      </c>
      <c r="AD44" s="12" cm="1">
        <f t="array" ref="AD44">INDEX(municipality_pv_potential!$G:$G,MATCH(municipalities!$A44,municipality_pv_potential!$E:$E,0),0)/3.6*$AH$4</f>
        <v>71.511111111111106</v>
      </c>
      <c r="AE44" s="12">
        <f t="shared" si="7"/>
        <v>339.68382529397638</v>
      </c>
      <c r="AF44" s="12" cm="1">
        <f t="array" ref="AF44">INDEX(municipality_pv_potential!$H:$H,MATCH(municipalities!$A44,municipality_pv_potential!$E:$E,0),0)/3.6</f>
        <v>314.54722222222216</v>
      </c>
      <c r="AG44" s="12"/>
      <c r="AJ44">
        <v>32.5</v>
      </c>
      <c r="AK44">
        <v>4</v>
      </c>
      <c r="AL44">
        <v>6.8</v>
      </c>
      <c r="AM44">
        <v>9.6</v>
      </c>
      <c r="AN44">
        <v>129.80000000000001</v>
      </c>
    </row>
    <row r="45" spans="1:40" x14ac:dyDescent="0.25">
      <c r="A45" s="5" t="s">
        <v>149</v>
      </c>
      <c r="B45" s="6" t="s">
        <v>150</v>
      </c>
      <c r="C45" s="7" t="s">
        <v>151</v>
      </c>
      <c r="D45" s="7" t="s">
        <v>151</v>
      </c>
      <c r="E45" s="7" t="s">
        <v>22</v>
      </c>
      <c r="F45" s="7" t="s">
        <v>149</v>
      </c>
      <c r="G45" s="7" t="str" cm="1">
        <f t="array" ref="G45">INDEX('municipalities per province'!F:F,MATCH(municipalities!A45,'municipalities per province'!B:B,0),0)</f>
        <v>Gelderland</v>
      </c>
      <c r="H45" s="7" t="str" cm="1">
        <f t="array" ref="H45">INDEX('municipalities per province'!E:E,MATCH(municipalities!$A45,'municipalities per province'!$B:$B,0),0)</f>
        <v>PV25</v>
      </c>
      <c r="I45" s="7" t="str" cm="1">
        <f t="array" ref="I45">INDEX('municipalities per province'!G:G,MATCH(municipalities!$A45,'municipalities per province'!$B:$B,0),0)</f>
        <v>Cleantech</v>
      </c>
      <c r="J45" s="7" t="str" cm="1">
        <f t="array" ref="J45">INDEX('municipalities per province'!H:H,MATCH(municipalities!$A45,'municipalities per province'!$B:$B,0),0)</f>
        <v>ES12</v>
      </c>
      <c r="K45" s="7" cm="1">
        <f t="array" ref="K45">INDEX(coordinates!C:C,MATCH(municipalities!$A45,coordinates!$A:$A,0),0)</f>
        <v>5.9218449367067922</v>
      </c>
      <c r="L45" s="7" cm="1">
        <f t="array" ref="L45">INDEX(coordinates!D:D,MATCH(municipalities!$A45,coordinates!$A:$A,0),0)</f>
        <v>52.189885233682922</v>
      </c>
      <c r="M45" s="8">
        <v>1</v>
      </c>
      <c r="N45" s="9">
        <v>167191</v>
      </c>
      <c r="O45" s="9">
        <v>83505</v>
      </c>
      <c r="P45" s="9">
        <v>83686</v>
      </c>
      <c r="Q45" s="9">
        <v>2</v>
      </c>
      <c r="R45" s="10">
        <v>1788</v>
      </c>
      <c r="S45" s="11">
        <v>60</v>
      </c>
      <c r="T45" s="11">
        <v>40</v>
      </c>
      <c r="U45" s="12">
        <f t="shared" si="0"/>
        <v>33.299999999999997</v>
      </c>
      <c r="V45" s="12">
        <f t="shared" si="1"/>
        <v>6</v>
      </c>
      <c r="W45" s="12">
        <f t="shared" si="2"/>
        <v>9.1999999999999993</v>
      </c>
      <c r="X45" s="12">
        <f t="shared" si="3"/>
        <v>11.8</v>
      </c>
      <c r="Y45" s="12">
        <f t="shared" si="4"/>
        <v>91.2</v>
      </c>
      <c r="Z45" s="12" cm="1">
        <f t="array" ref="Z45">INDEX(municipality_wind_potential!$X:$X,MATCH(municipalities!$F45,municipality_wind_potential!$E:$E,0),0)</f>
        <v>223</v>
      </c>
      <c r="AA45" s="12">
        <f t="shared" si="5"/>
        <v>1248.8</v>
      </c>
      <c r="AB45" s="12" cm="1">
        <f t="array" ref="AB45">INDEX(municipality_wind_potential!$Y:$Y,MATCH(municipalities!$F45,municipality_wind_potential!$E:$E,0),0) / 3.6</f>
        <v>3309.3194444444443</v>
      </c>
      <c r="AC45" s="12">
        <f t="shared" si="6"/>
        <v>256.64566834653232</v>
      </c>
      <c r="AD45" s="12" cm="1">
        <f t="array" ref="AD45">INDEX(municipality_pv_potential!$G:$G,MATCH(municipalities!$A45,municipality_pv_potential!$E:$E,0),0)/3.6*$AH$4</f>
        <v>237.65388888888893</v>
      </c>
      <c r="AE45" s="12">
        <f t="shared" si="7"/>
        <v>288.68490520758337</v>
      </c>
      <c r="AF45" s="12" cm="1">
        <f t="array" ref="AF45">INDEX(municipality_pv_potential!$H:$H,MATCH(municipalities!$A45,municipality_pv_potential!$E:$E,0),0)/3.6</f>
        <v>267.32222222222219</v>
      </c>
      <c r="AG45" s="12"/>
      <c r="AJ45">
        <v>33.299999999999997</v>
      </c>
      <c r="AK45">
        <v>6</v>
      </c>
      <c r="AL45">
        <v>9.1999999999999993</v>
      </c>
      <c r="AM45">
        <v>11.8</v>
      </c>
      <c r="AN45">
        <v>91.2</v>
      </c>
    </row>
    <row r="46" spans="1:40" x14ac:dyDescent="0.25">
      <c r="A46" s="5" t="s">
        <v>152</v>
      </c>
      <c r="B46" s="6" t="s">
        <v>153</v>
      </c>
      <c r="C46" s="7" t="s">
        <v>154</v>
      </c>
      <c r="D46" s="7" t="s">
        <v>154</v>
      </c>
      <c r="E46" s="7" t="s">
        <v>22</v>
      </c>
      <c r="F46" s="7" t="s">
        <v>152</v>
      </c>
      <c r="G46" s="7" t="str" cm="1">
        <f t="array" ref="G46">INDEX('municipalities per province'!F:F,MATCH(municipalities!A46,'municipalities per province'!B:B,0),0)</f>
        <v>Gelderland</v>
      </c>
      <c r="H46" s="7" t="str" cm="1">
        <f t="array" ref="H46">INDEX('municipalities per province'!E:E,MATCH(municipalities!$A46,'municipalities per province'!$B:$B,0),0)</f>
        <v>PV25</v>
      </c>
      <c r="I46" s="7" t="str" cm="1">
        <f t="array" ref="I46">INDEX('municipalities per province'!G:G,MATCH(municipalities!$A46,'municipalities per province'!$B:$B,0),0)</f>
        <v>Arnhem/Nijmegen</v>
      </c>
      <c r="J46" s="7" t="str" cm="1">
        <f t="array" ref="J46">INDEX('municipalities per province'!H:H,MATCH(municipalities!$A46,'municipalities per province'!$B:$B,0),0)</f>
        <v>ES08</v>
      </c>
      <c r="K46" s="7" cm="1">
        <f t="array" ref="K46">INDEX(coordinates!C:C,MATCH(municipalities!$A46,coordinates!$A:$A,0),0)</f>
        <v>5.8925915934407698</v>
      </c>
      <c r="L46" s="7" cm="1">
        <f t="array" ref="L46">INDEX(coordinates!D:D,MATCH(municipalities!$A46,coordinates!$A:$A,0),0)</f>
        <v>52.001156047798233</v>
      </c>
      <c r="M46" s="8">
        <v>1</v>
      </c>
      <c r="N46" s="9">
        <v>165770</v>
      </c>
      <c r="O46" s="9">
        <v>82927</v>
      </c>
      <c r="P46" s="9">
        <v>82843</v>
      </c>
      <c r="Q46" s="9">
        <v>2</v>
      </c>
      <c r="R46" s="10">
        <v>2295</v>
      </c>
      <c r="S46" s="11">
        <v>43</v>
      </c>
      <c r="T46" s="11">
        <v>57</v>
      </c>
      <c r="U46" s="12">
        <f t="shared" si="0"/>
        <v>29.7</v>
      </c>
      <c r="V46" s="12">
        <f t="shared" si="1"/>
        <v>11</v>
      </c>
      <c r="W46" s="12">
        <f t="shared" si="2"/>
        <v>16.100000000000001</v>
      </c>
      <c r="X46" s="12">
        <f t="shared" si="3"/>
        <v>19.2</v>
      </c>
      <c r="Y46" s="12">
        <f t="shared" si="4"/>
        <v>16.899999999999999</v>
      </c>
      <c r="Z46" s="12" cm="1">
        <f t="array" ref="Z46">INDEX(municipality_wind_potential!$X:$X,MATCH(municipalities!$F46,municipality_wind_potential!$E:$E,0),0)</f>
        <v>5</v>
      </c>
      <c r="AA46" s="12">
        <f t="shared" si="5"/>
        <v>28</v>
      </c>
      <c r="AB46" s="12" cm="1">
        <f t="array" ref="AB46">INDEX(municipality_wind_potential!$Y:$Y,MATCH(municipalities!$F46,municipality_wind_potential!$E:$E,0),0) / 3.6</f>
        <v>66.780555555555551</v>
      </c>
      <c r="AC46" s="12">
        <f t="shared" si="6"/>
        <v>160.93352531797458</v>
      </c>
      <c r="AD46" s="12" cm="1">
        <f t="array" ref="AD46">INDEX(municipality_pv_potential!$G:$G,MATCH(municipalities!$A46,municipality_pv_potential!$E:$E,0),0)/3.6*$AH$4</f>
        <v>149.02444444444447</v>
      </c>
      <c r="AE46" s="12">
        <f t="shared" si="7"/>
        <v>55.714542836573067</v>
      </c>
      <c r="AF46" s="12" cm="1">
        <f t="array" ref="AF46">INDEX(municipality_pv_potential!$H:$H,MATCH(municipalities!$A46,municipality_pv_potential!$E:$E,0),0)/3.6</f>
        <v>51.591666666666661</v>
      </c>
      <c r="AG46" s="12"/>
      <c r="AJ46">
        <v>29.7</v>
      </c>
      <c r="AK46">
        <v>11</v>
      </c>
      <c r="AL46">
        <v>16.100000000000001</v>
      </c>
      <c r="AM46">
        <v>19.2</v>
      </c>
      <c r="AN46">
        <v>16.899999999999999</v>
      </c>
    </row>
    <row r="47" spans="1:40" x14ac:dyDescent="0.25">
      <c r="A47" s="5" t="s">
        <v>155</v>
      </c>
      <c r="B47" s="6" t="s">
        <v>156</v>
      </c>
      <c r="C47" s="7" t="s">
        <v>157</v>
      </c>
      <c r="D47" s="7" t="s">
        <v>157</v>
      </c>
      <c r="E47" s="7" t="s">
        <v>22</v>
      </c>
      <c r="F47" s="7" t="s">
        <v>155</v>
      </c>
      <c r="G47" s="7" t="str" cm="1">
        <f t="array" ref="G47">INDEX('municipalities per province'!F:F,MATCH(municipalities!A47,'municipalities per province'!B:B,0),0)</f>
        <v>Gelderland</v>
      </c>
      <c r="H47" s="7" t="str" cm="1">
        <f t="array" ref="H47">INDEX('municipalities per province'!E:E,MATCH(municipalities!$A47,'municipalities per province'!$B:$B,0),0)</f>
        <v>PV25</v>
      </c>
      <c r="I47" s="7" t="str" cm="1">
        <f t="array" ref="I47">INDEX('municipalities per province'!G:G,MATCH(municipalities!$A47,'municipalities per province'!$B:$B,0),0)</f>
        <v>Foodvalley</v>
      </c>
      <c r="J47" s="7" t="str" cm="1">
        <f t="array" ref="J47">INDEX('municipalities per province'!H:H,MATCH(municipalities!$A47,'municipalities per province'!$B:$B,0),0)</f>
        <v>ES09</v>
      </c>
      <c r="K47" s="7" cm="1">
        <f t="array" ref="K47">INDEX(coordinates!C:C,MATCH(municipalities!$A47,coordinates!$A:$A,0),0)</f>
        <v>5.6419019108816038</v>
      </c>
      <c r="L47" s="7" cm="1">
        <f t="array" ref="L47">INDEX(coordinates!D:D,MATCH(municipalities!$A47,coordinates!$A:$A,0),0)</f>
        <v>52.168285435754171</v>
      </c>
      <c r="M47" s="8">
        <v>1</v>
      </c>
      <c r="N47" s="9">
        <v>61655</v>
      </c>
      <c r="O47" s="9">
        <v>30789</v>
      </c>
      <c r="P47" s="9">
        <v>30866</v>
      </c>
      <c r="Q47" s="9">
        <v>4</v>
      </c>
      <c r="R47" s="10">
        <v>894</v>
      </c>
      <c r="S47" s="11">
        <v>68</v>
      </c>
      <c r="T47" s="11">
        <v>32</v>
      </c>
      <c r="U47" s="12">
        <f t="shared" si="0"/>
        <v>35.6</v>
      </c>
      <c r="V47" s="12">
        <f t="shared" si="1"/>
        <v>3.6</v>
      </c>
      <c r="W47" s="12">
        <f t="shared" si="2"/>
        <v>5.6</v>
      </c>
      <c r="X47" s="12">
        <f t="shared" si="3"/>
        <v>7.7</v>
      </c>
      <c r="Y47" s="12">
        <f t="shared" si="4"/>
        <v>189</v>
      </c>
      <c r="Z47" s="12" cm="1">
        <f t="array" ref="Z47">INDEX(municipality_wind_potential!$X:$X,MATCH(municipalities!$F47,municipality_wind_potential!$E:$E,0),0)</f>
        <v>85</v>
      </c>
      <c r="AA47" s="12">
        <f t="shared" si="5"/>
        <v>475.99999999999994</v>
      </c>
      <c r="AB47" s="12" cm="1">
        <f t="array" ref="AB47">INDEX(municipality_wind_potential!$Y:$Y,MATCH(municipalities!$F47,municipality_wind_potential!$E:$E,0),0) / 3.6</f>
        <v>1253.9805555555556</v>
      </c>
      <c r="AC47" s="12">
        <f t="shared" si="6"/>
        <v>179.01427885769141</v>
      </c>
      <c r="AD47" s="12" cm="1">
        <f t="array" ref="AD47">INDEX(municipality_pv_potential!$G:$G,MATCH(municipalities!$A47,municipality_pv_potential!$E:$E,0),0)/3.6*$AH$4</f>
        <v>165.76722222222224</v>
      </c>
      <c r="AE47" s="12">
        <f t="shared" si="7"/>
        <v>361.53107751379889</v>
      </c>
      <c r="AF47" s="12" cm="1">
        <f t="array" ref="AF47">INDEX(municipality_pv_potential!$H:$H,MATCH(municipalities!$A47,municipality_pv_potential!$E:$E,0),0)/3.6</f>
        <v>334.77777777777777</v>
      </c>
      <c r="AG47" s="12"/>
      <c r="AJ47">
        <v>35.6</v>
      </c>
      <c r="AK47">
        <v>3.6</v>
      </c>
      <c r="AL47">
        <v>5.6</v>
      </c>
      <c r="AM47">
        <v>7.7</v>
      </c>
      <c r="AN47">
        <v>189</v>
      </c>
    </row>
    <row r="48" spans="1:40" x14ac:dyDescent="0.25">
      <c r="A48" s="5" t="s">
        <v>158</v>
      </c>
      <c r="B48" s="6" t="s">
        <v>159</v>
      </c>
      <c r="C48" s="7" t="s">
        <v>160</v>
      </c>
      <c r="D48" s="7" t="s">
        <v>160</v>
      </c>
      <c r="E48" s="7" t="s">
        <v>22</v>
      </c>
      <c r="F48" s="7" t="s">
        <v>158</v>
      </c>
      <c r="G48" s="7" t="str" cm="1">
        <f t="array" ref="G48">INDEX('municipalities per province'!F:F,MATCH(municipalities!A48,'municipalities per province'!B:B,0),0)</f>
        <v>Gelderland</v>
      </c>
      <c r="H48" s="7" t="str" cm="1">
        <f t="array" ref="H48">INDEX('municipalities per province'!E:E,MATCH(municipalities!$A48,'municipalities per province'!$B:$B,0),0)</f>
        <v>PV25</v>
      </c>
      <c r="I48" s="7" t="str" cm="1">
        <f t="array" ref="I48">INDEX('municipalities per province'!G:G,MATCH(municipalities!$A48,'municipalities per province'!$B:$B,0),0)</f>
        <v>Arnhem/Nijmegen</v>
      </c>
      <c r="J48" s="7" t="str" cm="1">
        <f t="array" ref="J48">INDEX('municipalities per province'!H:H,MATCH(municipalities!$A48,'municipalities per province'!$B:$B,0),0)</f>
        <v>ES08</v>
      </c>
      <c r="K48" s="7" cm="1">
        <f t="array" ref="K48">INDEX(coordinates!C:C,MATCH(municipalities!$A48,coordinates!$A:$A,0),0)</f>
        <v>5.7402703221947018</v>
      </c>
      <c r="L48" s="7" cm="1">
        <f t="array" ref="L48">INDEX(coordinates!D:D,MATCH(municipalities!$A48,coordinates!$A:$A,0),0)</f>
        <v>51.862813032700693</v>
      </c>
      <c r="M48" s="8">
        <v>1</v>
      </c>
      <c r="N48" s="9">
        <v>26573</v>
      </c>
      <c r="O48" s="9">
        <v>13237</v>
      </c>
      <c r="P48" s="9">
        <v>13336</v>
      </c>
      <c r="Q48" s="9">
        <v>3</v>
      </c>
      <c r="R48" s="10">
        <v>1011</v>
      </c>
      <c r="S48" s="11">
        <v>70</v>
      </c>
      <c r="T48" s="11">
        <v>30</v>
      </c>
      <c r="U48" s="12">
        <f t="shared" si="0"/>
        <v>35.5</v>
      </c>
      <c r="V48" s="12">
        <f t="shared" si="1"/>
        <v>4.0999999999999996</v>
      </c>
      <c r="W48" s="12">
        <f t="shared" si="2"/>
        <v>6.7</v>
      </c>
      <c r="X48" s="12">
        <f t="shared" si="3"/>
        <v>9.1999999999999993</v>
      </c>
      <c r="Y48" s="12">
        <f t="shared" si="4"/>
        <v>141.69999999999999</v>
      </c>
      <c r="Z48" s="12" cm="1">
        <f t="array" ref="Z48">INDEX(municipality_wind_potential!$X:$X,MATCH(municipalities!$F48,municipality_wind_potential!$E:$E,0),0)</f>
        <v>20</v>
      </c>
      <c r="AA48" s="12">
        <f t="shared" si="5"/>
        <v>112</v>
      </c>
      <c r="AB48" s="12" cm="1">
        <f t="array" ref="AB48">INDEX(municipality_wind_potential!$Y:$Y,MATCH(municipalities!$F48,municipality_wind_potential!$E:$E,0),0) / 3.6</f>
        <v>322.56111111111113</v>
      </c>
      <c r="AC48" s="12">
        <f t="shared" si="6"/>
        <v>45.503959683225347</v>
      </c>
      <c r="AD48" s="12" cm="1">
        <f t="array" ref="AD48">INDEX(municipality_pv_potential!$G:$G,MATCH(municipalities!$A48,municipality_pv_potential!$E:$E,0),0)/3.6*$AH$4</f>
        <v>42.13666666666667</v>
      </c>
      <c r="AE48" s="12">
        <f t="shared" si="7"/>
        <v>121.18730501559875</v>
      </c>
      <c r="AF48" s="12" cm="1">
        <f t="array" ref="AF48">INDEX(municipality_pv_potential!$H:$H,MATCH(municipalities!$A48,municipality_pv_potential!$E:$E,0),0)/3.6</f>
        <v>112.21944444444445</v>
      </c>
      <c r="AG48" s="12"/>
      <c r="AJ48">
        <v>35.5</v>
      </c>
      <c r="AK48">
        <v>4.0999999999999996</v>
      </c>
      <c r="AL48">
        <v>6.7</v>
      </c>
      <c r="AM48">
        <v>9.1999999999999993</v>
      </c>
      <c r="AN48">
        <v>141.69999999999999</v>
      </c>
    </row>
    <row r="49" spans="1:40" x14ac:dyDescent="0.25">
      <c r="A49" s="5" t="s">
        <v>161</v>
      </c>
      <c r="B49" s="6" t="s">
        <v>162</v>
      </c>
      <c r="C49" s="7" t="s">
        <v>163</v>
      </c>
      <c r="D49" s="7" t="s">
        <v>163</v>
      </c>
      <c r="E49" s="7" t="s">
        <v>22</v>
      </c>
      <c r="F49" s="7" t="s">
        <v>161</v>
      </c>
      <c r="G49" s="7" t="str" cm="1">
        <f t="array" ref="G49">INDEX('municipalities per province'!F:F,MATCH(municipalities!A49,'municipalities per province'!B:B,0),0)</f>
        <v>Gelderland</v>
      </c>
      <c r="H49" s="7" t="str" cm="1">
        <f t="array" ref="H49">INDEX('municipalities per province'!E:E,MATCH(municipalities!$A49,'municipalities per province'!$B:$B,0),0)</f>
        <v>PV25</v>
      </c>
      <c r="I49" s="7" t="str" cm="1">
        <f t="array" ref="I49">INDEX('municipalities per province'!G:G,MATCH(municipalities!$A49,'municipalities per province'!$B:$B,0),0)</f>
        <v>Cleantech</v>
      </c>
      <c r="J49" s="7" t="str" cm="1">
        <f t="array" ref="J49">INDEX('municipalities per province'!H:H,MATCH(municipalities!$A49,'municipalities per province'!$B:$B,0),0)</f>
        <v>ES12</v>
      </c>
      <c r="K49" s="7" cm="1">
        <f t="array" ref="K49">INDEX(coordinates!C:C,MATCH(municipalities!$A49,coordinates!$A:$A,0),0)</f>
        <v>6.1185125222672463</v>
      </c>
      <c r="L49" s="7" cm="1">
        <f t="array" ref="L49">INDEX(coordinates!D:D,MATCH(municipalities!$A49,coordinates!$A:$A,0),0)</f>
        <v>52.108975141761931</v>
      </c>
      <c r="M49" s="8">
        <v>1</v>
      </c>
      <c r="N49" s="9">
        <v>21105</v>
      </c>
      <c r="O49" s="9">
        <v>10448</v>
      </c>
      <c r="P49" s="9">
        <v>10657</v>
      </c>
      <c r="Q49" s="9">
        <v>4</v>
      </c>
      <c r="R49" s="10">
        <v>788</v>
      </c>
      <c r="S49" s="11">
        <v>63</v>
      </c>
      <c r="T49" s="11">
        <v>37</v>
      </c>
      <c r="U49" s="12">
        <f t="shared" si="0"/>
        <v>35</v>
      </c>
      <c r="V49" s="12">
        <f t="shared" si="1"/>
        <v>4.2</v>
      </c>
      <c r="W49" s="12">
        <f t="shared" si="2"/>
        <v>7.1</v>
      </c>
      <c r="X49" s="12">
        <f t="shared" si="3"/>
        <v>9.9</v>
      </c>
      <c r="Y49" s="12">
        <f t="shared" si="4"/>
        <v>112.4</v>
      </c>
      <c r="Z49" s="12" cm="1">
        <f t="array" ref="Z49">INDEX(municipality_wind_potential!$X:$X,MATCH(municipalities!$F49,municipality_wind_potential!$E:$E,0),0)</f>
        <v>40</v>
      </c>
      <c r="AA49" s="12">
        <f t="shared" si="5"/>
        <v>224</v>
      </c>
      <c r="AB49" s="12" cm="1">
        <f t="array" ref="AB49">INDEX(municipality_wind_potential!$Y:$Y,MATCH(municipalities!$F49,municipality_wind_potential!$E:$E,0),0) / 3.6</f>
        <v>586.18055555555554</v>
      </c>
      <c r="AC49" s="12">
        <f t="shared" si="6"/>
        <v>48.422726181905446</v>
      </c>
      <c r="AD49" s="12" cm="1">
        <f t="array" ref="AD49">INDEX(municipality_pv_potential!$G:$G,MATCH(municipalities!$A49,municipality_pv_potential!$E:$E,0),0)/3.6*$AH$4</f>
        <v>44.839444444444446</v>
      </c>
      <c r="AE49" s="12">
        <f t="shared" si="7"/>
        <v>223.7790976721862</v>
      </c>
      <c r="AF49" s="12" cm="1">
        <f t="array" ref="AF49">INDEX(municipality_pv_potential!$H:$H,MATCH(municipalities!$A49,municipality_pv_potential!$E:$E,0),0)/3.6</f>
        <v>207.21944444444443</v>
      </c>
      <c r="AG49" s="12"/>
      <c r="AJ49">
        <v>35</v>
      </c>
      <c r="AK49">
        <v>4.2</v>
      </c>
      <c r="AL49">
        <v>7.1</v>
      </c>
      <c r="AM49">
        <v>9.9</v>
      </c>
      <c r="AN49">
        <v>112.4</v>
      </c>
    </row>
    <row r="50" spans="1:40" x14ac:dyDescent="0.25">
      <c r="A50" s="5" t="s">
        <v>164</v>
      </c>
      <c r="B50" s="6" t="s">
        <v>165</v>
      </c>
      <c r="C50" s="7" t="s">
        <v>166</v>
      </c>
      <c r="D50" s="7" t="s">
        <v>166</v>
      </c>
      <c r="E50" s="7" t="s">
        <v>22</v>
      </c>
      <c r="F50" s="7" t="s">
        <v>164</v>
      </c>
      <c r="G50" s="7" t="str" cm="1">
        <f t="array" ref="G50">INDEX('municipalities per province'!F:F,MATCH(municipalities!A50,'municipalities per province'!B:B,0),0)</f>
        <v>Gelderland</v>
      </c>
      <c r="H50" s="7" t="str" cm="1">
        <f t="array" ref="H50">INDEX('municipalities per province'!E:E,MATCH(municipalities!$A50,'municipalities per province'!$B:$B,0),0)</f>
        <v>PV25</v>
      </c>
      <c r="I50" s="7" t="str" cm="1">
        <f t="array" ref="I50">INDEX('municipalities per province'!G:G,MATCH(municipalities!$A50,'municipalities per province'!$B:$B,0),0)</f>
        <v>FruitdeltaRivierenland</v>
      </c>
      <c r="J50" s="7" t="str" cm="1">
        <f t="array" ref="J50">INDEX('municipalities per province'!H:H,MATCH(municipalities!$A50,'municipalities per province'!$B:$B,0),0)</f>
        <v>ES11</v>
      </c>
      <c r="K50" s="7" cm="1">
        <f t="array" ref="K50">INDEX(coordinates!C:C,MATCH(municipalities!$A50,coordinates!$A:$A,0),0)</f>
        <v>5.403655716644308</v>
      </c>
      <c r="L50" s="7" cm="1">
        <f t="array" ref="L50">INDEX(coordinates!D:D,MATCH(municipalities!$A50,coordinates!$A:$A,0),0)</f>
        <v>51.938320812843379</v>
      </c>
      <c r="M50" s="8">
        <v>1</v>
      </c>
      <c r="N50" s="9">
        <v>27725</v>
      </c>
      <c r="O50" s="9">
        <v>13917</v>
      </c>
      <c r="P50" s="9">
        <v>13808</v>
      </c>
      <c r="Q50" s="9">
        <v>5</v>
      </c>
      <c r="R50" s="10">
        <v>301</v>
      </c>
      <c r="S50" s="11">
        <v>75</v>
      </c>
      <c r="T50" s="11">
        <v>25</v>
      </c>
      <c r="U50" s="12">
        <f t="shared" si="0"/>
        <v>37.9</v>
      </c>
      <c r="V50" s="12">
        <f t="shared" si="1"/>
        <v>3.3</v>
      </c>
      <c r="W50" s="12">
        <f t="shared" si="2"/>
        <v>5.2</v>
      </c>
      <c r="X50" s="12">
        <f t="shared" si="3"/>
        <v>7.6</v>
      </c>
      <c r="Y50" s="12">
        <f t="shared" si="4"/>
        <v>199.6</v>
      </c>
      <c r="Z50" s="12" cm="1">
        <f t="array" ref="Z50">INDEX(municipality_wind_potential!$X:$X,MATCH(municipalities!$F50,municipality_wind_potential!$E:$E,0),0)</f>
        <v>72</v>
      </c>
      <c r="AA50" s="12">
        <f t="shared" si="5"/>
        <v>403.2</v>
      </c>
      <c r="AB50" s="12" cm="1">
        <f t="array" ref="AB50">INDEX(municipality_wind_potential!$Y:$Y,MATCH(municipalities!$F50,municipality_wind_potential!$E:$E,0),0) / 3.6</f>
        <v>1161.2166666666667</v>
      </c>
      <c r="AC50" s="12">
        <f t="shared" si="6"/>
        <v>78.398128149748032</v>
      </c>
      <c r="AD50" s="12" cm="1">
        <f t="array" ref="AD50">INDEX(municipality_pv_potential!$G:$G,MATCH(municipalities!$A50,municipality_pv_potential!$E:$E,0),0)/3.6*$AH$4</f>
        <v>72.596666666666678</v>
      </c>
      <c r="AE50" s="12">
        <f t="shared" si="7"/>
        <v>484.43724502039839</v>
      </c>
      <c r="AF50" s="12" cm="1">
        <f t="array" ref="AF50">INDEX(municipality_pv_potential!$H:$H,MATCH(municipalities!$A50,municipality_pv_potential!$E:$E,0),0)/3.6</f>
        <v>448.5888888888889</v>
      </c>
      <c r="AG50" s="12"/>
      <c r="AJ50">
        <v>37.9</v>
      </c>
      <c r="AK50">
        <v>3.3</v>
      </c>
      <c r="AL50">
        <v>5.2</v>
      </c>
      <c r="AM50">
        <v>7.6</v>
      </c>
      <c r="AN50">
        <v>199.6</v>
      </c>
    </row>
    <row r="51" spans="1:40" x14ac:dyDescent="0.25">
      <c r="A51" s="5" t="s">
        <v>167</v>
      </c>
      <c r="B51" s="6" t="s">
        <v>168</v>
      </c>
      <c r="C51" s="7" t="s">
        <v>169</v>
      </c>
      <c r="D51" s="7" t="s">
        <v>169</v>
      </c>
      <c r="E51" s="7" t="s">
        <v>22</v>
      </c>
      <c r="F51" s="7" t="s">
        <v>167</v>
      </c>
      <c r="G51" s="7" t="str" cm="1">
        <f t="array" ref="G51">INDEX('municipalities per province'!F:F,MATCH(municipalities!A51,'municipalities per province'!B:B,0),0)</f>
        <v>Gelderland</v>
      </c>
      <c r="H51" s="7" t="str" cm="1">
        <f t="array" ref="H51">INDEX('municipalities per province'!E:E,MATCH(municipalities!$A51,'municipalities per province'!$B:$B,0),0)</f>
        <v>PV25</v>
      </c>
      <c r="I51" s="7" t="str" cm="1">
        <f t="array" ref="I51">INDEX('municipalities per province'!G:G,MATCH(municipalities!$A51,'municipalities per province'!$B:$B,0),0)</f>
        <v>FruitdeltaRivierenland</v>
      </c>
      <c r="J51" s="7" t="str" cm="1">
        <f t="array" ref="J51">INDEX('municipalities per province'!H:H,MATCH(municipalities!$A51,'municipalities per province'!$B:$B,0),0)</f>
        <v>ES11</v>
      </c>
      <c r="K51" s="7" cm="1">
        <f t="array" ref="K51">INDEX(coordinates!C:C,MATCH(municipalities!$A51,coordinates!$A:$A,0),0)</f>
        <v>5.2103878017024217</v>
      </c>
      <c r="L51" s="7" cm="1">
        <f t="array" ref="L51">INDEX(coordinates!D:D,MATCH(municipalities!$A51,coordinates!$A:$A,0),0)</f>
        <v>51.945778631663693</v>
      </c>
      <c r="M51" s="8">
        <v>1</v>
      </c>
      <c r="N51" s="9">
        <v>29729</v>
      </c>
      <c r="O51" s="9">
        <v>14751</v>
      </c>
      <c r="P51" s="9">
        <v>14978</v>
      </c>
      <c r="Q51" s="9">
        <v>3</v>
      </c>
      <c r="R51" s="10">
        <v>1494</v>
      </c>
      <c r="S51" s="11">
        <v>64</v>
      </c>
      <c r="T51" s="11">
        <v>36</v>
      </c>
      <c r="U51" s="12">
        <f t="shared" si="0"/>
        <v>34.5</v>
      </c>
      <c r="V51" s="12">
        <f t="shared" si="1"/>
        <v>5</v>
      </c>
      <c r="W51" s="12">
        <f t="shared" si="2"/>
        <v>7.7</v>
      </c>
      <c r="X51" s="12">
        <f t="shared" si="3"/>
        <v>10.199999999999999</v>
      </c>
      <c r="Y51" s="12">
        <f t="shared" si="4"/>
        <v>115.3</v>
      </c>
      <c r="Z51" s="12" cm="1">
        <f t="array" ref="Z51">INDEX(municipality_wind_potential!$X:$X,MATCH(municipalities!$F51,municipality_wind_potential!$E:$E,0),0)</f>
        <v>13</v>
      </c>
      <c r="AA51" s="12">
        <f t="shared" si="5"/>
        <v>72.8</v>
      </c>
      <c r="AB51" s="12" cm="1">
        <f t="array" ref="AB51">INDEX(municipality_wind_potential!$Y:$Y,MATCH(municipalities!$F51,municipality_wind_potential!$E:$E,0),0) / 3.6</f>
        <v>230.77499999999998</v>
      </c>
      <c r="AC51" s="12">
        <f t="shared" si="6"/>
        <v>44.221862251019928</v>
      </c>
      <c r="AD51" s="12" cm="1">
        <f t="array" ref="AD51">INDEX(municipality_pv_potential!$G:$G,MATCH(municipalities!$A51,municipality_pv_potential!$E:$E,0),0)/3.6*$AH$4</f>
        <v>40.949444444444453</v>
      </c>
      <c r="AE51" s="12">
        <f t="shared" si="7"/>
        <v>73.722102231821452</v>
      </c>
      <c r="AF51" s="12" cm="1">
        <f t="array" ref="AF51">INDEX(municipality_pv_potential!$H:$H,MATCH(municipalities!$A51,municipality_pv_potential!$E:$E,0),0)/3.6</f>
        <v>68.266666666666666</v>
      </c>
      <c r="AG51" s="12"/>
      <c r="AJ51">
        <v>34.5</v>
      </c>
      <c r="AK51">
        <v>5</v>
      </c>
      <c r="AL51">
        <v>7.7</v>
      </c>
      <c r="AM51">
        <v>10.199999999999999</v>
      </c>
      <c r="AN51">
        <v>115.3</v>
      </c>
    </row>
    <row r="52" spans="1:40" x14ac:dyDescent="0.25">
      <c r="A52" s="5" t="s">
        <v>170</v>
      </c>
      <c r="B52" s="6" t="s">
        <v>171</v>
      </c>
      <c r="C52" s="7" t="s">
        <v>172</v>
      </c>
      <c r="D52" s="7" t="s">
        <v>172</v>
      </c>
      <c r="E52" s="7" t="s">
        <v>22</v>
      </c>
      <c r="F52" s="7" t="s">
        <v>170</v>
      </c>
      <c r="G52" s="7" t="str" cm="1">
        <f t="array" ref="G52">INDEX('municipalities per province'!F:F,MATCH(municipalities!A52,'municipalities per province'!B:B,0),0)</f>
        <v>Gelderland</v>
      </c>
      <c r="H52" s="7" t="str" cm="1">
        <f t="array" ref="H52">INDEX('municipalities per province'!E:E,MATCH(municipalities!$A52,'municipalities per province'!$B:$B,0),0)</f>
        <v>PV25</v>
      </c>
      <c r="I52" s="7" t="str" cm="1">
        <f t="array" ref="I52">INDEX('municipalities per province'!G:G,MATCH(municipalities!$A52,'municipalities per province'!$B:$B,0),0)</f>
        <v>Arnhem/Nijmegen</v>
      </c>
      <c r="J52" s="7" t="str" cm="1">
        <f t="array" ref="J52">INDEX('municipalities per province'!H:H,MATCH(municipalities!$A52,'municipalities per province'!$B:$B,0),0)</f>
        <v>ES08</v>
      </c>
      <c r="K52" s="7" cm="1">
        <f t="array" ref="K52">INDEX(coordinates!C:C,MATCH(municipalities!$A52,coordinates!$A:$A,0),0)</f>
        <v>6.1469041453297484</v>
      </c>
      <c r="L52" s="7" cm="1">
        <f t="array" ref="L52">INDEX(coordinates!D:D,MATCH(municipalities!$A52,coordinates!$A:$A,0),0)</f>
        <v>52.018674160862858</v>
      </c>
      <c r="M52" s="8">
        <v>1</v>
      </c>
      <c r="N52" s="9">
        <v>11081</v>
      </c>
      <c r="O52" s="9">
        <v>5400</v>
      </c>
      <c r="P52" s="9">
        <v>5681</v>
      </c>
      <c r="Q52" s="9">
        <v>4</v>
      </c>
      <c r="R52" s="10">
        <v>807</v>
      </c>
      <c r="S52" s="11">
        <v>53</v>
      </c>
      <c r="T52" s="11">
        <v>46</v>
      </c>
      <c r="U52" s="12">
        <f t="shared" si="0"/>
        <v>30.7</v>
      </c>
      <c r="V52" s="12">
        <f t="shared" si="1"/>
        <v>7.6</v>
      </c>
      <c r="W52" s="12">
        <f t="shared" si="2"/>
        <v>12.7</v>
      </c>
      <c r="X52" s="12">
        <f t="shared" si="3"/>
        <v>16.899999999999999</v>
      </c>
      <c r="Y52" s="12">
        <f t="shared" si="4"/>
        <v>47.9</v>
      </c>
      <c r="Z52" s="12" cm="1">
        <f t="array" ref="Z52">INDEX(municipality_wind_potential!$X:$X,MATCH(municipalities!$F52,municipality_wind_potential!$E:$E,0),0)</f>
        <v>4</v>
      </c>
      <c r="AA52" s="12">
        <f t="shared" si="5"/>
        <v>22.4</v>
      </c>
      <c r="AB52" s="12" cm="1">
        <f t="array" ref="AB52">INDEX(municipality_wind_potential!$Y:$Y,MATCH(municipalities!$F52,municipality_wind_potential!$E:$E,0),0) / 3.6</f>
        <v>59.361111111111107</v>
      </c>
      <c r="AC52" s="12">
        <f t="shared" si="6"/>
        <v>14.272258219342453</v>
      </c>
      <c r="AD52" s="12" cm="1">
        <f t="array" ref="AD52">INDEX(municipality_pv_potential!$G:$G,MATCH(municipalities!$A52,municipality_pv_potential!$E:$E,0),0)/3.6*$AH$4</f>
        <v>13.216111111111111</v>
      </c>
      <c r="AE52" s="12">
        <f t="shared" si="7"/>
        <v>33.447324214062874</v>
      </c>
      <c r="AF52" s="12" cm="1">
        <f t="array" ref="AF52">INDEX(municipality_pv_potential!$H:$H,MATCH(municipalities!$A52,municipality_pv_potential!$E:$E,0),0)/3.6</f>
        <v>30.972222222222221</v>
      </c>
      <c r="AG52" s="12"/>
      <c r="AJ52">
        <v>30.7</v>
      </c>
      <c r="AK52">
        <v>7.6</v>
      </c>
      <c r="AL52">
        <v>12.7</v>
      </c>
      <c r="AM52">
        <v>16.899999999999999</v>
      </c>
      <c r="AN52">
        <v>47.9</v>
      </c>
    </row>
    <row r="53" spans="1:40" x14ac:dyDescent="0.25">
      <c r="A53" s="5" t="s">
        <v>173</v>
      </c>
      <c r="B53" s="6" t="s">
        <v>174</v>
      </c>
      <c r="C53" s="7" t="s">
        <v>175</v>
      </c>
      <c r="D53" s="7" t="s">
        <v>175</v>
      </c>
      <c r="E53" s="7" t="s">
        <v>22</v>
      </c>
      <c r="F53" s="7" t="s">
        <v>173</v>
      </c>
      <c r="G53" s="7" t="str" cm="1">
        <f t="array" ref="G53">INDEX('municipalities per province'!F:F,MATCH(municipalities!A53,'municipalities per province'!B:B,0),0)</f>
        <v>Gelderland</v>
      </c>
      <c r="H53" s="7" t="str" cm="1">
        <f t="array" ref="H53">INDEX('municipalities per province'!E:E,MATCH(municipalities!$A53,'municipalities per province'!$B:$B,0),0)</f>
        <v>PV25</v>
      </c>
      <c r="I53" s="7" t="str" cm="1">
        <f t="array" ref="I53">INDEX('municipalities per province'!G:G,MATCH(municipalities!$A53,'municipalities per province'!$B:$B,0),0)</f>
        <v>Achterhoek</v>
      </c>
      <c r="J53" s="7" t="str" cm="1">
        <f t="array" ref="J53">INDEX('municipalities per province'!H:H,MATCH(municipalities!$A53,'municipalities per province'!$B:$B,0),0)</f>
        <v>ES07</v>
      </c>
      <c r="K53" s="7" cm="1">
        <f t="array" ref="K53">INDEX(coordinates!C:C,MATCH(municipalities!$A53,coordinates!$A:$A,0),0)</f>
        <v>6.2866917991948963</v>
      </c>
      <c r="L53" s="7" cm="1">
        <f t="array" ref="L53">INDEX(coordinates!D:D,MATCH(municipalities!$A53,coordinates!$A:$A,0),0)</f>
        <v>51.960771911102931</v>
      </c>
      <c r="M53" s="8">
        <v>1</v>
      </c>
      <c r="N53" s="9">
        <v>59195</v>
      </c>
      <c r="O53" s="9">
        <v>29375</v>
      </c>
      <c r="P53" s="9">
        <v>29820</v>
      </c>
      <c r="Q53" s="9">
        <v>3</v>
      </c>
      <c r="R53" s="10">
        <v>1163</v>
      </c>
      <c r="S53" s="11">
        <v>60</v>
      </c>
      <c r="T53" s="11">
        <v>40</v>
      </c>
      <c r="U53" s="12">
        <f t="shared" si="0"/>
        <v>32.299999999999997</v>
      </c>
      <c r="V53" s="12">
        <f t="shared" si="1"/>
        <v>6.3</v>
      </c>
      <c r="W53" s="12">
        <f t="shared" si="2"/>
        <v>10.3</v>
      </c>
      <c r="X53" s="12">
        <f t="shared" si="3"/>
        <v>13.6</v>
      </c>
      <c r="Y53" s="12">
        <f t="shared" si="4"/>
        <v>77.099999999999994</v>
      </c>
      <c r="Z53" s="12" cm="1">
        <f t="array" ref="Z53">INDEX(municipality_wind_potential!$X:$X,MATCH(municipalities!$F53,municipality_wind_potential!$E:$E,0),0)</f>
        <v>12</v>
      </c>
      <c r="AA53" s="12">
        <f t="shared" si="5"/>
        <v>67.199999999999989</v>
      </c>
      <c r="AB53" s="12" cm="1">
        <f t="array" ref="AB53">INDEX(municipality_wind_potential!$Y:$Y,MATCH(municipalities!$F53,municipality_wind_potential!$E:$E,0),0) / 3.6</f>
        <v>178.08055555555555</v>
      </c>
      <c r="AC53" s="12">
        <f t="shared" si="6"/>
        <v>113.47432205423569</v>
      </c>
      <c r="AD53" s="12" cm="1">
        <f t="array" ref="AD53">INDEX(municipality_pv_potential!$G:$G,MATCH(municipalities!$A53,municipality_pv_potential!$E:$E,0),0)/3.6*$AH$4</f>
        <v>105.07722222222225</v>
      </c>
      <c r="AE53" s="12">
        <f t="shared" si="7"/>
        <v>199.51403887688986</v>
      </c>
      <c r="AF53" s="12" cm="1">
        <f t="array" ref="AF53">INDEX(municipality_pv_potential!$H:$H,MATCH(municipalities!$A53,municipality_pv_potential!$E:$E,0),0)/3.6</f>
        <v>184.75</v>
      </c>
      <c r="AG53" s="12"/>
      <c r="AJ53">
        <v>32.299999999999997</v>
      </c>
      <c r="AK53">
        <v>6.3</v>
      </c>
      <c r="AL53">
        <v>10.3</v>
      </c>
      <c r="AM53">
        <v>13.6</v>
      </c>
      <c r="AN53">
        <v>77.099999999999994</v>
      </c>
    </row>
    <row r="54" spans="1:40" x14ac:dyDescent="0.25">
      <c r="A54" s="5" t="s">
        <v>176</v>
      </c>
      <c r="B54" s="6" t="s">
        <v>177</v>
      </c>
      <c r="C54" s="7" t="s">
        <v>178</v>
      </c>
      <c r="D54" s="7" t="s">
        <v>178</v>
      </c>
      <c r="E54" s="7" t="s">
        <v>22</v>
      </c>
      <c r="F54" s="7" t="s">
        <v>176</v>
      </c>
      <c r="G54" s="7" t="str" cm="1">
        <f t="array" ref="G54">INDEX('municipalities per province'!F:F,MATCH(municipalities!A54,'municipalities per province'!B:B,0),0)</f>
        <v>Gelderland</v>
      </c>
      <c r="H54" s="7" t="str" cm="1">
        <f t="array" ref="H54">INDEX('municipalities per province'!E:E,MATCH(municipalities!$A54,'municipalities per province'!$B:$B,0),0)</f>
        <v>PV25</v>
      </c>
      <c r="I54" s="7" t="str" cm="1">
        <f t="array" ref="I54">INDEX('municipalities per province'!G:G,MATCH(municipalities!$A54,'municipalities per province'!$B:$B,0),0)</f>
        <v>Arnhem/Nijmegen</v>
      </c>
      <c r="J54" s="7" t="str" cm="1">
        <f t="array" ref="J54">INDEX('municipalities per province'!H:H,MATCH(municipalities!$A54,'municipalities per province'!$B:$B,0),0)</f>
        <v>ES08</v>
      </c>
      <c r="K54" s="7" cm="1">
        <f t="array" ref="K54">INDEX(coordinates!C:C,MATCH(municipalities!$A54,coordinates!$A:$A,0),0)</f>
        <v>5.6121476649115376</v>
      </c>
      <c r="L54" s="7" cm="1">
        <f t="array" ref="L54">INDEX(coordinates!D:D,MATCH(municipalities!$A54,coordinates!$A:$A,0),0)</f>
        <v>51.875013383602649</v>
      </c>
      <c r="M54" s="8">
        <v>1</v>
      </c>
      <c r="N54" s="9">
        <v>19505</v>
      </c>
      <c r="O54" s="9">
        <v>9803</v>
      </c>
      <c r="P54" s="9">
        <v>9702</v>
      </c>
      <c r="Q54" s="9">
        <v>4</v>
      </c>
      <c r="R54" s="10">
        <v>811</v>
      </c>
      <c r="S54" s="11">
        <v>65</v>
      </c>
      <c r="T54" s="11">
        <v>35</v>
      </c>
      <c r="U54" s="12">
        <f t="shared" si="0"/>
        <v>34.1</v>
      </c>
      <c r="V54" s="12">
        <f t="shared" si="1"/>
        <v>4.0999999999999996</v>
      </c>
      <c r="W54" s="12">
        <f t="shared" si="2"/>
        <v>6.9</v>
      </c>
      <c r="X54" s="12">
        <f t="shared" si="3"/>
        <v>9.9</v>
      </c>
      <c r="Y54" s="12">
        <f t="shared" si="4"/>
        <v>122.4</v>
      </c>
      <c r="Z54" s="12" cm="1">
        <f t="array" ref="Z54">INDEX(municipality_wind_potential!$X:$X,MATCH(municipalities!$F54,municipality_wind_potential!$E:$E,0),0)</f>
        <v>22</v>
      </c>
      <c r="AA54" s="12">
        <f t="shared" si="5"/>
        <v>123.19999999999999</v>
      </c>
      <c r="AB54" s="12" cm="1">
        <f t="array" ref="AB54">INDEX(municipality_wind_potential!$Y:$Y,MATCH(municipalities!$F54,municipality_wind_potential!$E:$E,0),0) / 3.6</f>
        <v>346.75277777777774</v>
      </c>
      <c r="AC54" s="12">
        <f t="shared" si="6"/>
        <v>40.046196304295655</v>
      </c>
      <c r="AD54" s="12" cm="1">
        <f t="array" ref="AD54">INDEX(municipality_pv_potential!$G:$G,MATCH(municipalities!$A54,municipality_pv_potential!$E:$E,0),0)/3.6*$AH$4</f>
        <v>37.082777777777778</v>
      </c>
      <c r="AE54" s="12">
        <f t="shared" si="7"/>
        <v>111.64206863450924</v>
      </c>
      <c r="AF54" s="12" cm="1">
        <f t="array" ref="AF54">INDEX(municipality_pv_potential!$H:$H,MATCH(municipalities!$A54,municipality_pv_potential!$E:$E,0),0)/3.6</f>
        <v>103.38055555555556</v>
      </c>
      <c r="AG54" s="12"/>
      <c r="AJ54">
        <v>34.1</v>
      </c>
      <c r="AK54">
        <v>4.0999999999999996</v>
      </c>
      <c r="AL54">
        <v>6.9</v>
      </c>
      <c r="AM54">
        <v>9.9</v>
      </c>
      <c r="AN54">
        <v>122.4</v>
      </c>
    </row>
    <row r="55" spans="1:40" x14ac:dyDescent="0.25">
      <c r="A55" s="5" t="s">
        <v>179</v>
      </c>
      <c r="B55" s="6" t="s">
        <v>180</v>
      </c>
      <c r="C55" s="7" t="s">
        <v>181</v>
      </c>
      <c r="D55" s="7" t="s">
        <v>181</v>
      </c>
      <c r="E55" s="7" t="s">
        <v>22</v>
      </c>
      <c r="F55" s="7" t="s">
        <v>179</v>
      </c>
      <c r="G55" s="7" t="str" cm="1">
        <f t="array" ref="G55">INDEX('municipalities per province'!F:F,MATCH(municipalities!A55,'municipalities per province'!B:B,0),0)</f>
        <v>Gelderland</v>
      </c>
      <c r="H55" s="7" t="str" cm="1">
        <f t="array" ref="H55">INDEX('municipalities per province'!E:E,MATCH(municipalities!$A55,'municipalities per province'!$B:$B,0),0)</f>
        <v>PV25</v>
      </c>
      <c r="I55" s="7" t="str" cm="1">
        <f t="array" ref="I55">INDEX('municipalities per province'!G:G,MATCH(municipalities!$A55,'municipalities per province'!$B:$B,0),0)</f>
        <v>Arnhem/Nijmegen</v>
      </c>
      <c r="J55" s="7" t="str" cm="1">
        <f t="array" ref="J55">INDEX('municipalities per province'!H:H,MATCH(municipalities!$A55,'municipalities per province'!$B:$B,0),0)</f>
        <v>ES08</v>
      </c>
      <c r="K55" s="7" cm="1">
        <f t="array" ref="K55">INDEX(coordinates!C:C,MATCH(municipalities!$A55,coordinates!$A:$A,0),0)</f>
        <v>6.0181770362350724</v>
      </c>
      <c r="L55" s="7" cm="1">
        <f t="array" ref="L55">INDEX(coordinates!D:D,MATCH(municipalities!$A55,coordinates!$A:$A,0),0)</f>
        <v>51.946553243027992</v>
      </c>
      <c r="M55" s="8">
        <v>1</v>
      </c>
      <c r="N55" s="9">
        <v>24937</v>
      </c>
      <c r="O55" s="9">
        <v>12332</v>
      </c>
      <c r="P55" s="9">
        <v>12605</v>
      </c>
      <c r="Q55" s="9">
        <v>3</v>
      </c>
      <c r="R55" s="10">
        <v>1170</v>
      </c>
      <c r="S55" s="11">
        <v>67</v>
      </c>
      <c r="T55" s="11">
        <v>33</v>
      </c>
      <c r="U55" s="12">
        <f t="shared" si="0"/>
        <v>34.200000000000003</v>
      </c>
      <c r="V55" s="12">
        <f t="shared" si="1"/>
        <v>4.5999999999999996</v>
      </c>
      <c r="W55" s="12">
        <f t="shared" si="2"/>
        <v>7.4</v>
      </c>
      <c r="X55" s="12">
        <f t="shared" si="3"/>
        <v>10</v>
      </c>
      <c r="Y55" s="12">
        <f t="shared" si="4"/>
        <v>100.6</v>
      </c>
      <c r="Z55" s="12" cm="1">
        <f t="array" ref="Z55">INDEX(municipality_wind_potential!$X:$X,MATCH(municipalities!$F55,municipality_wind_potential!$E:$E,0),0)</f>
        <v>9</v>
      </c>
      <c r="AA55" s="12">
        <f t="shared" si="5"/>
        <v>50.4</v>
      </c>
      <c r="AB55" s="12" cm="1">
        <f t="array" ref="AB55">INDEX(municipality_wind_potential!$Y:$Y,MATCH(municipalities!$F55,municipality_wind_potential!$E:$E,0),0) / 3.6</f>
        <v>145.15277777777777</v>
      </c>
      <c r="AC55" s="12">
        <f t="shared" si="6"/>
        <v>48.784497240220787</v>
      </c>
      <c r="AD55" s="12" cm="1">
        <f t="array" ref="AD55">INDEX(municipality_pv_potential!$G:$G,MATCH(municipalities!$A55,municipality_pv_potential!$E:$E,0),0)/3.6*$AH$4</f>
        <v>45.174444444444447</v>
      </c>
      <c r="AE55" s="12">
        <f t="shared" si="7"/>
        <v>90.352771778257733</v>
      </c>
      <c r="AF55" s="12" cm="1">
        <f t="array" ref="AF55">INDEX(municipality_pv_potential!$H:$H,MATCH(municipalities!$A55,municipality_pv_potential!$E:$E,0),0)/3.6</f>
        <v>83.666666666666657</v>
      </c>
      <c r="AG55" s="12"/>
      <c r="AJ55">
        <v>34.200000000000003</v>
      </c>
      <c r="AK55">
        <v>4.5999999999999996</v>
      </c>
      <c r="AL55">
        <v>7.4</v>
      </c>
      <c r="AM55">
        <v>10</v>
      </c>
      <c r="AN55">
        <v>100.6</v>
      </c>
    </row>
    <row r="56" spans="1:40" x14ac:dyDescent="0.25">
      <c r="A56" s="5" t="s">
        <v>182</v>
      </c>
      <c r="B56" s="6" t="s">
        <v>183</v>
      </c>
      <c r="C56" s="7" t="s">
        <v>184</v>
      </c>
      <c r="D56" s="7" t="s">
        <v>184</v>
      </c>
      <c r="E56" s="7" t="s">
        <v>22</v>
      </c>
      <c r="F56" s="7" t="s">
        <v>182</v>
      </c>
      <c r="G56" s="7" t="str" cm="1">
        <f t="array" ref="G56">INDEX('municipalities per province'!F:F,MATCH(municipalities!A56,'municipalities per province'!B:B,0),0)</f>
        <v>Gelderland</v>
      </c>
      <c r="H56" s="7" t="str" cm="1">
        <f t="array" ref="H56">INDEX('municipalities per province'!E:E,MATCH(municipalities!$A56,'municipalities per province'!$B:$B,0),0)</f>
        <v>PV25</v>
      </c>
      <c r="I56" s="7" t="str" cm="1">
        <f t="array" ref="I56">INDEX('municipalities per province'!G:G,MATCH(municipalities!$A56,'municipalities per province'!$B:$B,0),0)</f>
        <v>Foodvalley</v>
      </c>
      <c r="J56" s="7" t="str" cm="1">
        <f t="array" ref="J56">INDEX('municipalities per province'!H:H,MATCH(municipalities!$A56,'municipalities per province'!$B:$B,0),0)</f>
        <v>ES09</v>
      </c>
      <c r="K56" s="7" cm="1">
        <f t="array" ref="K56">INDEX(coordinates!C:C,MATCH(municipalities!$A56,coordinates!$A:$A,0),0)</f>
        <v>5.7280372722172004</v>
      </c>
      <c r="L56" s="7" cm="1">
        <f t="array" ref="L56">INDEX(coordinates!D:D,MATCH(municipalities!$A56,coordinates!$A:$A,0),0)</f>
        <v>52.076423043715863</v>
      </c>
      <c r="M56" s="8">
        <v>1</v>
      </c>
      <c r="N56" s="9">
        <v>122012</v>
      </c>
      <c r="O56" s="9">
        <v>60626</v>
      </c>
      <c r="P56" s="9">
        <v>61386</v>
      </c>
      <c r="Q56" s="9">
        <v>2</v>
      </c>
      <c r="R56" s="10">
        <v>1616</v>
      </c>
      <c r="S56" s="11">
        <v>65</v>
      </c>
      <c r="T56" s="11">
        <v>35</v>
      </c>
      <c r="U56" s="12">
        <f t="shared" si="0"/>
        <v>34.5</v>
      </c>
      <c r="V56" s="12">
        <f t="shared" si="1"/>
        <v>4.7</v>
      </c>
      <c r="W56" s="12">
        <f t="shared" si="2"/>
        <v>7.2</v>
      </c>
      <c r="X56" s="12">
        <f t="shared" si="3"/>
        <v>9.3000000000000007</v>
      </c>
      <c r="Y56" s="12">
        <f t="shared" si="4"/>
        <v>127.9</v>
      </c>
      <c r="Z56" s="12" cm="1">
        <f t="array" ref="Z56">INDEX(municipality_wind_potential!$X:$X,MATCH(municipalities!$F56,municipality_wind_potential!$E:$E,0),0)</f>
        <v>139</v>
      </c>
      <c r="AA56" s="12">
        <f t="shared" si="5"/>
        <v>778.4</v>
      </c>
      <c r="AB56" s="12" cm="1">
        <f t="array" ref="AB56">INDEX(municipality_wind_potential!$Y:$Y,MATCH(municipalities!$F56,municipality_wind_potential!$E:$E,0),0) / 3.6</f>
        <v>2055.338888888889</v>
      </c>
      <c r="AC56" s="12">
        <f t="shared" si="6"/>
        <v>249.82601391888653</v>
      </c>
      <c r="AD56" s="12" cm="1">
        <f t="array" ref="AD56">INDEX(municipality_pv_potential!$G:$G,MATCH(municipalities!$A56,municipality_pv_potential!$E:$E,0),0)/3.6*$AH$4</f>
        <v>231.33888888888893</v>
      </c>
      <c r="AE56" s="12">
        <f t="shared" si="7"/>
        <v>388.28593712502999</v>
      </c>
      <c r="AF56" s="12" cm="1">
        <f t="array" ref="AF56">INDEX(municipality_pv_potential!$H:$H,MATCH(municipalities!$A56,municipality_pv_potential!$E:$E,0),0)/3.6</f>
        <v>359.55277777777781</v>
      </c>
      <c r="AG56" s="12"/>
      <c r="AJ56">
        <v>34.5</v>
      </c>
      <c r="AK56">
        <v>4.7</v>
      </c>
      <c r="AL56">
        <v>7.2</v>
      </c>
      <c r="AM56">
        <v>9.3000000000000007</v>
      </c>
      <c r="AN56">
        <v>127.9</v>
      </c>
    </row>
    <row r="57" spans="1:40" x14ac:dyDescent="0.25">
      <c r="A57" s="5" t="s">
        <v>185</v>
      </c>
      <c r="B57" s="6" t="s">
        <v>186</v>
      </c>
      <c r="C57" s="7" t="s">
        <v>187</v>
      </c>
      <c r="D57" s="7" t="s">
        <v>187</v>
      </c>
      <c r="E57" s="7" t="s">
        <v>22</v>
      </c>
      <c r="F57" s="7" t="s">
        <v>185</v>
      </c>
      <c r="G57" s="7" t="str" cm="1">
        <f t="array" ref="G57">INDEX('municipalities per province'!F:F,MATCH(municipalities!A57,'municipalities per province'!B:B,0),0)</f>
        <v>Gelderland</v>
      </c>
      <c r="H57" s="7" t="str" cm="1">
        <f t="array" ref="H57">INDEX('municipalities per province'!E:E,MATCH(municipalities!$A57,'municipalities per province'!$B:$B,0),0)</f>
        <v>PV25</v>
      </c>
      <c r="I57" s="7" t="str" cm="1">
        <f t="array" ref="I57">INDEX('municipalities per province'!G:G,MATCH(municipalities!$A57,'municipalities per province'!$B:$B,0),0)</f>
        <v>Noord-Veluwe</v>
      </c>
      <c r="J57" s="7" t="str" cm="1">
        <f t="array" ref="J57">INDEX('municipalities per province'!H:H,MATCH(municipalities!$A57,'municipalities per province'!$B:$B,0),0)</f>
        <v>ES10</v>
      </c>
      <c r="K57" s="7" cm="1">
        <f t="array" ref="K57">INDEX(coordinates!C:C,MATCH(municipalities!$A57,coordinates!$A:$A,0),0)</f>
        <v>5.8192582302803197</v>
      </c>
      <c r="L57" s="7" cm="1">
        <f t="array" ref="L57">INDEX(coordinates!D:D,MATCH(municipalities!$A57,coordinates!$A:$A,0),0)</f>
        <v>52.452760259852361</v>
      </c>
      <c r="M57" s="8">
        <v>1</v>
      </c>
      <c r="N57" s="9">
        <v>24037</v>
      </c>
      <c r="O57" s="9">
        <v>12040</v>
      </c>
      <c r="P57" s="9">
        <v>11997</v>
      </c>
      <c r="Q57" s="9">
        <v>4</v>
      </c>
      <c r="R57" s="10">
        <v>681</v>
      </c>
      <c r="S57" s="11">
        <v>65</v>
      </c>
      <c r="T57" s="11">
        <v>35</v>
      </c>
      <c r="U57" s="12">
        <f t="shared" si="0"/>
        <v>32.799999999999997</v>
      </c>
      <c r="V57" s="12">
        <f t="shared" si="1"/>
        <v>3.7</v>
      </c>
      <c r="W57" s="12">
        <f t="shared" si="2"/>
        <v>6.3</v>
      </c>
      <c r="X57" s="12">
        <f t="shared" si="3"/>
        <v>8.8000000000000007</v>
      </c>
      <c r="Y57" s="12">
        <f t="shared" si="4"/>
        <v>130.30000000000001</v>
      </c>
      <c r="Z57" s="12" cm="1">
        <f t="array" ref="Z57">INDEX(municipality_wind_potential!$X:$X,MATCH(municipalities!$F57,municipality_wind_potential!$E:$E,0),0)</f>
        <v>42</v>
      </c>
      <c r="AA57" s="12">
        <f t="shared" si="5"/>
        <v>235.2</v>
      </c>
      <c r="AB57" s="12" cm="1">
        <f t="array" ref="AB57">INDEX(municipality_wind_potential!$Y:$Y,MATCH(municipalities!$F57,municipality_wind_potential!$E:$E,0),0) / 3.6</f>
        <v>623.28055555555557</v>
      </c>
      <c r="AC57" s="12">
        <f t="shared" si="6"/>
        <v>42.558795296376296</v>
      </c>
      <c r="AD57" s="12" cm="1">
        <f t="array" ref="AD57">INDEX(municipality_pv_potential!$G:$G,MATCH(municipalities!$A57,municipality_pv_potential!$E:$E,0),0)/3.6*$AH$4</f>
        <v>39.409444444444446</v>
      </c>
      <c r="AE57" s="12">
        <f t="shared" si="7"/>
        <v>111.65706743460524</v>
      </c>
      <c r="AF57" s="12" cm="1">
        <f t="array" ref="AF57">INDEX(municipality_pv_potential!$H:$H,MATCH(municipalities!$A57,municipality_pv_potential!$E:$E,0),0)/3.6</f>
        <v>103.39444444444445</v>
      </c>
      <c r="AG57" s="12"/>
      <c r="AJ57">
        <v>32.799999999999997</v>
      </c>
      <c r="AK57">
        <v>3.7</v>
      </c>
      <c r="AL57">
        <v>6.3</v>
      </c>
      <c r="AM57">
        <v>8.8000000000000007</v>
      </c>
      <c r="AN57">
        <v>130.30000000000001</v>
      </c>
    </row>
    <row r="58" spans="1:40" x14ac:dyDescent="0.25">
      <c r="A58" s="5" t="s">
        <v>188</v>
      </c>
      <c r="B58" s="6" t="s">
        <v>189</v>
      </c>
      <c r="C58" s="7" t="s">
        <v>190</v>
      </c>
      <c r="D58" s="7" t="s">
        <v>190</v>
      </c>
      <c r="E58" s="7" t="s">
        <v>22</v>
      </c>
      <c r="F58" s="7" t="s">
        <v>188</v>
      </c>
      <c r="G58" s="7" t="str" cm="1">
        <f t="array" ref="G58">INDEX('municipalities per province'!F:F,MATCH(municipalities!A58,'municipalities per province'!B:B,0),0)</f>
        <v>Gelderland</v>
      </c>
      <c r="H58" s="7" t="str" cm="1">
        <f t="array" ref="H58">INDEX('municipalities per province'!E:E,MATCH(municipalities!$A58,'municipalities per province'!$B:$B,0),0)</f>
        <v>PV25</v>
      </c>
      <c r="I58" s="7" t="str" cm="1">
        <f t="array" ref="I58">INDEX('municipalities per province'!G:G,MATCH(municipalities!$A58,'municipalities per province'!$B:$B,0),0)</f>
        <v>Cleantech</v>
      </c>
      <c r="J58" s="7" t="str" cm="1">
        <f t="array" ref="J58">INDEX('municipalities per province'!H:H,MATCH(municipalities!$A58,'municipalities per province'!$B:$B,0),0)</f>
        <v>ES12</v>
      </c>
      <c r="K58" s="7" cm="1">
        <f t="array" ref="K58">INDEX(coordinates!C:C,MATCH(municipalities!$A58,coordinates!$A:$A,0),0)</f>
        <v>5.9549852891522876</v>
      </c>
      <c r="L58" s="7" cm="1">
        <f t="array" ref="L58">INDEX(coordinates!D:D,MATCH(municipalities!$A58,coordinates!$A:$A,0),0)</f>
        <v>52.325519465380523</v>
      </c>
      <c r="M58" s="8">
        <v>1</v>
      </c>
      <c r="N58" s="9">
        <v>33283</v>
      </c>
      <c r="O58" s="9">
        <v>16584</v>
      </c>
      <c r="P58" s="9">
        <v>16699</v>
      </c>
      <c r="Q58" s="9">
        <v>4</v>
      </c>
      <c r="R58" s="10">
        <v>732</v>
      </c>
      <c r="S58" s="11">
        <v>65</v>
      </c>
      <c r="T58" s="11">
        <v>35</v>
      </c>
      <c r="U58" s="12">
        <f t="shared" si="0"/>
        <v>34.6</v>
      </c>
      <c r="V58" s="12">
        <f t="shared" si="1"/>
        <v>4.4000000000000004</v>
      </c>
      <c r="W58" s="12">
        <f t="shared" si="2"/>
        <v>7.2</v>
      </c>
      <c r="X58" s="12">
        <f t="shared" si="3"/>
        <v>10</v>
      </c>
      <c r="Y58" s="12">
        <f t="shared" si="4"/>
        <v>165.7</v>
      </c>
      <c r="Z58" s="12" cm="1">
        <f t="array" ref="Z58">INDEX(municipality_wind_potential!$X:$X,MATCH(municipalities!$F58,municipality_wind_potential!$E:$E,0),0)</f>
        <v>103</v>
      </c>
      <c r="AA58" s="12">
        <f t="shared" si="5"/>
        <v>576.79999999999995</v>
      </c>
      <c r="AB58" s="12" cm="1">
        <f t="array" ref="AB58">INDEX(municipality_wind_potential!$Y:$Y,MATCH(municipalities!$F58,municipality_wind_potential!$E:$E,0),0) / 3.6</f>
        <v>1521.1</v>
      </c>
      <c r="AC58" s="12">
        <f t="shared" si="6"/>
        <v>81.004319654427661</v>
      </c>
      <c r="AD58" s="12" cm="1">
        <f t="array" ref="AD58">INDEX(municipality_pv_potential!$G:$G,MATCH(municipalities!$A58,municipality_pv_potential!$E:$E,0),0)/3.6*$AH$4</f>
        <v>75.010000000000005</v>
      </c>
      <c r="AE58" s="12">
        <f t="shared" si="7"/>
        <v>248.63810895128387</v>
      </c>
      <c r="AF58" s="12" cm="1">
        <f t="array" ref="AF58">INDEX(municipality_pv_potential!$H:$H,MATCH(municipalities!$A58,municipality_pv_potential!$E:$E,0),0)/3.6</f>
        <v>230.23888888888888</v>
      </c>
      <c r="AG58" s="12"/>
      <c r="AJ58">
        <v>34.6</v>
      </c>
      <c r="AK58">
        <v>4.4000000000000004</v>
      </c>
      <c r="AL58">
        <v>7.2</v>
      </c>
      <c r="AM58">
        <v>10</v>
      </c>
      <c r="AN58">
        <v>165.7</v>
      </c>
    </row>
    <row r="59" spans="1:40" x14ac:dyDescent="0.25">
      <c r="A59" s="5" t="s">
        <v>191</v>
      </c>
      <c r="B59" s="6" t="s">
        <v>192</v>
      </c>
      <c r="C59" s="7" t="s">
        <v>193</v>
      </c>
      <c r="D59" s="7" t="s">
        <v>193</v>
      </c>
      <c r="E59" s="7" t="s">
        <v>22</v>
      </c>
      <c r="F59" s="7" t="s">
        <v>191</v>
      </c>
      <c r="G59" s="7" t="str" cm="1">
        <f t="array" ref="G59">INDEX('municipalities per province'!F:F,MATCH(municipalities!A59,'municipalities per province'!B:B,0),0)</f>
        <v>Gelderland</v>
      </c>
      <c r="H59" s="7" t="str" cm="1">
        <f t="array" ref="H59">INDEX('municipalities per province'!E:E,MATCH(municipalities!$A59,'municipalities per province'!$B:$B,0),0)</f>
        <v>PV25</v>
      </c>
      <c r="I59" s="7" t="str" cm="1">
        <f t="array" ref="I59">INDEX('municipalities per province'!G:G,MATCH(municipalities!$A59,'municipalities per province'!$B:$B,0),0)</f>
        <v>Noord-Veluwe</v>
      </c>
      <c r="J59" s="7" t="str" cm="1">
        <f t="array" ref="J59">INDEX('municipalities per province'!H:H,MATCH(municipalities!$A59,'municipalities per province'!$B:$B,0),0)</f>
        <v>ES10</v>
      </c>
      <c r="K59" s="7" cm="1">
        <f t="array" ref="K59">INDEX(coordinates!C:C,MATCH(municipalities!$A59,coordinates!$A:$A,0),0)</f>
        <v>5.5606463132578297</v>
      </c>
      <c r="L59" s="7" cm="1">
        <f t="array" ref="L59">INDEX(coordinates!D:D,MATCH(municipalities!$A59,coordinates!$A:$A,0),0)</f>
        <v>52.315861516464381</v>
      </c>
      <c r="M59" s="8">
        <v>1</v>
      </c>
      <c r="N59" s="9">
        <v>27496</v>
      </c>
      <c r="O59" s="9">
        <v>13663</v>
      </c>
      <c r="P59" s="9">
        <v>13833</v>
      </c>
      <c r="Q59" s="9">
        <v>4</v>
      </c>
      <c r="R59" s="10">
        <v>933</v>
      </c>
      <c r="S59" s="11">
        <v>62</v>
      </c>
      <c r="T59" s="11">
        <v>38</v>
      </c>
      <c r="U59" s="12">
        <f t="shared" si="0"/>
        <v>35.200000000000003</v>
      </c>
      <c r="V59" s="12">
        <f t="shared" si="1"/>
        <v>4.3</v>
      </c>
      <c r="W59" s="12">
        <f t="shared" si="2"/>
        <v>6.9</v>
      </c>
      <c r="X59" s="12">
        <f t="shared" si="3"/>
        <v>9</v>
      </c>
      <c r="Y59" s="12">
        <f t="shared" si="4"/>
        <v>154.5</v>
      </c>
      <c r="Z59" s="12" cm="1">
        <f t="array" ref="Z59">INDEX(municipality_wind_potential!$X:$X,MATCH(municipalities!$F59,municipality_wind_potential!$E:$E,0),0)</f>
        <v>59</v>
      </c>
      <c r="AA59" s="12">
        <f t="shared" si="5"/>
        <v>330.4</v>
      </c>
      <c r="AB59" s="12" cm="1">
        <f t="array" ref="AB59">INDEX(municipality_wind_potential!$Y:$Y,MATCH(municipalities!$F59,municipality_wind_potential!$E:$E,0),0) / 3.6</f>
        <v>875.56111111111113</v>
      </c>
      <c r="AC59" s="12">
        <f t="shared" si="6"/>
        <v>58.795296376289905</v>
      </c>
      <c r="AD59" s="12" cm="1">
        <f t="array" ref="AD59">INDEX(municipality_pv_potential!$G:$G,MATCH(municipalities!$A59,municipality_pv_potential!$E:$E,0),0)/3.6*$AH$4</f>
        <v>54.44444444444445</v>
      </c>
      <c r="AE59" s="12">
        <f t="shared" si="7"/>
        <v>76.664866810655141</v>
      </c>
      <c r="AF59" s="12" cm="1">
        <f t="array" ref="AF59">INDEX(municipality_pv_potential!$H:$H,MATCH(municipalities!$A59,municipality_pv_potential!$E:$E,0),0)/3.6</f>
        <v>70.99166666666666</v>
      </c>
      <c r="AG59" s="12"/>
      <c r="AJ59">
        <v>35.200000000000003</v>
      </c>
      <c r="AK59">
        <v>4.3</v>
      </c>
      <c r="AL59">
        <v>6.9</v>
      </c>
      <c r="AM59">
        <v>9</v>
      </c>
      <c r="AN59">
        <v>154.5</v>
      </c>
    </row>
    <row r="60" spans="1:40" x14ac:dyDescent="0.25">
      <c r="A60" s="5" t="s">
        <v>194</v>
      </c>
      <c r="B60" s="6" t="s">
        <v>195</v>
      </c>
      <c r="C60" s="7" t="s">
        <v>196</v>
      </c>
      <c r="D60" s="7" t="s">
        <v>196</v>
      </c>
      <c r="E60" s="7" t="s">
        <v>22</v>
      </c>
      <c r="F60" s="7" t="s">
        <v>194</v>
      </c>
      <c r="G60" s="7" t="str" cm="1">
        <f t="array" ref="G60">INDEX('municipalities per province'!F:F,MATCH(municipalities!A60,'municipalities per province'!B:B,0),0)</f>
        <v>Gelderland</v>
      </c>
      <c r="H60" s="7" t="str" cm="1">
        <f t="array" ref="H60">INDEX('municipalities per province'!E:E,MATCH(municipalities!$A60,'municipalities per province'!$B:$B,0),0)</f>
        <v>PV25</v>
      </c>
      <c r="I60" s="7" t="str" cm="1">
        <f t="array" ref="I60">INDEX('municipalities per province'!G:G,MATCH(municipalities!$A60,'municipalities per province'!$B:$B,0),0)</f>
        <v>Noord-Veluwe</v>
      </c>
      <c r="J60" s="7" t="str" cm="1">
        <f t="array" ref="J60">INDEX('municipalities per province'!H:H,MATCH(municipalities!$A60,'municipalities per province'!$B:$B,0),0)</f>
        <v>ES10</v>
      </c>
      <c r="K60" s="7" cm="1">
        <f t="array" ref="K60">INDEX(coordinates!C:C,MATCH(municipalities!$A60,coordinates!$A:$A,0),0)</f>
        <v>5.5974186419448957</v>
      </c>
      <c r="L60" s="7" cm="1">
        <f t="array" ref="L60">INDEX(coordinates!D:D,MATCH(municipalities!$A60,coordinates!$A:$A,0),0)</f>
        <v>52.349034935471408</v>
      </c>
      <c r="M60" s="8">
        <v>1</v>
      </c>
      <c r="N60" s="9">
        <v>48906</v>
      </c>
      <c r="O60" s="9">
        <v>24246</v>
      </c>
      <c r="P60" s="9">
        <v>24660</v>
      </c>
      <c r="Q60" s="9">
        <v>2</v>
      </c>
      <c r="R60" s="10">
        <v>1587</v>
      </c>
      <c r="S60" s="11">
        <v>59</v>
      </c>
      <c r="T60" s="11">
        <v>41</v>
      </c>
      <c r="U60" s="12">
        <f t="shared" si="0"/>
        <v>33.6</v>
      </c>
      <c r="V60" s="12">
        <f t="shared" si="1"/>
        <v>5.3</v>
      </c>
      <c r="W60" s="12">
        <f t="shared" si="2"/>
        <v>8.1999999999999993</v>
      </c>
      <c r="X60" s="12">
        <f t="shared" si="3"/>
        <v>10.8</v>
      </c>
      <c r="Y60" s="12">
        <f t="shared" si="4"/>
        <v>102.2</v>
      </c>
      <c r="Z60" s="12" cm="1">
        <f t="array" ref="Z60">INDEX(municipality_wind_potential!$X:$X,MATCH(municipalities!$F60,municipality_wind_potential!$E:$E,0),0)</f>
        <v>23</v>
      </c>
      <c r="AA60" s="12">
        <f t="shared" si="5"/>
        <v>128.79999999999998</v>
      </c>
      <c r="AB60" s="12" cm="1">
        <f t="array" ref="AB60">INDEX(municipality_wind_potential!$Y:$Y,MATCH(municipalities!$F60,municipality_wind_potential!$E:$E,0),0) / 3.6</f>
        <v>333.9</v>
      </c>
      <c r="AC60" s="12">
        <f t="shared" si="6"/>
        <v>69.42584593232543</v>
      </c>
      <c r="AD60" s="12" cm="1">
        <f t="array" ref="AD60">INDEX(municipality_pv_potential!$G:$G,MATCH(municipalities!$A60,municipality_pv_potential!$E:$E,0),0)/3.6*$AH$4</f>
        <v>64.288333333333341</v>
      </c>
      <c r="AE60" s="12">
        <f t="shared" si="7"/>
        <v>25.188984881209503</v>
      </c>
      <c r="AF60" s="12" cm="1">
        <f t="array" ref="AF60">INDEX(municipality_pv_potential!$H:$H,MATCH(municipalities!$A60,municipality_pv_potential!$E:$E,0),0)/3.6</f>
        <v>23.324999999999999</v>
      </c>
      <c r="AG60" s="12"/>
      <c r="AJ60">
        <v>33.6</v>
      </c>
      <c r="AK60">
        <v>5.3</v>
      </c>
      <c r="AL60">
        <v>8.1999999999999993</v>
      </c>
      <c r="AM60">
        <v>10.8</v>
      </c>
      <c r="AN60">
        <v>102.2</v>
      </c>
    </row>
    <row r="61" spans="1:40" x14ac:dyDescent="0.25">
      <c r="A61" s="5" t="s">
        <v>197</v>
      </c>
      <c r="B61" s="6" t="s">
        <v>198</v>
      </c>
      <c r="C61" s="7" t="s">
        <v>199</v>
      </c>
      <c r="D61" s="7" t="s">
        <v>199</v>
      </c>
      <c r="E61" s="7" t="s">
        <v>22</v>
      </c>
      <c r="F61" s="7" t="s">
        <v>197</v>
      </c>
      <c r="G61" s="7" t="str" cm="1">
        <f t="array" ref="G61">INDEX('municipalities per province'!F:F,MATCH(municipalities!A61,'municipalities per province'!B:B,0),0)</f>
        <v>Gelderland</v>
      </c>
      <c r="H61" s="7" t="str" cm="1">
        <f t="array" ref="H61">INDEX('municipalities per province'!E:E,MATCH(municipalities!$A61,'municipalities per province'!$B:$B,0),0)</f>
        <v>PV25</v>
      </c>
      <c r="I61" s="7" t="str" cm="1">
        <f t="array" ref="I61">INDEX('municipalities per province'!G:G,MATCH(municipalities!$A61,'municipalities per province'!$B:$B,0),0)</f>
        <v>Noord-Veluwe</v>
      </c>
      <c r="J61" s="7" t="str" cm="1">
        <f t="array" ref="J61">INDEX('municipalities per province'!H:H,MATCH(municipalities!$A61,'municipalities per province'!$B:$B,0),0)</f>
        <v>ES10</v>
      </c>
      <c r="K61" s="7" cm="1">
        <f t="array" ref="K61">INDEX(coordinates!C:C,MATCH(municipalities!$A61,coordinates!$A:$A,0),0)</f>
        <v>6.053254850479612</v>
      </c>
      <c r="L61" s="7" cm="1">
        <f t="array" ref="L61">INDEX(coordinates!D:D,MATCH(municipalities!$A61,coordinates!$A:$A,0),0)</f>
        <v>52.474783758775182</v>
      </c>
      <c r="M61" s="8">
        <v>1</v>
      </c>
      <c r="N61" s="9">
        <v>12563</v>
      </c>
      <c r="O61" s="9">
        <v>6211</v>
      </c>
      <c r="P61" s="9">
        <v>6352</v>
      </c>
      <c r="Q61" s="9">
        <v>4</v>
      </c>
      <c r="R61" s="10">
        <v>847</v>
      </c>
      <c r="S61" s="11">
        <v>66</v>
      </c>
      <c r="T61" s="11">
        <v>34</v>
      </c>
      <c r="U61" s="12">
        <f t="shared" si="0"/>
        <v>35.700000000000003</v>
      </c>
      <c r="V61" s="12">
        <f t="shared" si="1"/>
        <v>2.6</v>
      </c>
      <c r="W61" s="12">
        <f t="shared" si="2"/>
        <v>4.3</v>
      </c>
      <c r="X61" s="12">
        <f t="shared" si="3"/>
        <v>6.6</v>
      </c>
      <c r="Y61" s="12">
        <f t="shared" si="4"/>
        <v>162.80000000000001</v>
      </c>
      <c r="Z61" s="12" cm="1">
        <f t="array" ref="Z61">INDEX(municipality_wind_potential!$X:$X,MATCH(municipalities!$F61,municipality_wind_potential!$E:$E,0),0)</f>
        <v>6</v>
      </c>
      <c r="AA61" s="12">
        <f t="shared" si="5"/>
        <v>33.599999999999994</v>
      </c>
      <c r="AB61" s="12" cm="1">
        <f t="array" ref="AB61">INDEX(municipality_wind_potential!$Y:$Y,MATCH(municipalities!$F61,municipality_wind_potential!$E:$E,0),0) / 3.6</f>
        <v>96.766666666666666</v>
      </c>
      <c r="AC61" s="12">
        <f t="shared" si="6"/>
        <v>19.640028797696182</v>
      </c>
      <c r="AD61" s="12" cm="1">
        <f t="array" ref="AD61">INDEX(municipality_pv_potential!$G:$G,MATCH(municipalities!$A61,municipality_pv_potential!$E:$E,0),0)/3.6*$AH$4</f>
        <v>18.186666666666667</v>
      </c>
      <c r="AE61" s="12">
        <f t="shared" si="7"/>
        <v>50.296976241900644</v>
      </c>
      <c r="AF61" s="12" cm="1">
        <f t="array" ref="AF61">INDEX(municipality_pv_potential!$H:$H,MATCH(municipalities!$A61,municipality_pv_potential!$E:$E,0),0)/3.6</f>
        <v>46.574999999999996</v>
      </c>
      <c r="AG61" s="12"/>
      <c r="AJ61">
        <v>35.700000000000003</v>
      </c>
      <c r="AK61">
        <v>2.6</v>
      </c>
      <c r="AL61">
        <v>4.3</v>
      </c>
      <c r="AM61">
        <v>6.6</v>
      </c>
      <c r="AN61">
        <v>162.80000000000001</v>
      </c>
    </row>
    <row r="62" spans="1:40" x14ac:dyDescent="0.25">
      <c r="A62" s="5" t="s">
        <v>200</v>
      </c>
      <c r="B62" s="6" t="s">
        <v>201</v>
      </c>
      <c r="C62" s="7" t="s">
        <v>202</v>
      </c>
      <c r="D62" s="7" t="s">
        <v>202</v>
      </c>
      <c r="E62" s="7" t="s">
        <v>22</v>
      </c>
      <c r="F62" s="7" t="s">
        <v>200</v>
      </c>
      <c r="G62" s="7" t="str" cm="1">
        <f t="array" ref="G62">INDEX('municipalities per province'!F:F,MATCH(municipalities!A62,'municipalities per province'!B:B,0),0)</f>
        <v>Gelderland</v>
      </c>
      <c r="H62" s="7" t="str" cm="1">
        <f t="array" ref="H62">INDEX('municipalities per province'!E:E,MATCH(municipalities!$A62,'municipalities per province'!$B:$B,0),0)</f>
        <v>PV25</v>
      </c>
      <c r="I62" s="7" t="str" cm="1">
        <f t="array" ref="I62">INDEX('municipalities per province'!G:G,MATCH(municipalities!$A62,'municipalities per province'!$B:$B,0),0)</f>
        <v>Cleantech</v>
      </c>
      <c r="J62" s="7" t="str" cm="1">
        <f t="array" ref="J62">INDEX('municipalities per province'!H:H,MATCH(municipalities!$A62,'municipalities per province'!$B:$B,0),0)</f>
        <v>ES12</v>
      </c>
      <c r="K62" s="7" cm="1">
        <f t="array" ref="K62">INDEX(coordinates!C:C,MATCH(municipalities!$A62,coordinates!$A:$A,0),0)</f>
        <v>6.0503343241065899</v>
      </c>
      <c r="L62" s="7" cm="1">
        <f t="array" ref="L62">INDEX(coordinates!D:D,MATCH(municipalities!$A62,coordinates!$A:$A,0),0)</f>
        <v>52.406062475530547</v>
      </c>
      <c r="M62" s="8">
        <v>1</v>
      </c>
      <c r="N62" s="9">
        <v>19214</v>
      </c>
      <c r="O62" s="9">
        <v>9495</v>
      </c>
      <c r="P62" s="9">
        <v>9719</v>
      </c>
      <c r="Q62" s="9">
        <v>4</v>
      </c>
      <c r="R62" s="10">
        <v>627</v>
      </c>
      <c r="S62" s="11">
        <v>69</v>
      </c>
      <c r="T62" s="11">
        <v>31</v>
      </c>
      <c r="U62" s="12">
        <f t="shared" si="0"/>
        <v>34.299999999999997</v>
      </c>
      <c r="V62" s="12">
        <f t="shared" si="1"/>
        <v>2.9</v>
      </c>
      <c r="W62" s="12">
        <f t="shared" si="2"/>
        <v>5</v>
      </c>
      <c r="X62" s="12">
        <f t="shared" si="3"/>
        <v>6.9</v>
      </c>
      <c r="Y62" s="12">
        <f t="shared" si="4"/>
        <v>195.5</v>
      </c>
      <c r="Z62" s="12" cm="1">
        <f t="array" ref="Z62">INDEX(municipality_wind_potential!$X:$X,MATCH(municipalities!$F62,municipality_wind_potential!$E:$E,0),0)</f>
        <v>51</v>
      </c>
      <c r="AA62" s="12">
        <f t="shared" si="5"/>
        <v>285.59999999999997</v>
      </c>
      <c r="AB62" s="12" cm="1">
        <f t="array" ref="AB62">INDEX(municipality_wind_potential!$Y:$Y,MATCH(municipalities!$F62,municipality_wind_potential!$E:$E,0),0) / 3.6</f>
        <v>749.41944444444437</v>
      </c>
      <c r="AC62" s="12">
        <f t="shared" si="6"/>
        <v>41.56167506599472</v>
      </c>
      <c r="AD62" s="12" cm="1">
        <f t="array" ref="AD62">INDEX(municipality_pv_potential!$G:$G,MATCH(municipalities!$A62,municipality_pv_potential!$E:$E,0),0)/3.6*$AH$4</f>
        <v>38.486111111111114</v>
      </c>
      <c r="AE62" s="12">
        <f t="shared" si="7"/>
        <v>155.12958963282938</v>
      </c>
      <c r="AF62" s="12" cm="1">
        <f t="array" ref="AF62">INDEX(municipality_pv_potential!$H:$H,MATCH(municipalities!$A62,municipality_pv_potential!$E:$E,0),0)/3.6</f>
        <v>143.65</v>
      </c>
      <c r="AG62" s="12"/>
      <c r="AJ62">
        <v>34.299999999999997</v>
      </c>
      <c r="AK62">
        <v>2.9</v>
      </c>
      <c r="AL62">
        <v>5</v>
      </c>
      <c r="AM62">
        <v>6.9</v>
      </c>
      <c r="AN62">
        <v>195.5</v>
      </c>
    </row>
    <row r="63" spans="1:40" x14ac:dyDescent="0.25">
      <c r="A63" s="5" t="s">
        <v>203</v>
      </c>
      <c r="B63" s="6" t="s">
        <v>204</v>
      </c>
      <c r="C63" s="7" t="s">
        <v>205</v>
      </c>
      <c r="D63" s="7" t="s">
        <v>205</v>
      </c>
      <c r="E63" s="7" t="s">
        <v>22</v>
      </c>
      <c r="F63" s="7" t="s">
        <v>203</v>
      </c>
      <c r="G63" s="7" t="str" cm="1">
        <f t="array" ref="G63">INDEX('municipalities per province'!F:F,MATCH(municipalities!A63,'municipalities per province'!B:B,0),0)</f>
        <v>Gelderland</v>
      </c>
      <c r="H63" s="7" t="str" cm="1">
        <f t="array" ref="H63">INDEX('municipalities per province'!E:E,MATCH(municipalities!$A63,'municipalities per province'!$B:$B,0),0)</f>
        <v>PV25</v>
      </c>
      <c r="I63" s="7" t="str" cm="1">
        <f t="array" ref="I63">INDEX('municipalities per province'!G:G,MATCH(municipalities!$A63,'municipalities per province'!$B:$B,0),0)</f>
        <v>Arnhem/Nijmegen</v>
      </c>
      <c r="J63" s="7" t="str" cm="1">
        <f t="array" ref="J63">INDEX('municipalities per province'!H:H,MATCH(municipalities!$A63,'municipalities per province'!$B:$B,0),0)</f>
        <v>ES08</v>
      </c>
      <c r="K63" s="7" cm="1">
        <f t="array" ref="K63">INDEX(coordinates!C:C,MATCH(municipalities!$A63,coordinates!$A:$A,0),0)</f>
        <v>5.8184948962781062</v>
      </c>
      <c r="L63" s="7" cm="1">
        <f t="array" ref="L63">INDEX(coordinates!D:D,MATCH(municipalities!$A63,coordinates!$A:$A,0),0)</f>
        <v>51.777886424906477</v>
      </c>
      <c r="M63" s="8">
        <v>1</v>
      </c>
      <c r="N63" s="9">
        <v>16824</v>
      </c>
      <c r="O63" s="9">
        <v>8360</v>
      </c>
      <c r="P63" s="9">
        <v>8464</v>
      </c>
      <c r="Q63" s="9">
        <v>4</v>
      </c>
      <c r="R63" s="10">
        <v>804</v>
      </c>
      <c r="S63" s="11">
        <v>72</v>
      </c>
      <c r="T63" s="11">
        <v>28</v>
      </c>
      <c r="U63" s="12">
        <f t="shared" si="0"/>
        <v>37.799999999999997</v>
      </c>
      <c r="V63" s="12">
        <f t="shared" si="1"/>
        <v>4</v>
      </c>
      <c r="W63" s="12">
        <f t="shared" si="2"/>
        <v>6.3</v>
      </c>
      <c r="X63" s="12">
        <f t="shared" si="3"/>
        <v>8.5</v>
      </c>
      <c r="Y63" s="12">
        <f t="shared" si="4"/>
        <v>204.8</v>
      </c>
      <c r="Z63" s="12" cm="1">
        <f t="array" ref="Z63">INDEX(municipality_wind_potential!$X:$X,MATCH(municipalities!$F63,municipality_wind_potential!$E:$E,0),0)</f>
        <v>19</v>
      </c>
      <c r="AA63" s="12">
        <f t="shared" si="5"/>
        <v>106.39999999999999</v>
      </c>
      <c r="AB63" s="12" cm="1">
        <f t="array" ref="AB63">INDEX(municipality_wind_potential!$Y:$Y,MATCH(municipalities!$F63,municipality_wind_potential!$E:$E,0),0) / 3.6</f>
        <v>274.53888888888889</v>
      </c>
      <c r="AC63" s="12">
        <f t="shared" si="6"/>
        <v>34.527237820974328</v>
      </c>
      <c r="AD63" s="12" cm="1">
        <f t="array" ref="AD63">INDEX(municipality_pv_potential!$G:$G,MATCH(municipalities!$A63,municipality_pv_potential!$E:$E,0),0)/3.6*$AH$4</f>
        <v>31.972222222222225</v>
      </c>
      <c r="AE63" s="12">
        <f t="shared" si="7"/>
        <v>91.726661867050623</v>
      </c>
      <c r="AF63" s="12" cm="1">
        <f t="array" ref="AF63">INDEX(municipality_pv_potential!$H:$H,MATCH(municipalities!$A63,municipality_pv_potential!$E:$E,0),0)/3.6</f>
        <v>84.938888888888883</v>
      </c>
      <c r="AG63" s="12"/>
      <c r="AJ63">
        <v>37.799999999999997</v>
      </c>
      <c r="AK63">
        <v>4</v>
      </c>
      <c r="AL63">
        <v>6.3</v>
      </c>
      <c r="AM63">
        <v>8.5</v>
      </c>
      <c r="AN63">
        <v>204.8</v>
      </c>
    </row>
    <row r="64" spans="1:40" x14ac:dyDescent="0.25">
      <c r="A64" s="5" t="s">
        <v>206</v>
      </c>
      <c r="B64" s="6" t="s">
        <v>207</v>
      </c>
      <c r="C64" s="7" t="s">
        <v>208</v>
      </c>
      <c r="D64" s="7" t="s">
        <v>208</v>
      </c>
      <c r="E64" s="7" t="s">
        <v>22</v>
      </c>
      <c r="F64" s="7" t="s">
        <v>206</v>
      </c>
      <c r="G64" s="7" t="str" cm="1">
        <f t="array" ref="G64">INDEX('municipalities per province'!F:F,MATCH(municipalities!A64,'municipalities per province'!B:B,0),0)</f>
        <v>Gelderland</v>
      </c>
      <c r="H64" s="7" t="str" cm="1">
        <f t="array" ref="H64">INDEX('municipalities per province'!E:E,MATCH(municipalities!$A64,'municipalities per province'!$B:$B,0),0)</f>
        <v>PV25</v>
      </c>
      <c r="I64" s="7" t="str" cm="1">
        <f t="array" ref="I64">INDEX('municipalities per province'!G:G,MATCH(municipalities!$A64,'municipalities per province'!$B:$B,0),0)</f>
        <v>Cleantech</v>
      </c>
      <c r="J64" s="7" t="str" cm="1">
        <f t="array" ref="J64">INDEX('municipalities per province'!H:H,MATCH(municipalities!$A64,'municipalities per province'!$B:$B,0),0)</f>
        <v>ES12</v>
      </c>
      <c r="K64" s="7" cm="1">
        <f t="array" ref="K64">INDEX(coordinates!C:C,MATCH(municipalities!$A64,coordinates!$A:$A,0),0)</f>
        <v>6.3468061115935281</v>
      </c>
      <c r="L64" s="7" cm="1">
        <f t="array" ref="L64">INDEX(coordinates!D:D,MATCH(municipalities!$A64,coordinates!$A:$A,0),0)</f>
        <v>52.179475890735503</v>
      </c>
      <c r="M64" s="8">
        <v>1</v>
      </c>
      <c r="N64" s="9">
        <v>34314</v>
      </c>
      <c r="O64" s="9">
        <v>16943</v>
      </c>
      <c r="P64" s="9">
        <v>17371</v>
      </c>
      <c r="Q64" s="9">
        <v>4</v>
      </c>
      <c r="R64" s="10">
        <v>600</v>
      </c>
      <c r="S64" s="11">
        <v>71</v>
      </c>
      <c r="T64" s="11">
        <v>29</v>
      </c>
      <c r="U64" s="12">
        <f t="shared" si="0"/>
        <v>37.700000000000003</v>
      </c>
      <c r="V64" s="12">
        <f t="shared" si="1"/>
        <v>4.8</v>
      </c>
      <c r="W64" s="12">
        <f t="shared" si="2"/>
        <v>7</v>
      </c>
      <c r="X64" s="12">
        <f t="shared" si="3"/>
        <v>9.1999999999999993</v>
      </c>
      <c r="Y64" s="12">
        <f t="shared" si="4"/>
        <v>214.3</v>
      </c>
      <c r="Z64" s="12" cm="1">
        <f t="array" ref="Z64">INDEX(municipality_wind_potential!$X:$X,MATCH(municipalities!$F64,municipality_wind_potential!$E:$E,0),0)</f>
        <v>73</v>
      </c>
      <c r="AA64" s="12">
        <f t="shared" si="5"/>
        <v>408.79999999999995</v>
      </c>
      <c r="AB64" s="12" cm="1">
        <f t="array" ref="AB64">INDEX(municipality_wind_potential!$Y:$Y,MATCH(municipalities!$F64,municipality_wind_potential!$E:$E,0),0) / 3.6</f>
        <v>1075.8999999999999</v>
      </c>
      <c r="AC64" s="12">
        <f t="shared" si="6"/>
        <v>111.2556995440365</v>
      </c>
      <c r="AD64" s="12" cm="1">
        <f t="array" ref="AD64">INDEX(municipality_pv_potential!$G:$G,MATCH(municipalities!$A64,municipality_pv_potential!$E:$E,0),0)/3.6*$AH$4</f>
        <v>103.02277777777779</v>
      </c>
      <c r="AE64" s="12">
        <f t="shared" si="7"/>
        <v>663.03695704343659</v>
      </c>
      <c r="AF64" s="12" cm="1">
        <f t="array" ref="AF64">INDEX(municipality_pv_potential!$H:$H,MATCH(municipalities!$A64,municipality_pv_potential!$E:$E,0),0)/3.6</f>
        <v>613.97222222222229</v>
      </c>
      <c r="AG64" s="12"/>
      <c r="AJ64">
        <v>37.700000000000003</v>
      </c>
      <c r="AK64">
        <v>4.8</v>
      </c>
      <c r="AL64">
        <v>7</v>
      </c>
      <c r="AM64">
        <v>9.1999999999999993</v>
      </c>
      <c r="AN64">
        <v>214.3</v>
      </c>
    </row>
    <row r="65" spans="1:40" x14ac:dyDescent="0.25">
      <c r="A65" s="5" t="s">
        <v>209</v>
      </c>
      <c r="B65" s="6" t="s">
        <v>210</v>
      </c>
      <c r="C65" s="7" t="s">
        <v>211</v>
      </c>
      <c r="D65" s="7" t="s">
        <v>211</v>
      </c>
      <c r="E65" s="7" t="s">
        <v>22</v>
      </c>
      <c r="F65" s="7" t="s">
        <v>209</v>
      </c>
      <c r="G65" s="7" t="str" cm="1">
        <f t="array" ref="G65">INDEX('municipalities per province'!F:F,MATCH(municipalities!A65,'municipalities per province'!B:B,0),0)</f>
        <v>Gelderland</v>
      </c>
      <c r="H65" s="7" t="str" cm="1">
        <f t="array" ref="H65">INDEX('municipalities per province'!E:E,MATCH(municipalities!$A65,'municipalities per province'!$B:$B,0),0)</f>
        <v>PV25</v>
      </c>
      <c r="I65" s="7" t="str" cm="1">
        <f t="array" ref="I65">INDEX('municipalities per province'!G:G,MATCH(municipalities!$A65,'municipalities per province'!$B:$B,0),0)</f>
        <v>FruitdeltaRivierenland</v>
      </c>
      <c r="J65" s="7" t="str" cm="1">
        <f t="array" ref="J65">INDEX('municipalities per province'!H:H,MATCH(municipalities!$A65,'municipalities per province'!$B:$B,0),0)</f>
        <v>ES11</v>
      </c>
      <c r="K65" s="7" cm="1">
        <f t="array" ref="K65">INDEX(coordinates!C:C,MATCH(municipalities!$A65,coordinates!$A:$A,0),0)</f>
        <v>5.2969593825864578</v>
      </c>
      <c r="L65" s="7" cm="1">
        <f t="array" ref="L65">INDEX(coordinates!D:D,MATCH(municipalities!$A65,coordinates!$A:$A,0),0)</f>
        <v>51.776252217433871</v>
      </c>
      <c r="M65" s="8">
        <v>1</v>
      </c>
      <c r="N65" s="9">
        <v>26020</v>
      </c>
      <c r="O65" s="9">
        <v>13308</v>
      </c>
      <c r="P65" s="9">
        <v>12712</v>
      </c>
      <c r="Q65" s="9">
        <v>5</v>
      </c>
      <c r="R65" s="10">
        <v>495</v>
      </c>
      <c r="S65" s="11">
        <v>71</v>
      </c>
      <c r="T65" s="11">
        <v>29</v>
      </c>
      <c r="U65" s="12">
        <f t="shared" si="0"/>
        <v>35.9</v>
      </c>
      <c r="V65" s="12">
        <f t="shared" si="1"/>
        <v>4.2</v>
      </c>
      <c r="W65" s="12">
        <f t="shared" si="2"/>
        <v>6.3</v>
      </c>
      <c r="X65" s="12">
        <f t="shared" si="3"/>
        <v>8.8000000000000007</v>
      </c>
      <c r="Y65" s="12">
        <f t="shared" si="4"/>
        <v>162.80000000000001</v>
      </c>
      <c r="Z65" s="12" cm="1">
        <f t="array" ref="Z65">INDEX(municipality_wind_potential!$X:$X,MATCH(municipalities!$F65,municipality_wind_potential!$E:$E,0),0)</f>
        <v>33</v>
      </c>
      <c r="AA65" s="12">
        <f t="shared" si="5"/>
        <v>184.79999999999998</v>
      </c>
      <c r="AB65" s="12" cm="1">
        <f t="array" ref="AB65">INDEX(municipality_wind_potential!$Y:$Y,MATCH(municipalities!$F65,municipality_wind_potential!$E:$E,0),0) / 3.6</f>
        <v>524.16111111111115</v>
      </c>
      <c r="AC65" s="12">
        <f t="shared" si="6"/>
        <v>75.987520998320136</v>
      </c>
      <c r="AD65" s="12" cm="1">
        <f t="array" ref="AD65">INDEX(municipality_pv_potential!$G:$G,MATCH(municipalities!$A65,municipality_pv_potential!$E:$E,0),0)/3.6*$AH$4</f>
        <v>70.364444444444445</v>
      </c>
      <c r="AE65" s="12">
        <f t="shared" si="7"/>
        <v>199.52603791696663</v>
      </c>
      <c r="AF65" s="12" cm="1">
        <f t="array" ref="AF65">INDEX(municipality_pv_potential!$H:$H,MATCH(municipalities!$A65,municipality_pv_potential!$E:$E,0),0)/3.6</f>
        <v>184.76111111111109</v>
      </c>
      <c r="AG65" s="12"/>
      <c r="AJ65">
        <v>35.9</v>
      </c>
      <c r="AK65">
        <v>4.2</v>
      </c>
      <c r="AL65">
        <v>6.3</v>
      </c>
      <c r="AM65">
        <v>8.8000000000000007</v>
      </c>
      <c r="AN65">
        <v>162.80000000000001</v>
      </c>
    </row>
    <row r="66" spans="1:40" x14ac:dyDescent="0.25">
      <c r="A66" s="5" t="s">
        <v>212</v>
      </c>
      <c r="B66" s="6" t="s">
        <v>213</v>
      </c>
      <c r="C66" s="7" t="s">
        <v>214</v>
      </c>
      <c r="D66" s="7" t="s">
        <v>214</v>
      </c>
      <c r="E66" s="7" t="s">
        <v>22</v>
      </c>
      <c r="F66" s="7" t="s">
        <v>212</v>
      </c>
      <c r="G66" s="7" t="str" cm="1">
        <f t="array" ref="G66">INDEX('municipalities per province'!F:F,MATCH(municipalities!A66,'municipalities per province'!B:B,0),0)</f>
        <v>Gelderland</v>
      </c>
      <c r="H66" s="7" t="str" cm="1">
        <f t="array" ref="H66">INDEX('municipalities per province'!E:E,MATCH(municipalities!$A66,'municipalities per province'!$B:$B,0),0)</f>
        <v>PV25</v>
      </c>
      <c r="I66" s="7" t="str" cm="1">
        <f t="array" ref="I66">INDEX('municipalities per province'!G:G,MATCH(municipalities!$A66,'municipalities per province'!$B:$B,0),0)</f>
        <v>Foodvalley</v>
      </c>
      <c r="J66" s="7" t="str" cm="1">
        <f t="array" ref="J66">INDEX('municipalities per province'!H:H,MATCH(municipalities!$A66,'municipalities per province'!$B:$B,0),0)</f>
        <v>ES09</v>
      </c>
      <c r="K66" s="7" cm="1">
        <f t="array" ref="K66">INDEX(coordinates!C:C,MATCH(municipalities!$A66,coordinates!$A:$A,0),0)</f>
        <v>5.4412127826281562</v>
      </c>
      <c r="L66" s="7" cm="1">
        <f t="array" ref="L66">INDEX(coordinates!D:D,MATCH(municipalities!$A66,coordinates!$A:$A,0),0)</f>
        <v>52.254112296998848</v>
      </c>
      <c r="M66" s="8">
        <v>1</v>
      </c>
      <c r="N66" s="9">
        <v>44975</v>
      </c>
      <c r="O66" s="9">
        <v>22436</v>
      </c>
      <c r="P66" s="9">
        <v>22539</v>
      </c>
      <c r="Q66" s="9">
        <v>3</v>
      </c>
      <c r="R66" s="10">
        <v>1140</v>
      </c>
      <c r="S66" s="11">
        <v>70</v>
      </c>
      <c r="T66" s="11">
        <v>30</v>
      </c>
      <c r="U66" s="12">
        <f t="shared" ref="U66:U129" si="8">IF(AJ66&lt;0,AVERAGEIF(AJ:AJ,"&gt;0"),AJ66)</f>
        <v>36.1</v>
      </c>
      <c r="V66" s="12">
        <f t="shared" ref="V66:V129" si="9">IF(AK66&lt;0,AVERAGEIF(AK:AK,"&gt;0"),AK66)</f>
        <v>3.7</v>
      </c>
      <c r="W66" s="12">
        <f t="shared" ref="W66:W129" si="10">IF(AL66&lt;0,AVERAGEIF(AL:AL,"&gt;0"),AL66)</f>
        <v>6</v>
      </c>
      <c r="X66" s="12">
        <f t="shared" ref="X66:X129" si="11">IF(AM66&lt;0,AVERAGEIF(AM:AM,"&gt;0"),AM66)</f>
        <v>8.4</v>
      </c>
      <c r="Y66" s="12">
        <f t="shared" ref="Y66:Y129" si="12">IF(AN66&lt;0,AVERAGEIF(AN:AN,"&gt;0"),AN66)</f>
        <v>193.8</v>
      </c>
      <c r="Z66" s="12" cm="1">
        <f t="array" ref="Z66">INDEX(municipality_wind_potential!$X:$X,MATCH(municipalities!$F66,municipality_wind_potential!$E:$E,0),0)</f>
        <v>31</v>
      </c>
      <c r="AA66" s="12">
        <f t="shared" si="5"/>
        <v>173.6</v>
      </c>
      <c r="AB66" s="12" cm="1">
        <f t="array" ref="AB66">INDEX(municipality_wind_potential!$Y:$Y,MATCH(municipalities!$F66,municipality_wind_potential!$E:$E,0),0) / 3.6</f>
        <v>491.90277777777771</v>
      </c>
      <c r="AC66" s="12">
        <f t="shared" si="6"/>
        <v>87.204823614110879</v>
      </c>
      <c r="AD66" s="12" cm="1">
        <f t="array" ref="AD66">INDEX(municipality_pv_potential!$G:$G,MATCH(municipalities!$A66,municipality_pv_potential!$E:$E,0),0)/3.6*$AH$4</f>
        <v>80.751666666666665</v>
      </c>
      <c r="AE66" s="12">
        <f t="shared" si="7"/>
        <v>197.00623950083991</v>
      </c>
      <c r="AF66" s="12" cm="1">
        <f t="array" ref="AF66">INDEX(municipality_pv_potential!$H:$H,MATCH(municipalities!$A66,municipality_pv_potential!$E:$E,0),0)/3.6</f>
        <v>182.42777777777778</v>
      </c>
      <c r="AG66" s="12"/>
      <c r="AJ66">
        <v>36.1</v>
      </c>
      <c r="AK66">
        <v>3.7</v>
      </c>
      <c r="AL66">
        <v>6</v>
      </c>
      <c r="AM66">
        <v>8.4</v>
      </c>
      <c r="AN66">
        <v>193.8</v>
      </c>
    </row>
    <row r="67" spans="1:40" x14ac:dyDescent="0.25">
      <c r="A67" s="5" t="s">
        <v>215</v>
      </c>
      <c r="B67" s="6" t="s">
        <v>216</v>
      </c>
      <c r="C67" s="7" t="s">
        <v>217</v>
      </c>
      <c r="D67" s="7" t="s">
        <v>217</v>
      </c>
      <c r="E67" s="7" t="s">
        <v>22</v>
      </c>
      <c r="F67" s="7" t="s">
        <v>215</v>
      </c>
      <c r="G67" s="7" t="str" cm="1">
        <f t="array" ref="G67">INDEX('municipalities per province'!F:F,MATCH(municipalities!A67,'municipalities per province'!B:B,0),0)</f>
        <v>Gelderland</v>
      </c>
      <c r="H67" s="7" t="str" cm="1">
        <f t="array" ref="H67">INDEX('municipalities per province'!E:E,MATCH(municipalities!$A67,'municipalities per province'!$B:$B,0),0)</f>
        <v>PV25</v>
      </c>
      <c r="I67" s="7" t="str" cm="1">
        <f t="array" ref="I67">INDEX('municipalities per province'!G:G,MATCH(municipalities!$A67,'municipalities per province'!$B:$B,0),0)</f>
        <v>Arnhem/Nijmegen</v>
      </c>
      <c r="J67" s="7" t="str" cm="1">
        <f t="array" ref="J67">INDEX('municipalities per province'!H:H,MATCH(municipalities!$A67,'municipalities per province'!$B:$B,0),0)</f>
        <v>ES08</v>
      </c>
      <c r="K67" s="7" cm="1">
        <f t="array" ref="K67">INDEX(coordinates!C:C,MATCH(municipalities!$A67,coordinates!$A:$A,0),0)</f>
        <v>5.8368042959053081</v>
      </c>
      <c r="L67" s="7" cm="1">
        <f t="array" ref="L67">INDEX(coordinates!D:D,MATCH(municipalities!$A67,coordinates!$A:$A,0),0)</f>
        <v>51.838516906143077</v>
      </c>
      <c r="M67" s="8">
        <v>1</v>
      </c>
      <c r="N67" s="9">
        <v>182480</v>
      </c>
      <c r="O67" s="9">
        <v>88158</v>
      </c>
      <c r="P67" s="9">
        <v>94322</v>
      </c>
      <c r="Q67" s="9">
        <v>2</v>
      </c>
      <c r="R67" s="10">
        <v>2423</v>
      </c>
      <c r="S67" s="11">
        <v>44</v>
      </c>
      <c r="T67" s="11">
        <v>56</v>
      </c>
      <c r="U67" s="12">
        <f t="shared" si="8"/>
        <v>28.6</v>
      </c>
      <c r="V67" s="12">
        <f t="shared" si="9"/>
        <v>9.6</v>
      </c>
      <c r="W67" s="12">
        <f t="shared" si="10"/>
        <v>14.6</v>
      </c>
      <c r="X67" s="12">
        <f t="shared" si="11"/>
        <v>18</v>
      </c>
      <c r="Y67" s="12">
        <f t="shared" si="12"/>
        <v>17.3</v>
      </c>
      <c r="Z67" s="12" cm="1">
        <f t="array" ref="Z67">INDEX(municipality_wind_potential!$X:$X,MATCH(municipalities!$F67,municipality_wind_potential!$E:$E,0),0)</f>
        <v>5</v>
      </c>
      <c r="AA67" s="12">
        <f t="shared" ref="AA67:AA130" si="13">Z67*$AH$2</f>
        <v>28</v>
      </c>
      <c r="AB67" s="12" cm="1">
        <f t="array" ref="AB67">INDEX(municipality_wind_potential!$Y:$Y,MATCH(municipalities!$F67,municipality_wind_potential!$E:$E,0),0) / 3.6</f>
        <v>66.780555555555551</v>
      </c>
      <c r="AC67" s="12">
        <f t="shared" ref="AC67:AC130" si="14">AD67/$AH$3*1000</f>
        <v>179.09647228221743</v>
      </c>
      <c r="AD67" s="12" cm="1">
        <f t="array" ref="AD67">INDEX(municipality_pv_potential!$G:$G,MATCH(municipalities!$A67,municipality_pv_potential!$E:$E,0),0)/3.6*$AH$4</f>
        <v>165.84333333333333</v>
      </c>
      <c r="AE67" s="12">
        <f t="shared" ref="AE67:AE130" si="15">AF67/$AH$3*1000</f>
        <v>23.446124310055193</v>
      </c>
      <c r="AF67" s="12" cm="1">
        <f t="array" ref="AF67">INDEX(municipality_pv_potential!$H:$H,MATCH(municipalities!$A67,municipality_pv_potential!$E:$E,0),0)/3.6</f>
        <v>21.711111111111109</v>
      </c>
      <c r="AG67" s="12"/>
      <c r="AJ67">
        <v>28.6</v>
      </c>
      <c r="AK67">
        <v>9.6</v>
      </c>
      <c r="AL67">
        <v>14.6</v>
      </c>
      <c r="AM67">
        <v>18</v>
      </c>
      <c r="AN67">
        <v>17.3</v>
      </c>
    </row>
    <row r="68" spans="1:40" x14ac:dyDescent="0.25">
      <c r="A68" s="5" t="s">
        <v>218</v>
      </c>
      <c r="B68" s="6" t="s">
        <v>219</v>
      </c>
      <c r="C68" s="7" t="s">
        <v>220</v>
      </c>
      <c r="D68" s="7" t="s">
        <v>220</v>
      </c>
      <c r="E68" s="7" t="s">
        <v>22</v>
      </c>
      <c r="F68" s="7" t="s">
        <v>218</v>
      </c>
      <c r="G68" s="7" t="str" cm="1">
        <f t="array" ref="G68">INDEX('municipalities per province'!F:F,MATCH(municipalities!A68,'municipalities per province'!B:B,0),0)</f>
        <v>Gelderland</v>
      </c>
      <c r="H68" s="7" t="str" cm="1">
        <f t="array" ref="H68">INDEX('municipalities per province'!E:E,MATCH(municipalities!$A68,'municipalities per province'!$B:$B,0),0)</f>
        <v>PV25</v>
      </c>
      <c r="I68" s="7" t="str" cm="1">
        <f t="array" ref="I68">INDEX('municipalities per province'!G:G,MATCH(municipalities!$A68,'municipalities per province'!$B:$B,0),0)</f>
        <v>Noord-Veluwe</v>
      </c>
      <c r="J68" s="7" t="str" cm="1">
        <f t="array" ref="J68">INDEX('municipalities per province'!H:H,MATCH(municipalities!$A68,'municipalities per province'!$B:$B,0),0)</f>
        <v>ES10</v>
      </c>
      <c r="K68" s="7" cm="1">
        <f t="array" ref="K68">INDEX(coordinates!C:C,MATCH(municipalities!$A68,coordinates!$A:$A,0),0)</f>
        <v>5.8525806928812516</v>
      </c>
      <c r="L68" s="7" cm="1">
        <f t="array" ref="L68">INDEX(coordinates!D:D,MATCH(municipalities!$A68,coordinates!$A:$A,0),0)</f>
        <v>52.492744121233123</v>
      </c>
      <c r="M68" s="8">
        <v>1</v>
      </c>
      <c r="N68" s="9">
        <v>24264</v>
      </c>
      <c r="O68" s="9">
        <v>12173</v>
      </c>
      <c r="P68" s="9">
        <v>12091</v>
      </c>
      <c r="Q68" s="9">
        <v>4</v>
      </c>
      <c r="R68" s="10">
        <v>654</v>
      </c>
      <c r="S68" s="11">
        <v>69</v>
      </c>
      <c r="T68" s="11">
        <v>31</v>
      </c>
      <c r="U68" s="12">
        <f t="shared" si="8"/>
        <v>33</v>
      </c>
      <c r="V68" s="12">
        <f t="shared" si="9"/>
        <v>3.3</v>
      </c>
      <c r="W68" s="12">
        <f t="shared" si="10"/>
        <v>5.5</v>
      </c>
      <c r="X68" s="12">
        <f t="shared" si="11"/>
        <v>8</v>
      </c>
      <c r="Y68" s="12">
        <f t="shared" si="12"/>
        <v>183.5</v>
      </c>
      <c r="Z68" s="12" cm="1">
        <f t="array" ref="Z68">INDEX(municipality_wind_potential!$X:$X,MATCH(municipalities!$F68,municipality_wind_potential!$E:$E,0),0)</f>
        <v>71</v>
      </c>
      <c r="AA68" s="12">
        <f t="shared" si="13"/>
        <v>397.59999999999997</v>
      </c>
      <c r="AB68" s="12" cm="1">
        <f t="array" ref="AB68">INDEX(municipality_wind_potential!$Y:$Y,MATCH(municipalities!$F68,municipality_wind_potential!$E:$E,0),0) / 3.6</f>
        <v>1137.0249999999999</v>
      </c>
      <c r="AC68" s="12">
        <f t="shared" si="14"/>
        <v>54.412047036237105</v>
      </c>
      <c r="AD68" s="12" cm="1">
        <f t="array" ref="AD68">INDEX(municipality_pv_potential!$G:$G,MATCH(municipalities!$A68,municipality_pv_potential!$E:$E,0),0)/3.6*$AH$4</f>
        <v>50.385555555555555</v>
      </c>
      <c r="AE68" s="12">
        <f t="shared" si="15"/>
        <v>247.35121190304775</v>
      </c>
      <c r="AF68" s="12" cm="1">
        <f t="array" ref="AF68">INDEX(municipality_pv_potential!$H:$H,MATCH(municipalities!$A68,municipality_pv_potential!$E:$E,0),0)/3.6</f>
        <v>229.04722222222222</v>
      </c>
      <c r="AG68" s="12"/>
      <c r="AJ68">
        <v>33</v>
      </c>
      <c r="AK68">
        <v>3.3</v>
      </c>
      <c r="AL68">
        <v>5.5</v>
      </c>
      <c r="AM68">
        <v>8</v>
      </c>
      <c r="AN68">
        <v>183.5</v>
      </c>
    </row>
    <row r="69" spans="1:40" x14ac:dyDescent="0.25">
      <c r="A69" s="5" t="s">
        <v>221</v>
      </c>
      <c r="B69" s="6" t="s">
        <v>222</v>
      </c>
      <c r="C69" s="7" t="s">
        <v>223</v>
      </c>
      <c r="D69" s="7" t="s">
        <v>223</v>
      </c>
      <c r="E69" s="7" t="s">
        <v>22</v>
      </c>
      <c r="F69" s="7" t="s">
        <v>221</v>
      </c>
      <c r="G69" s="7" t="str" cm="1">
        <f t="array" ref="G69">INDEX('municipalities per province'!F:F,MATCH(municipalities!A69,'municipalities per province'!B:B,0),0)</f>
        <v>Gelderland</v>
      </c>
      <c r="H69" s="7" t="str" cm="1">
        <f t="array" ref="H69">INDEX('municipalities per province'!E:E,MATCH(municipalities!$A69,'municipalities per province'!$B:$B,0),0)</f>
        <v>PV25</v>
      </c>
      <c r="I69" s="7" t="str" cm="1">
        <f t="array" ref="I69">INDEX('municipalities per province'!G:G,MATCH(municipalities!$A69,'municipalities per province'!$B:$B,0),0)</f>
        <v>Noord-Veluwe</v>
      </c>
      <c r="J69" s="7" t="str" cm="1">
        <f t="array" ref="J69">INDEX('municipalities per province'!H:H,MATCH(municipalities!$A69,'municipalities per province'!$B:$B,0),0)</f>
        <v>ES10</v>
      </c>
      <c r="K69" s="7" cm="1">
        <f t="array" ref="K69">INDEX(coordinates!C:C,MATCH(municipalities!$A69,coordinates!$A:$A,0),0)</f>
        <v>5.5183252590604823</v>
      </c>
      <c r="L69" s="7" cm="1">
        <f t="array" ref="L69">INDEX(coordinates!D:D,MATCH(municipalities!$A69,coordinates!$A:$A,0),0)</f>
        <v>52.270119140823439</v>
      </c>
      <c r="M69" s="8">
        <v>1</v>
      </c>
      <c r="N69" s="9">
        <v>24904</v>
      </c>
      <c r="O69" s="9">
        <v>12372</v>
      </c>
      <c r="P69" s="9">
        <v>12532</v>
      </c>
      <c r="Q69" s="9">
        <v>4</v>
      </c>
      <c r="R69" s="10">
        <v>930</v>
      </c>
      <c r="S69" s="11">
        <v>67</v>
      </c>
      <c r="T69" s="11">
        <v>33</v>
      </c>
      <c r="U69" s="12">
        <f t="shared" si="8"/>
        <v>36.5</v>
      </c>
      <c r="V69" s="12">
        <f t="shared" si="9"/>
        <v>3.7</v>
      </c>
      <c r="W69" s="12">
        <f t="shared" si="10"/>
        <v>6.1</v>
      </c>
      <c r="X69" s="12">
        <f t="shared" si="11"/>
        <v>8.5</v>
      </c>
      <c r="Y69" s="12">
        <f t="shared" si="12"/>
        <v>223.5</v>
      </c>
      <c r="Z69" s="12" cm="1">
        <f t="array" ref="Z69">INDEX(municipality_wind_potential!$X:$X,MATCH(municipalities!$F69,municipality_wind_potential!$E:$E,0),0)</f>
        <v>40</v>
      </c>
      <c r="AA69" s="12">
        <f t="shared" si="13"/>
        <v>224</v>
      </c>
      <c r="AB69" s="12" cm="1">
        <f t="array" ref="AB69">INDEX(municipality_wind_potential!$Y:$Y,MATCH(municipalities!$F69,municipality_wind_potential!$E:$E,0),0) / 3.6</f>
        <v>593.6</v>
      </c>
      <c r="AC69" s="12">
        <f t="shared" si="14"/>
        <v>66.327693784497257</v>
      </c>
      <c r="AD69" s="12" cm="1">
        <f t="array" ref="AD69">INDEX(municipality_pv_potential!$G:$G,MATCH(municipalities!$A69,municipality_pv_potential!$E:$E,0),0)/3.6*$AH$4</f>
        <v>61.419444444444451</v>
      </c>
      <c r="AE69" s="12">
        <f t="shared" si="15"/>
        <v>189.55183585313176</v>
      </c>
      <c r="AF69" s="12" cm="1">
        <f t="array" ref="AF69">INDEX(municipality_pv_potential!$H:$H,MATCH(municipalities!$A69,municipality_pv_potential!$E:$E,0),0)/3.6</f>
        <v>175.52500000000001</v>
      </c>
      <c r="AG69" s="12"/>
      <c r="AJ69">
        <v>36.5</v>
      </c>
      <c r="AK69">
        <v>3.7</v>
      </c>
      <c r="AL69">
        <v>6.1</v>
      </c>
      <c r="AM69">
        <v>8.5</v>
      </c>
      <c r="AN69">
        <v>223.5</v>
      </c>
    </row>
    <row r="70" spans="1:40" x14ac:dyDescent="0.25">
      <c r="A70" s="5" t="s">
        <v>224</v>
      </c>
      <c r="B70" s="6" t="s">
        <v>225</v>
      </c>
      <c r="C70" s="7" t="s">
        <v>226</v>
      </c>
      <c r="D70" s="7" t="s">
        <v>226</v>
      </c>
      <c r="E70" s="7" t="s">
        <v>22</v>
      </c>
      <c r="F70" s="7" t="s">
        <v>224</v>
      </c>
      <c r="G70" s="7" t="str" cm="1">
        <f t="array" ref="G70">INDEX('municipalities per province'!F:F,MATCH(municipalities!A70,'municipalities per province'!B:B,0),0)</f>
        <v>Gelderland</v>
      </c>
      <c r="H70" s="7" t="str" cm="1">
        <f t="array" ref="H70">INDEX('municipalities per province'!E:E,MATCH(municipalities!$A70,'municipalities per province'!$B:$B,0),0)</f>
        <v>PV25</v>
      </c>
      <c r="I70" s="7" t="str" cm="1">
        <f t="array" ref="I70">INDEX('municipalities per province'!G:G,MATCH(municipalities!$A70,'municipalities per province'!$B:$B,0),0)</f>
        <v>Arnhem/Nijmegen</v>
      </c>
      <c r="J70" s="7" t="str" cm="1">
        <f t="array" ref="J70">INDEX('municipalities per province'!H:H,MATCH(municipalities!$A70,'municipalities per province'!$B:$B,0),0)</f>
        <v>ES08</v>
      </c>
      <c r="K70" s="7" cm="1">
        <f t="array" ref="K70">INDEX(coordinates!C:C,MATCH(municipalities!$A70,coordinates!$A:$A,0),0)</f>
        <v>5.7848432641744401</v>
      </c>
      <c r="L70" s="7" cm="1">
        <f t="array" ref="L70">INDEX(coordinates!D:D,MATCH(municipalities!$A70,coordinates!$A:$A,0),0)</f>
        <v>51.98961830305204</v>
      </c>
      <c r="M70" s="8">
        <v>1</v>
      </c>
      <c r="N70" s="9">
        <v>31461</v>
      </c>
      <c r="O70" s="9">
        <v>15396</v>
      </c>
      <c r="P70" s="9">
        <v>16065</v>
      </c>
      <c r="Q70" s="9">
        <v>4</v>
      </c>
      <c r="R70" s="10">
        <v>925</v>
      </c>
      <c r="S70" s="11">
        <v>63</v>
      </c>
      <c r="T70" s="11">
        <v>37</v>
      </c>
      <c r="U70" s="12">
        <f t="shared" si="8"/>
        <v>37.5</v>
      </c>
      <c r="V70" s="12">
        <f t="shared" si="9"/>
        <v>5.3</v>
      </c>
      <c r="W70" s="12">
        <f t="shared" si="10"/>
        <v>8.1</v>
      </c>
      <c r="X70" s="12">
        <f t="shared" si="11"/>
        <v>10.4</v>
      </c>
      <c r="Y70" s="12">
        <f t="shared" si="12"/>
        <v>152</v>
      </c>
      <c r="Z70" s="12" cm="1">
        <f t="array" ref="Z70">INDEX(municipality_wind_potential!$X:$X,MATCH(municipalities!$F70,municipality_wind_potential!$E:$E,0),0)</f>
        <v>20</v>
      </c>
      <c r="AA70" s="12">
        <f t="shared" si="13"/>
        <v>112</v>
      </c>
      <c r="AB70" s="12" cm="1">
        <f t="array" ref="AB70">INDEX(municipality_wind_potential!$Y:$Y,MATCH(municipalities!$F70,municipality_wind_potential!$E:$E,0),0) / 3.6</f>
        <v>296.8</v>
      </c>
      <c r="AC70" s="12">
        <f t="shared" si="14"/>
        <v>42.413006959443251</v>
      </c>
      <c r="AD70" s="12" cm="1">
        <f t="array" ref="AD70">INDEX(municipality_pv_potential!$G:$G,MATCH(municipalities!$A70,municipality_pv_potential!$E:$E,0),0)/3.6*$AH$4</f>
        <v>39.274444444444448</v>
      </c>
      <c r="AE70" s="12">
        <f t="shared" si="15"/>
        <v>50.401967842572596</v>
      </c>
      <c r="AF70" s="12" cm="1">
        <f t="array" ref="AF70">INDEX(municipality_pv_potential!$H:$H,MATCH(municipalities!$A70,municipality_pv_potential!$E:$E,0),0)/3.6</f>
        <v>46.672222222222224</v>
      </c>
      <c r="AG70" s="12"/>
      <c r="AJ70">
        <v>37.5</v>
      </c>
      <c r="AK70">
        <v>5.3</v>
      </c>
      <c r="AL70">
        <v>8.1</v>
      </c>
      <c r="AM70">
        <v>10.4</v>
      </c>
      <c r="AN70">
        <v>152</v>
      </c>
    </row>
    <row r="71" spans="1:40" x14ac:dyDescent="0.25">
      <c r="A71" s="5" t="s">
        <v>227</v>
      </c>
      <c r="B71" s="6" t="s">
        <v>228</v>
      </c>
      <c r="C71" s="7" t="s">
        <v>229</v>
      </c>
      <c r="D71" s="7" t="s">
        <v>229</v>
      </c>
      <c r="E71" s="7" t="s">
        <v>22</v>
      </c>
      <c r="F71" s="7" t="s">
        <v>227</v>
      </c>
      <c r="G71" s="7" t="str" cm="1">
        <f t="array" ref="G71">INDEX('municipalities per province'!F:F,MATCH(municipalities!A71,'municipalities per province'!B:B,0),0)</f>
        <v>Gelderland</v>
      </c>
      <c r="H71" s="7" t="str" cm="1">
        <f t="array" ref="H71">INDEX('municipalities per province'!E:E,MATCH(municipalities!$A71,'municipalities per province'!$B:$B,0),0)</f>
        <v>PV25</v>
      </c>
      <c r="I71" s="7" t="str" cm="1">
        <f t="array" ref="I71">INDEX('municipalities per province'!G:G,MATCH(municipalities!$A71,'municipalities per province'!$B:$B,0),0)</f>
        <v>Arnhem/Nijmegen</v>
      </c>
      <c r="J71" s="7" t="str" cm="1">
        <f t="array" ref="J71">INDEX('municipalities per province'!H:H,MATCH(municipalities!$A71,'municipalities per province'!$B:$B,0),0)</f>
        <v>ES08</v>
      </c>
      <c r="K71" s="7" cm="1">
        <f t="array" ref="K71">INDEX(coordinates!C:C,MATCH(municipalities!$A71,coordinates!$A:$A,0),0)</f>
        <v>6.0512691345164482</v>
      </c>
      <c r="L71" s="7" cm="1">
        <f t="array" ref="L71">INDEX(coordinates!D:D,MATCH(municipalities!$A71,coordinates!$A:$A,0),0)</f>
        <v>52.033546383267463</v>
      </c>
      <c r="M71" s="8">
        <v>1</v>
      </c>
      <c r="N71" s="9">
        <v>43570</v>
      </c>
      <c r="O71" s="9">
        <v>21309</v>
      </c>
      <c r="P71" s="9">
        <v>22261</v>
      </c>
      <c r="Q71" s="9">
        <v>3</v>
      </c>
      <c r="R71" s="10">
        <v>1469</v>
      </c>
      <c r="S71" s="11">
        <v>55</v>
      </c>
      <c r="T71" s="11">
        <v>45</v>
      </c>
      <c r="U71" s="12">
        <f t="shared" si="8"/>
        <v>32.1</v>
      </c>
      <c r="V71" s="12">
        <f t="shared" si="9"/>
        <v>6.3</v>
      </c>
      <c r="W71" s="12">
        <f t="shared" si="10"/>
        <v>10.9</v>
      </c>
      <c r="X71" s="12">
        <f t="shared" si="11"/>
        <v>14.2</v>
      </c>
      <c r="Y71" s="12">
        <f t="shared" si="12"/>
        <v>61.8</v>
      </c>
      <c r="Z71" s="12" cm="1">
        <f t="array" ref="Z71">INDEX(municipality_wind_potential!$X:$X,MATCH(municipalities!$F71,municipality_wind_potential!$E:$E,0),0)</f>
        <v>67</v>
      </c>
      <c r="AA71" s="12">
        <f t="shared" si="13"/>
        <v>375.2</v>
      </c>
      <c r="AB71" s="12" cm="1">
        <f t="array" ref="AB71">INDEX(municipality_wind_potential!$Y:$Y,MATCH(municipalities!$F71,municipality_wind_potential!$E:$E,0),0) / 3.6</f>
        <v>986.86111111111109</v>
      </c>
      <c r="AC71" s="12">
        <f t="shared" si="14"/>
        <v>57.152027837772984</v>
      </c>
      <c r="AD71" s="12" cm="1">
        <f t="array" ref="AD71">INDEX(municipality_pv_potential!$G:$G,MATCH(municipalities!$A71,municipality_pv_potential!$E:$E,0),0)/3.6*$AH$4</f>
        <v>52.922777777777782</v>
      </c>
      <c r="AE71" s="12">
        <f t="shared" si="15"/>
        <v>96.025317974562043</v>
      </c>
      <c r="AF71" s="12" cm="1">
        <f t="array" ref="AF71">INDEX(municipality_pv_potential!$H:$H,MATCH(municipalities!$A71,municipality_pv_potential!$E:$E,0),0)/3.6</f>
        <v>88.919444444444451</v>
      </c>
      <c r="AG71" s="12"/>
      <c r="AJ71">
        <v>32.1</v>
      </c>
      <c r="AK71">
        <v>6.3</v>
      </c>
      <c r="AL71">
        <v>10.9</v>
      </c>
      <c r="AM71">
        <v>14.2</v>
      </c>
      <c r="AN71">
        <v>61.8</v>
      </c>
    </row>
    <row r="72" spans="1:40" x14ac:dyDescent="0.25">
      <c r="A72" s="5" t="s">
        <v>230</v>
      </c>
      <c r="B72" s="6" t="s">
        <v>231</v>
      </c>
      <c r="C72" s="7" t="s">
        <v>232</v>
      </c>
      <c r="D72" s="7" t="s">
        <v>232</v>
      </c>
      <c r="E72" s="7" t="s">
        <v>22</v>
      </c>
      <c r="F72" s="7" t="s">
        <v>230</v>
      </c>
      <c r="G72" s="7" t="str" cm="1">
        <f t="array" ref="G72">INDEX('municipalities per province'!F:F,MATCH(municipalities!A72,'municipalities per province'!B:B,0),0)</f>
        <v>Gelderland</v>
      </c>
      <c r="H72" s="7" t="str" cm="1">
        <f t="array" ref="H72">INDEX('municipalities per province'!E:E,MATCH(municipalities!$A72,'municipalities per province'!$B:$B,0),0)</f>
        <v>PV25</v>
      </c>
      <c r="I72" s="7" t="str" cm="1">
        <f t="array" ref="I72">INDEX('municipalities per province'!G:G,MATCH(municipalities!$A72,'municipalities per province'!$B:$B,0),0)</f>
        <v>Arnhem/Nijmegen</v>
      </c>
      <c r="J72" s="7" t="str" cm="1">
        <f t="array" ref="J72">INDEX('municipalities per province'!H:H,MATCH(municipalities!$A72,'municipalities per province'!$B:$B,0),0)</f>
        <v>ES08</v>
      </c>
      <c r="K72" s="7" cm="1">
        <f t="array" ref="K72">INDEX(coordinates!C:C,MATCH(municipalities!$A72,coordinates!$A:$A,0),0)</f>
        <v>5.9678984652466536</v>
      </c>
      <c r="L72" s="7" cm="1">
        <f t="array" ref="L72">INDEX(coordinates!D:D,MATCH(municipalities!$A72,coordinates!$A:$A,0),0)</f>
        <v>52.042546098603971</v>
      </c>
      <c r="M72" s="8">
        <v>1</v>
      </c>
      <c r="N72" s="9">
        <v>1754</v>
      </c>
      <c r="O72" s="9">
        <v>866</v>
      </c>
      <c r="P72" s="9">
        <v>888</v>
      </c>
      <c r="Q72" s="9">
        <v>4</v>
      </c>
      <c r="R72" s="10">
        <v>950</v>
      </c>
      <c r="S72" s="11">
        <v>89</v>
      </c>
      <c r="T72" s="11">
        <v>10</v>
      </c>
      <c r="U72" s="12">
        <f t="shared" si="8"/>
        <v>34.730630630630642</v>
      </c>
      <c r="V72" s="12">
        <f t="shared" si="9"/>
        <v>1.5</v>
      </c>
      <c r="W72" s="12">
        <f t="shared" si="10"/>
        <v>1.8</v>
      </c>
      <c r="X72" s="12">
        <f t="shared" si="11"/>
        <v>2.5</v>
      </c>
      <c r="Y72" s="12">
        <f t="shared" si="12"/>
        <v>408.6</v>
      </c>
      <c r="Z72" s="12" cm="1">
        <f t="array" ref="Z72">INDEX(municipality_wind_potential!$X:$X,MATCH(municipalities!$F72,municipality_wind_potential!$E:$E,0),0)</f>
        <v>28</v>
      </c>
      <c r="AA72" s="12">
        <f t="shared" si="13"/>
        <v>156.79999999999998</v>
      </c>
      <c r="AB72" s="12" cm="1">
        <f t="array" ref="AB72">INDEX(municipality_wind_potential!$Y:$Y,MATCH(municipalities!$F72,municipality_wind_potential!$E:$E,0),0) / 3.6</f>
        <v>408.1</v>
      </c>
      <c r="AC72" s="12">
        <f t="shared" si="14"/>
        <v>2.6703863690904726</v>
      </c>
      <c r="AD72" s="12" cm="1">
        <f t="array" ref="AD72">INDEX(municipality_pv_potential!$G:$G,MATCH(municipalities!$A72,municipality_pv_potential!$E:$E,0),0)/3.6*$AH$4</f>
        <v>2.4727777777777775</v>
      </c>
      <c r="AE72" s="12">
        <f t="shared" si="15"/>
        <v>0.47996160307175434</v>
      </c>
      <c r="AF72" s="12" cm="1">
        <f t="array" ref="AF72">INDEX(municipality_pv_potential!$H:$H,MATCH(municipalities!$A72,municipality_pv_potential!$E:$E,0),0)/3.6</f>
        <v>0.44444444444444448</v>
      </c>
      <c r="AG72" s="12"/>
      <c r="AJ72">
        <v>-99999</v>
      </c>
      <c r="AK72">
        <v>1.5</v>
      </c>
      <c r="AL72">
        <v>1.8</v>
      </c>
      <c r="AM72">
        <v>2.5</v>
      </c>
      <c r="AN72">
        <v>408.6</v>
      </c>
    </row>
    <row r="73" spans="1:40" x14ac:dyDescent="0.25">
      <c r="A73" s="5" t="s">
        <v>233</v>
      </c>
      <c r="B73" s="6" t="s">
        <v>234</v>
      </c>
      <c r="C73" s="7" t="s">
        <v>235</v>
      </c>
      <c r="D73" s="7" t="s">
        <v>235</v>
      </c>
      <c r="E73" s="7" t="s">
        <v>22</v>
      </c>
      <c r="F73" s="7" t="s">
        <v>233</v>
      </c>
      <c r="G73" s="7" t="str" cm="1">
        <f t="array" ref="G73">INDEX('municipalities per province'!F:F,MATCH(municipalities!A73,'municipalities per province'!B:B,0),0)</f>
        <v>Gelderland</v>
      </c>
      <c r="H73" s="7" t="str" cm="1">
        <f t="array" ref="H73">INDEX('municipalities per province'!E:E,MATCH(municipalities!$A73,'municipalities per province'!$B:$B,0),0)</f>
        <v>PV25</v>
      </c>
      <c r="I73" s="7" t="str" cm="1">
        <f t="array" ref="I73">INDEX('municipalities per province'!G:G,MATCH(municipalities!$A73,'municipalities per province'!$B:$B,0),0)</f>
        <v>Foodvalley</v>
      </c>
      <c r="J73" s="7" t="str" cm="1">
        <f t="array" ref="J73">INDEX('municipalities per province'!H:H,MATCH(municipalities!$A73,'municipalities per province'!$B:$B,0),0)</f>
        <v>ES09</v>
      </c>
      <c r="K73" s="7" cm="1">
        <f t="array" ref="K73">INDEX(coordinates!C:C,MATCH(municipalities!$A73,coordinates!$A:$A,0),0)</f>
        <v>5.5004933380473062</v>
      </c>
      <c r="L73" s="7" cm="1">
        <f t="array" ref="L73">INDEX(coordinates!D:D,MATCH(municipalities!$A73,coordinates!$A:$A,0),0)</f>
        <v>52.089324132971583</v>
      </c>
      <c r="M73" s="8">
        <v>1</v>
      </c>
      <c r="N73" s="9">
        <v>10386</v>
      </c>
      <c r="O73" s="9">
        <v>5155</v>
      </c>
      <c r="P73" s="9">
        <v>5231</v>
      </c>
      <c r="Q73" s="9">
        <v>4</v>
      </c>
      <c r="R73" s="10">
        <v>949</v>
      </c>
      <c r="S73" s="11">
        <v>73</v>
      </c>
      <c r="T73" s="11">
        <v>27</v>
      </c>
      <c r="U73" s="12">
        <f t="shared" si="8"/>
        <v>35</v>
      </c>
      <c r="V73" s="12">
        <f t="shared" si="9"/>
        <v>3</v>
      </c>
      <c r="W73" s="12">
        <f t="shared" si="10"/>
        <v>5.0999999999999996</v>
      </c>
      <c r="X73" s="12">
        <f t="shared" si="11"/>
        <v>7</v>
      </c>
      <c r="Y73" s="12">
        <f t="shared" si="12"/>
        <v>181.4</v>
      </c>
      <c r="Z73" s="12" cm="1">
        <f t="array" ref="Z73">INDEX(municipality_wind_potential!$X:$X,MATCH(municipalities!$F73,municipality_wind_potential!$E:$E,0),0)</f>
        <v>7</v>
      </c>
      <c r="AA73" s="12">
        <f t="shared" si="13"/>
        <v>39.199999999999996</v>
      </c>
      <c r="AB73" s="12" cm="1">
        <f t="array" ref="AB73">INDEX(municipality_wind_potential!$Y:$Y,MATCH(municipalities!$F73,municipality_wind_potential!$E:$E,0),0) / 3.6</f>
        <v>96.461111111111109</v>
      </c>
      <c r="AC73" s="12">
        <f t="shared" si="14"/>
        <v>20.495560355171587</v>
      </c>
      <c r="AD73" s="12" cm="1">
        <f t="array" ref="AD73">INDEX(municipality_pv_potential!$G:$G,MATCH(municipalities!$A73,municipality_pv_potential!$E:$E,0),0)/3.6*$AH$4</f>
        <v>18.978888888888889</v>
      </c>
      <c r="AE73" s="12">
        <f t="shared" si="15"/>
        <v>36.408087353011759</v>
      </c>
      <c r="AF73" s="12" cm="1">
        <f t="array" ref="AF73">INDEX(municipality_pv_potential!$H:$H,MATCH(municipalities!$A73,municipality_pv_potential!$E:$E,0),0)/3.6</f>
        <v>33.713888888888889</v>
      </c>
      <c r="AG73" s="12"/>
      <c r="AJ73">
        <v>35</v>
      </c>
      <c r="AK73">
        <v>3</v>
      </c>
      <c r="AL73">
        <v>5.0999999999999996</v>
      </c>
      <c r="AM73">
        <v>7</v>
      </c>
      <c r="AN73">
        <v>181.4</v>
      </c>
    </row>
    <row r="74" spans="1:40" x14ac:dyDescent="0.25">
      <c r="A74" s="5" t="s">
        <v>236</v>
      </c>
      <c r="B74" s="6" t="s">
        <v>237</v>
      </c>
      <c r="C74" s="7" t="s">
        <v>238</v>
      </c>
      <c r="D74" s="7" t="s">
        <v>238</v>
      </c>
      <c r="E74" s="7" t="s">
        <v>22</v>
      </c>
      <c r="F74" s="7" t="s">
        <v>236</v>
      </c>
      <c r="G74" s="7" t="str" cm="1">
        <f t="array" ref="G74">INDEX('municipalities per province'!F:F,MATCH(municipalities!A74,'municipalities per province'!B:B,0),0)</f>
        <v>Gelderland</v>
      </c>
      <c r="H74" s="7" t="str" cm="1">
        <f t="array" ref="H74">INDEX('municipalities per province'!E:E,MATCH(municipalities!$A74,'municipalities per province'!$B:$B,0),0)</f>
        <v>PV25</v>
      </c>
      <c r="I74" s="7" t="str" cm="1">
        <f t="array" ref="I74">INDEX('municipalities per province'!G:G,MATCH(municipalities!$A74,'municipalities per province'!$B:$B,0),0)</f>
        <v>FruitdeltaRivierenland</v>
      </c>
      <c r="J74" s="7" t="str" cm="1">
        <f t="array" ref="J74">INDEX('municipalities per province'!H:H,MATCH(municipalities!$A74,'municipalities per province'!$B:$B,0),0)</f>
        <v>ES11</v>
      </c>
      <c r="K74" s="7" cm="1">
        <f t="array" ref="K74">INDEX(coordinates!C:C,MATCH(municipalities!$A74,coordinates!$A:$A,0),0)</f>
        <v>5.4068787083814041</v>
      </c>
      <c r="L74" s="7" cm="1">
        <f t="array" ref="L74">INDEX(coordinates!D:D,MATCH(municipalities!$A74,coordinates!$A:$A,0),0)</f>
        <v>51.885084486758387</v>
      </c>
      <c r="M74" s="8">
        <v>1</v>
      </c>
      <c r="N74" s="9">
        <v>42604</v>
      </c>
      <c r="O74" s="9">
        <v>21356</v>
      </c>
      <c r="P74" s="9">
        <v>21248</v>
      </c>
      <c r="Q74" s="9">
        <v>3</v>
      </c>
      <c r="R74" s="10">
        <v>1471</v>
      </c>
      <c r="S74" s="11">
        <v>56</v>
      </c>
      <c r="T74" s="11">
        <v>44</v>
      </c>
      <c r="U74" s="12">
        <f t="shared" si="8"/>
        <v>31.5</v>
      </c>
      <c r="V74" s="12">
        <f t="shared" si="9"/>
        <v>6.6</v>
      </c>
      <c r="W74" s="12">
        <f t="shared" si="10"/>
        <v>10.3</v>
      </c>
      <c r="X74" s="12">
        <f t="shared" si="11"/>
        <v>13.1</v>
      </c>
      <c r="Y74" s="12">
        <f t="shared" si="12"/>
        <v>54.1</v>
      </c>
      <c r="Z74" s="12" cm="1">
        <f t="array" ref="Z74">INDEX(municipality_wind_potential!$X:$X,MATCH(municipalities!$F74,municipality_wind_potential!$E:$E,0),0)</f>
        <v>5</v>
      </c>
      <c r="AA74" s="12">
        <f t="shared" si="13"/>
        <v>28</v>
      </c>
      <c r="AB74" s="12" cm="1">
        <f t="array" ref="AB74">INDEX(municipality_wind_potential!$Y:$Y,MATCH(municipalities!$F74,municipality_wind_potential!$E:$E,0),0) / 3.6</f>
        <v>80.638888888888886</v>
      </c>
      <c r="AC74" s="12">
        <f t="shared" si="14"/>
        <v>75.803335733141353</v>
      </c>
      <c r="AD74" s="12" cm="1">
        <f t="array" ref="AD74">INDEX(municipality_pv_potential!$G:$G,MATCH(municipalities!$A74,municipality_pv_potential!$E:$E,0),0)/3.6*$AH$4</f>
        <v>70.193888888888893</v>
      </c>
      <c r="AE74" s="12">
        <f t="shared" si="15"/>
        <v>65.457763378929684</v>
      </c>
      <c r="AF74" s="12" cm="1">
        <f t="array" ref="AF74">INDEX(municipality_pv_potential!$H:$H,MATCH(municipalities!$A74,municipality_pv_potential!$E:$E,0),0)/3.6</f>
        <v>60.613888888888887</v>
      </c>
      <c r="AG74" s="12"/>
      <c r="AJ74">
        <v>31.5</v>
      </c>
      <c r="AK74">
        <v>6.6</v>
      </c>
      <c r="AL74">
        <v>10.3</v>
      </c>
      <c r="AM74">
        <v>13.1</v>
      </c>
      <c r="AN74">
        <v>54.1</v>
      </c>
    </row>
    <row r="75" spans="1:40" x14ac:dyDescent="0.25">
      <c r="A75" s="5" t="s">
        <v>239</v>
      </c>
      <c r="B75" s="6" t="s">
        <v>240</v>
      </c>
      <c r="C75" s="7" t="s">
        <v>241</v>
      </c>
      <c r="D75" s="7" t="s">
        <v>241</v>
      </c>
      <c r="E75" s="7" t="s">
        <v>22</v>
      </c>
      <c r="F75" s="7" t="s">
        <v>239</v>
      </c>
      <c r="G75" s="7" t="str" cm="1">
        <f t="array" ref="G75">INDEX('municipalities per province'!F:F,MATCH(municipalities!A75,'municipalities per province'!B:B,0),0)</f>
        <v>Gelderland</v>
      </c>
      <c r="H75" s="7" t="str" cm="1">
        <f t="array" ref="H75">INDEX('municipalities per province'!E:E,MATCH(municipalities!$A75,'municipalities per province'!$B:$B,0),0)</f>
        <v>PV25</v>
      </c>
      <c r="I75" s="7" t="str" cm="1">
        <f t="array" ref="I75">INDEX('municipalities per province'!G:G,MATCH(municipalities!$A75,'municipalities per province'!$B:$B,0),0)</f>
        <v>Cleantech</v>
      </c>
      <c r="J75" s="7" t="str" cm="1">
        <f t="array" ref="J75">INDEX('municipalities per province'!H:H,MATCH(municipalities!$A75,'municipalities per province'!$B:$B,0),0)</f>
        <v>ES12</v>
      </c>
      <c r="K75" s="7" cm="1">
        <f t="array" ref="K75">INDEX(coordinates!C:C,MATCH(municipalities!$A75,coordinates!$A:$A,0),0)</f>
        <v>6.0990814098599602</v>
      </c>
      <c r="L75" s="7" cm="1">
        <f t="array" ref="L75">INDEX(coordinates!D:D,MATCH(municipalities!$A75,coordinates!$A:$A,0),0)</f>
        <v>52.22560493503444</v>
      </c>
      <c r="M75" s="8">
        <v>1</v>
      </c>
      <c r="N75" s="9">
        <v>25215</v>
      </c>
      <c r="O75" s="9">
        <v>12590</v>
      </c>
      <c r="P75" s="9">
        <v>12625</v>
      </c>
      <c r="Q75" s="9">
        <v>4</v>
      </c>
      <c r="R75" s="10">
        <v>582</v>
      </c>
      <c r="S75" s="11">
        <v>67</v>
      </c>
      <c r="T75" s="11">
        <v>33</v>
      </c>
      <c r="U75" s="12">
        <f t="shared" si="8"/>
        <v>36.299999999999997</v>
      </c>
      <c r="V75" s="12">
        <f t="shared" si="9"/>
        <v>3.9</v>
      </c>
      <c r="W75" s="12">
        <f t="shared" si="10"/>
        <v>6.1</v>
      </c>
      <c r="X75" s="12">
        <f t="shared" si="11"/>
        <v>8.3000000000000007</v>
      </c>
      <c r="Y75" s="12">
        <f t="shared" si="12"/>
        <v>230.1</v>
      </c>
      <c r="Z75" s="12" cm="1">
        <f t="array" ref="Z75">INDEX(municipality_wind_potential!$X:$X,MATCH(municipalities!$F75,municipality_wind_potential!$E:$E,0),0)</f>
        <v>40</v>
      </c>
      <c r="AA75" s="12">
        <f t="shared" si="13"/>
        <v>224</v>
      </c>
      <c r="AB75" s="12" cm="1">
        <f t="array" ref="AB75">INDEX(municipality_wind_potential!$Y:$Y,MATCH(municipalities!$F75,municipality_wind_potential!$E:$E,0),0) / 3.6</f>
        <v>586.18055555555554</v>
      </c>
      <c r="AC75" s="12">
        <f t="shared" si="14"/>
        <v>76.660667146628271</v>
      </c>
      <c r="AD75" s="12" cm="1">
        <f t="array" ref="AD75">INDEX(municipality_pv_potential!$G:$G,MATCH(municipalities!$A75,municipality_pv_potential!$E:$E,0),0)/3.6*$AH$4</f>
        <v>70.987777777777779</v>
      </c>
      <c r="AE75" s="12">
        <f t="shared" si="15"/>
        <v>402.90976721862256</v>
      </c>
      <c r="AF75" s="12" cm="1">
        <f t="array" ref="AF75">INDEX(municipality_pv_potential!$H:$H,MATCH(municipalities!$A75,municipality_pv_potential!$E:$E,0),0)/3.6</f>
        <v>373.09444444444449</v>
      </c>
      <c r="AG75" s="12"/>
      <c r="AJ75">
        <v>36.299999999999997</v>
      </c>
      <c r="AK75">
        <v>3.9</v>
      </c>
      <c r="AL75">
        <v>6.1</v>
      </c>
      <c r="AM75">
        <v>8.3000000000000007</v>
      </c>
      <c r="AN75">
        <v>230.1</v>
      </c>
    </row>
    <row r="76" spans="1:40" x14ac:dyDescent="0.25">
      <c r="A76" s="5" t="s">
        <v>242</v>
      </c>
      <c r="B76" s="6" t="s">
        <v>243</v>
      </c>
      <c r="C76" s="7" t="s">
        <v>244</v>
      </c>
      <c r="D76" s="7" t="s">
        <v>244</v>
      </c>
      <c r="E76" s="7" t="s">
        <v>22</v>
      </c>
      <c r="F76" s="7" t="s">
        <v>242</v>
      </c>
      <c r="G76" s="7" t="str" cm="1">
        <f t="array" ref="G76">INDEX('municipalities per province'!F:F,MATCH(municipalities!A76,'municipalities per province'!B:B,0),0)</f>
        <v>Gelderland</v>
      </c>
      <c r="H76" s="7" t="str" cm="1">
        <f t="array" ref="H76">INDEX('municipalities per province'!E:E,MATCH(municipalities!$A76,'municipalities per province'!$B:$B,0),0)</f>
        <v>PV25</v>
      </c>
      <c r="I76" s="7" t="str" cm="1">
        <f t="array" ref="I76">INDEX('municipalities per province'!G:G,MATCH(municipalities!$A76,'municipalities per province'!$B:$B,0),0)</f>
        <v>Foodvalley</v>
      </c>
      <c r="J76" s="7" t="str" cm="1">
        <f t="array" ref="J76">INDEX('municipalities per province'!H:H,MATCH(municipalities!$A76,'municipalities per province'!$B:$B,0),0)</f>
        <v>ES09</v>
      </c>
      <c r="K76" s="7" cm="1">
        <f t="array" ref="K76">INDEX(coordinates!C:C,MATCH(municipalities!$A76,coordinates!$A:$A,0),0)</f>
        <v>5.6635164469532198</v>
      </c>
      <c r="L76" s="7" cm="1">
        <f t="array" ref="L76">INDEX(coordinates!D:D,MATCH(municipalities!$A76,coordinates!$A:$A,0),0)</f>
        <v>51.973476753212893</v>
      </c>
      <c r="M76" s="8">
        <v>1</v>
      </c>
      <c r="N76" s="9">
        <v>40960</v>
      </c>
      <c r="O76" s="9">
        <v>19592</v>
      </c>
      <c r="P76" s="9">
        <v>21368</v>
      </c>
      <c r="Q76" s="9">
        <v>2</v>
      </c>
      <c r="R76" s="10">
        <v>2111</v>
      </c>
      <c r="S76" s="11">
        <v>42</v>
      </c>
      <c r="T76" s="11">
        <v>58</v>
      </c>
      <c r="U76" s="12">
        <f t="shared" si="8"/>
        <v>25.8</v>
      </c>
      <c r="V76" s="12">
        <f t="shared" si="9"/>
        <v>6.1</v>
      </c>
      <c r="W76" s="12">
        <f t="shared" si="10"/>
        <v>9.6</v>
      </c>
      <c r="X76" s="12">
        <f t="shared" si="11"/>
        <v>12.4</v>
      </c>
      <c r="Y76" s="12">
        <f t="shared" si="12"/>
        <v>17.899999999999999</v>
      </c>
      <c r="Z76" s="12" cm="1">
        <f t="array" ref="Z76">INDEX(municipality_wind_potential!$X:$X,MATCH(municipalities!$F76,municipality_wind_potential!$E:$E,0),0)</f>
        <v>12</v>
      </c>
      <c r="AA76" s="12">
        <f t="shared" si="13"/>
        <v>67.199999999999989</v>
      </c>
      <c r="AB76" s="12" cm="1">
        <f t="array" ref="AB76">INDEX(municipality_wind_potential!$Y:$Y,MATCH(municipalities!$F76,municipality_wind_potential!$E:$E,0),0) / 3.6</f>
        <v>170.6611111111111</v>
      </c>
      <c r="AC76" s="12">
        <f t="shared" si="14"/>
        <v>39.882409407247415</v>
      </c>
      <c r="AD76" s="12" cm="1">
        <f t="array" ref="AD76">INDEX(municipality_pv_potential!$G:$G,MATCH(municipalities!$A76,municipality_pv_potential!$E:$E,0),0)/3.6*$AH$4</f>
        <v>36.931111111111107</v>
      </c>
      <c r="AE76" s="12">
        <f t="shared" si="15"/>
        <v>56.287497000239981</v>
      </c>
      <c r="AF76" s="12" cm="1">
        <f t="array" ref="AF76">INDEX(municipality_pv_potential!$H:$H,MATCH(municipalities!$A76,municipality_pv_potential!$E:$E,0),0)/3.6</f>
        <v>52.12222222222222</v>
      </c>
      <c r="AG76" s="12"/>
      <c r="AJ76">
        <v>25.8</v>
      </c>
      <c r="AK76">
        <v>6.1</v>
      </c>
      <c r="AL76">
        <v>9.6</v>
      </c>
      <c r="AM76">
        <v>12.4</v>
      </c>
      <c r="AN76">
        <v>17.899999999999999</v>
      </c>
    </row>
    <row r="77" spans="1:40" x14ac:dyDescent="0.25">
      <c r="A77" s="5" t="s">
        <v>245</v>
      </c>
      <c r="B77" s="6" t="s">
        <v>246</v>
      </c>
      <c r="C77" s="7" t="s">
        <v>247</v>
      </c>
      <c r="D77" s="7" t="s">
        <v>247</v>
      </c>
      <c r="E77" s="7" t="s">
        <v>22</v>
      </c>
      <c r="F77" s="7" t="s">
        <v>245</v>
      </c>
      <c r="G77" s="7" t="str" cm="1">
        <f t="array" ref="G77">INDEX('municipalities per province'!F:F,MATCH(municipalities!A77,'municipalities per province'!B:B,0),0)</f>
        <v>Gelderland</v>
      </c>
      <c r="H77" s="7" t="str" cm="1">
        <f t="array" ref="H77">INDEX('municipalities per province'!E:E,MATCH(municipalities!$A77,'municipalities per province'!$B:$B,0),0)</f>
        <v>PV25</v>
      </c>
      <c r="I77" s="7" t="str" cm="1">
        <f t="array" ref="I77">INDEX('municipalities per province'!G:G,MATCH(municipalities!$A77,'municipalities per province'!$B:$B,0),0)</f>
        <v>Arnhem/Nijmegen</v>
      </c>
      <c r="J77" s="7" t="str" cm="1">
        <f t="array" ref="J77">INDEX('municipalities per province'!H:H,MATCH(municipalities!$A77,'municipalities per province'!$B:$B,0),0)</f>
        <v>ES08</v>
      </c>
      <c r="K77" s="7" cm="1">
        <f t="array" ref="K77">INDEX(coordinates!C:C,MATCH(municipalities!$A77,coordinates!$A:$A,0),0)</f>
        <v>5.970719163323948</v>
      </c>
      <c r="L77" s="7" cm="1">
        <f t="array" ref="L77">INDEX(coordinates!D:D,MATCH(municipalities!$A77,coordinates!$A:$A,0),0)</f>
        <v>51.957519595810112</v>
      </c>
      <c r="M77" s="8">
        <v>1</v>
      </c>
      <c r="N77" s="9">
        <v>15114</v>
      </c>
      <c r="O77" s="9">
        <v>7433</v>
      </c>
      <c r="P77" s="9">
        <v>7681</v>
      </c>
      <c r="Q77" s="9">
        <v>3</v>
      </c>
      <c r="R77" s="10">
        <v>1159</v>
      </c>
      <c r="S77" s="11">
        <v>60</v>
      </c>
      <c r="T77" s="11">
        <v>40</v>
      </c>
      <c r="U77" s="12">
        <f t="shared" si="8"/>
        <v>31.8</v>
      </c>
      <c r="V77" s="12">
        <f t="shared" si="9"/>
        <v>5.6</v>
      </c>
      <c r="W77" s="12">
        <f t="shared" si="10"/>
        <v>9.6</v>
      </c>
      <c r="X77" s="12">
        <f t="shared" si="11"/>
        <v>12.7</v>
      </c>
      <c r="Y77" s="12">
        <f t="shared" si="12"/>
        <v>66.8</v>
      </c>
      <c r="Z77" s="12" cm="1">
        <f t="array" ref="Z77">INDEX(municipality_wind_potential!$X:$X,MATCH(municipalities!$F77,municipality_wind_potential!$E:$E,0),0)</f>
        <v>2</v>
      </c>
      <c r="AA77" s="12">
        <f t="shared" si="13"/>
        <v>11.2</v>
      </c>
      <c r="AB77" s="12" cm="1">
        <f t="array" ref="AB77">INDEX(municipality_wind_potential!$Y:$Y,MATCH(municipalities!$F77,municipality_wind_potential!$E:$E,0),0) / 3.6</f>
        <v>22.261111111111109</v>
      </c>
      <c r="AC77" s="12">
        <f t="shared" si="14"/>
        <v>16.240700743940486</v>
      </c>
      <c r="AD77" s="12" cm="1">
        <f t="array" ref="AD77">INDEX(municipality_pv_potential!$G:$G,MATCH(municipalities!$A77,municipality_pv_potential!$E:$E,0),0)/3.6*$AH$4</f>
        <v>15.03888888888889</v>
      </c>
      <c r="AE77" s="12">
        <f t="shared" si="15"/>
        <v>11.411087113030957</v>
      </c>
      <c r="AF77" s="12" cm="1">
        <f t="array" ref="AF77">INDEX(municipality_pv_potential!$H:$H,MATCH(municipalities!$A77,municipality_pv_potential!$E:$E,0),0)/3.6</f>
        <v>10.566666666666666</v>
      </c>
      <c r="AG77" s="12"/>
      <c r="AJ77">
        <v>31.8</v>
      </c>
      <c r="AK77">
        <v>5.6</v>
      </c>
      <c r="AL77">
        <v>9.6</v>
      </c>
      <c r="AM77">
        <v>12.7</v>
      </c>
      <c r="AN77">
        <v>66.8</v>
      </c>
    </row>
    <row r="78" spans="1:40" x14ac:dyDescent="0.25">
      <c r="A78" s="5" t="s">
        <v>248</v>
      </c>
      <c r="B78" s="6" t="s">
        <v>249</v>
      </c>
      <c r="C78" s="7" t="s">
        <v>250</v>
      </c>
      <c r="D78" s="7" t="s">
        <v>250</v>
      </c>
      <c r="E78" s="7" t="s">
        <v>22</v>
      </c>
      <c r="F78" s="7" t="s">
        <v>248</v>
      </c>
      <c r="G78" s="7" t="str" cm="1">
        <f t="array" ref="G78">INDEX('municipalities per province'!F:F,MATCH(municipalities!A78,'municipalities per province'!B:B,0),0)</f>
        <v>Gelderland</v>
      </c>
      <c r="H78" s="7" t="str" cm="1">
        <f t="array" ref="H78">INDEX('municipalities per province'!E:E,MATCH(municipalities!$A78,'municipalities per province'!$B:$B,0),0)</f>
        <v>PV25</v>
      </c>
      <c r="I78" s="7" t="str" cm="1">
        <f t="array" ref="I78">INDEX('municipalities per province'!G:G,MATCH(municipalities!$A78,'municipalities per province'!$B:$B,0),0)</f>
        <v>Achterhoek</v>
      </c>
      <c r="J78" s="7" t="str" cm="1">
        <f t="array" ref="J78">INDEX('municipalities per province'!H:H,MATCH(municipalities!$A78,'municipalities per province'!$B:$B,0),0)</f>
        <v>ES07</v>
      </c>
      <c r="K78" s="7" cm="1">
        <f t="array" ref="K78">INDEX(coordinates!C:C,MATCH(municipalities!$A78,coordinates!$A:$A,0),0)</f>
        <v>6.7258651389190742</v>
      </c>
      <c r="L78" s="7" cm="1">
        <f t="array" ref="L78">INDEX(coordinates!D:D,MATCH(municipalities!$A78,coordinates!$A:$A,0),0)</f>
        <v>51.9698694435993</v>
      </c>
      <c r="M78" s="8">
        <v>1</v>
      </c>
      <c r="N78" s="9">
        <v>29253</v>
      </c>
      <c r="O78" s="9">
        <v>14626</v>
      </c>
      <c r="P78" s="9">
        <v>14627</v>
      </c>
      <c r="Q78" s="9">
        <v>3</v>
      </c>
      <c r="R78" s="10">
        <v>1212</v>
      </c>
      <c r="S78" s="11">
        <v>70</v>
      </c>
      <c r="T78" s="11">
        <v>30</v>
      </c>
      <c r="U78" s="12">
        <f t="shared" si="8"/>
        <v>32.700000000000003</v>
      </c>
      <c r="V78" s="12">
        <f t="shared" si="9"/>
        <v>5.8</v>
      </c>
      <c r="W78" s="12">
        <f t="shared" si="10"/>
        <v>9</v>
      </c>
      <c r="X78" s="12">
        <f t="shared" si="11"/>
        <v>11.4</v>
      </c>
      <c r="Y78" s="12">
        <f t="shared" si="12"/>
        <v>103</v>
      </c>
      <c r="Z78" s="12" cm="1">
        <f t="array" ref="Z78">INDEX(municipality_wind_potential!$X:$X,MATCH(municipalities!$F78,municipality_wind_potential!$E:$E,0),0)</f>
        <v>65</v>
      </c>
      <c r="AA78" s="12">
        <f t="shared" si="13"/>
        <v>364</v>
      </c>
      <c r="AB78" s="12" cm="1">
        <f t="array" ref="AB78">INDEX(municipality_wind_potential!$Y:$Y,MATCH(municipalities!$F78,municipality_wind_potential!$E:$E,0),0) / 3.6</f>
        <v>1048.3194444444443</v>
      </c>
      <c r="AC78" s="12">
        <f t="shared" si="14"/>
        <v>83.693304535637154</v>
      </c>
      <c r="AD78" s="12" cm="1">
        <f t="array" ref="AD78">INDEX(municipality_pv_potential!$G:$G,MATCH(municipalities!$A78,municipality_pv_potential!$E:$E,0),0)/3.6*$AH$4</f>
        <v>77.5</v>
      </c>
      <c r="AE78" s="12">
        <f t="shared" si="15"/>
        <v>449.30105591552672</v>
      </c>
      <c r="AF78" s="12" cm="1">
        <f t="array" ref="AF78">INDEX(municipality_pv_potential!$H:$H,MATCH(municipalities!$A78,municipality_pv_potential!$E:$E,0),0)/3.6</f>
        <v>416.05277777777775</v>
      </c>
      <c r="AG78" s="12"/>
      <c r="AJ78">
        <v>32.700000000000003</v>
      </c>
      <c r="AK78">
        <v>5.8</v>
      </c>
      <c r="AL78">
        <v>9</v>
      </c>
      <c r="AM78">
        <v>11.4</v>
      </c>
      <c r="AN78">
        <v>103</v>
      </c>
    </row>
    <row r="79" spans="1:40" x14ac:dyDescent="0.25">
      <c r="A79" s="5" t="s">
        <v>251</v>
      </c>
      <c r="B79" s="6" t="s">
        <v>252</v>
      </c>
      <c r="C79" s="7" t="s">
        <v>253</v>
      </c>
      <c r="D79" s="7" t="s">
        <v>253</v>
      </c>
      <c r="E79" s="7" t="s">
        <v>22</v>
      </c>
      <c r="F79" s="7" t="s">
        <v>251</v>
      </c>
      <c r="G79" s="7" t="str" cm="1">
        <f t="array" ref="G79">INDEX('municipalities per province'!F:F,MATCH(municipalities!A79,'municipalities per province'!B:B,0),0)</f>
        <v>Gelderland</v>
      </c>
      <c r="H79" s="7" t="str" cm="1">
        <f t="array" ref="H79">INDEX('municipalities per province'!E:E,MATCH(municipalities!$A79,'municipalities per province'!$B:$B,0),0)</f>
        <v>PV25</v>
      </c>
      <c r="I79" s="7" t="str" cm="1">
        <f t="array" ref="I79">INDEX('municipalities per province'!G:G,MATCH(municipalities!$A79,'municipalities per province'!$B:$B,0),0)</f>
        <v>Arnhem/Nijmegen</v>
      </c>
      <c r="J79" s="7" t="str" cm="1">
        <f t="array" ref="J79">INDEX('municipalities per province'!H:H,MATCH(municipalities!$A79,'municipalities per province'!$B:$B,0),0)</f>
        <v>ES08</v>
      </c>
      <c r="K79" s="7" cm="1">
        <f t="array" ref="K79">INDEX(coordinates!C:C,MATCH(municipalities!$A79,coordinates!$A:$A,0),0)</f>
        <v>5.7018901793532359</v>
      </c>
      <c r="L79" s="7" cm="1">
        <f t="array" ref="L79">INDEX(coordinates!D:D,MATCH(municipalities!$A79,coordinates!$A:$A,0),0)</f>
        <v>51.816736124301187</v>
      </c>
      <c r="M79" s="8">
        <v>1</v>
      </c>
      <c r="N79" s="9">
        <v>41537</v>
      </c>
      <c r="O79" s="9">
        <v>20451</v>
      </c>
      <c r="P79" s="9">
        <v>21086</v>
      </c>
      <c r="Q79" s="9">
        <v>3</v>
      </c>
      <c r="R79" s="10">
        <v>1241</v>
      </c>
      <c r="S79" s="11">
        <v>68</v>
      </c>
      <c r="T79" s="11">
        <v>32</v>
      </c>
      <c r="U79" s="12">
        <f t="shared" si="8"/>
        <v>34.700000000000003</v>
      </c>
      <c r="V79" s="12">
        <f t="shared" si="9"/>
        <v>4.9000000000000004</v>
      </c>
      <c r="W79" s="12">
        <f t="shared" si="10"/>
        <v>7.9</v>
      </c>
      <c r="X79" s="12">
        <f t="shared" si="11"/>
        <v>10.4</v>
      </c>
      <c r="Y79" s="12">
        <f t="shared" si="12"/>
        <v>143.9</v>
      </c>
      <c r="Z79" s="12" cm="1">
        <f t="array" ref="Z79">INDEX(municipality_wind_potential!$X:$X,MATCH(municipalities!$F79,municipality_wind_potential!$E:$E,0),0)</f>
        <v>22</v>
      </c>
      <c r="AA79" s="12">
        <f t="shared" si="13"/>
        <v>123.19999999999999</v>
      </c>
      <c r="AB79" s="12" cm="1">
        <f t="array" ref="AB79">INDEX(municipality_wind_potential!$Y:$Y,MATCH(municipalities!$F79,municipality_wind_potential!$E:$E,0),0) / 3.6</f>
        <v>346.75277777777774</v>
      </c>
      <c r="AC79" s="12">
        <f t="shared" si="14"/>
        <v>84.632829373650111</v>
      </c>
      <c r="AD79" s="12" cm="1">
        <f t="array" ref="AD79">INDEX(municipality_pv_potential!$G:$G,MATCH(municipalities!$A79,municipality_pv_potential!$E:$E,0),0)/3.6*$AH$4</f>
        <v>78.37</v>
      </c>
      <c r="AE79" s="12">
        <f t="shared" si="15"/>
        <v>183.98128149748021</v>
      </c>
      <c r="AF79" s="12" cm="1">
        <f t="array" ref="AF79">INDEX(municipality_pv_potential!$H:$H,MATCH(municipalities!$A79,municipality_pv_potential!$E:$E,0),0)/3.6</f>
        <v>170.36666666666667</v>
      </c>
      <c r="AG79" s="12"/>
      <c r="AJ79">
        <v>34.700000000000003</v>
      </c>
      <c r="AK79">
        <v>4.9000000000000004</v>
      </c>
      <c r="AL79">
        <v>7.9</v>
      </c>
      <c r="AM79">
        <v>10.4</v>
      </c>
      <c r="AN79">
        <v>143.9</v>
      </c>
    </row>
    <row r="80" spans="1:40" x14ac:dyDescent="0.25">
      <c r="A80" s="5" t="s">
        <v>254</v>
      </c>
      <c r="B80" s="6" t="s">
        <v>255</v>
      </c>
      <c r="C80" s="7" t="s">
        <v>256</v>
      </c>
      <c r="D80" s="7" t="s">
        <v>256</v>
      </c>
      <c r="E80" s="7" t="s">
        <v>22</v>
      </c>
      <c r="F80" s="7" t="s">
        <v>254</v>
      </c>
      <c r="G80" s="7" t="str" cm="1">
        <f t="array" ref="G80">INDEX('municipalities per province'!F:F,MATCH(municipalities!A80,'municipalities per province'!B:B,0),0)</f>
        <v>Gelderland</v>
      </c>
      <c r="H80" s="7" t="str" cm="1">
        <f t="array" ref="H80">INDEX('municipalities per province'!E:E,MATCH(municipalities!$A80,'municipalities per province'!$B:$B,0),0)</f>
        <v>PV25</v>
      </c>
      <c r="I80" s="7" t="str" cm="1">
        <f t="array" ref="I80">INDEX('municipalities per province'!G:G,MATCH(municipalities!$A80,'municipalities per province'!$B:$B,0),0)</f>
        <v>FruitdeltaRivierenland</v>
      </c>
      <c r="J80" s="7" t="str" cm="1">
        <f t="array" ref="J80">INDEX('municipalities per province'!H:H,MATCH(municipalities!$A80,'municipalities per province'!$B:$B,0),0)</f>
        <v>ES11</v>
      </c>
      <c r="K80" s="7" cm="1">
        <f t="array" ref="K80">INDEX(coordinates!C:C,MATCH(municipalities!$A80,coordinates!$A:$A,0),0)</f>
        <v>5.1584294203087664</v>
      </c>
      <c r="L80" s="7" cm="1">
        <f t="array" ref="L80">INDEX(coordinates!D:D,MATCH(municipalities!$A80,coordinates!$A:$A,0),0)</f>
        <v>51.792279824579687</v>
      </c>
      <c r="M80" s="8">
        <v>1</v>
      </c>
      <c r="N80" s="9">
        <v>30349</v>
      </c>
      <c r="O80" s="9">
        <v>15190</v>
      </c>
      <c r="P80" s="9">
        <v>15159</v>
      </c>
      <c r="Q80" s="9">
        <v>4</v>
      </c>
      <c r="R80" s="10">
        <v>711</v>
      </c>
      <c r="S80" s="11">
        <v>67</v>
      </c>
      <c r="T80" s="11">
        <v>33</v>
      </c>
      <c r="U80" s="12">
        <f t="shared" si="8"/>
        <v>34.9</v>
      </c>
      <c r="V80" s="12">
        <f t="shared" si="9"/>
        <v>4.3</v>
      </c>
      <c r="W80" s="12">
        <f t="shared" si="10"/>
        <v>6.5</v>
      </c>
      <c r="X80" s="12">
        <f t="shared" si="11"/>
        <v>8.9</v>
      </c>
      <c r="Y80" s="12">
        <f t="shared" si="12"/>
        <v>141.30000000000001</v>
      </c>
      <c r="Z80" s="12" cm="1">
        <f t="array" ref="Z80">INDEX(municipality_wind_potential!$X:$X,MATCH(municipalities!$F80,municipality_wind_potential!$E:$E,0),0)</f>
        <v>38</v>
      </c>
      <c r="AA80" s="12">
        <f t="shared" si="13"/>
        <v>212.79999999999998</v>
      </c>
      <c r="AB80" s="12" cm="1">
        <f t="array" ref="AB80">INDEX(municipality_wind_potential!$Y:$Y,MATCH(municipalities!$F80,municipality_wind_potential!$E:$E,0),0) / 3.6</f>
        <v>674.57499999999993</v>
      </c>
      <c r="AC80" s="12">
        <f t="shared" si="14"/>
        <v>70.57175425965923</v>
      </c>
      <c r="AD80" s="12" cm="1">
        <f t="array" ref="AD80">INDEX(municipality_pv_potential!$G:$G,MATCH(municipalities!$A80,municipality_pv_potential!$E:$E,0),0)/3.6*$AH$4</f>
        <v>65.349444444444444</v>
      </c>
      <c r="AE80" s="12">
        <f t="shared" si="15"/>
        <v>219.84041276697863</v>
      </c>
      <c r="AF80" s="12" cm="1">
        <f t="array" ref="AF80">INDEX(municipality_pv_potential!$H:$H,MATCH(municipalities!$A80,municipality_pv_potential!$E:$E,0),0)/3.6</f>
        <v>203.57222222222222</v>
      </c>
      <c r="AG80" s="12"/>
      <c r="AJ80">
        <v>34.9</v>
      </c>
      <c r="AK80">
        <v>4.3</v>
      </c>
      <c r="AL80">
        <v>6.5</v>
      </c>
      <c r="AM80">
        <v>8.9</v>
      </c>
      <c r="AN80">
        <v>141.30000000000001</v>
      </c>
    </row>
    <row r="81" spans="1:40" x14ac:dyDescent="0.25">
      <c r="A81" s="5" t="s">
        <v>257</v>
      </c>
      <c r="B81" s="6" t="s">
        <v>258</v>
      </c>
      <c r="C81" s="7" t="s">
        <v>259</v>
      </c>
      <c r="D81" s="7" t="s">
        <v>259</v>
      </c>
      <c r="E81" s="7" t="s">
        <v>22</v>
      </c>
      <c r="F81" s="7" t="s">
        <v>257</v>
      </c>
      <c r="G81" s="7" t="str" cm="1">
        <f t="array" ref="G81">INDEX('municipalities per province'!F:F,MATCH(municipalities!A81,'municipalities per province'!B:B,0),0)</f>
        <v>Gelderland</v>
      </c>
      <c r="H81" s="7" t="str" cm="1">
        <f t="array" ref="H81">INDEX('municipalities per province'!E:E,MATCH(municipalities!$A81,'municipalities per province'!$B:$B,0),0)</f>
        <v>PV25</v>
      </c>
      <c r="I81" s="7" t="str" cm="1">
        <f t="array" ref="I81">INDEX('municipalities per province'!G:G,MATCH(municipalities!$A81,'municipalities per province'!$B:$B,0),0)</f>
        <v>Arnhem/Nijmegen</v>
      </c>
      <c r="J81" s="7" t="str" cm="1">
        <f t="array" ref="J81">INDEX('municipalities per province'!H:H,MATCH(municipalities!$A81,'municipalities per province'!$B:$B,0),0)</f>
        <v>ES08</v>
      </c>
      <c r="K81" s="7" cm="1">
        <f t="array" ref="K81">INDEX(coordinates!C:C,MATCH(municipalities!$A81,coordinates!$A:$A,0),0)</f>
        <v>6.0852166620458057</v>
      </c>
      <c r="L81" s="7" cm="1">
        <f t="array" ref="L81">INDEX(coordinates!D:D,MATCH(municipalities!$A81,coordinates!$A:$A,0),0)</f>
        <v>51.924147365400827</v>
      </c>
      <c r="M81" s="8">
        <v>1</v>
      </c>
      <c r="N81" s="9">
        <v>45042</v>
      </c>
      <c r="O81" s="9">
        <v>22264</v>
      </c>
      <c r="P81" s="9">
        <v>22778</v>
      </c>
      <c r="Q81" s="9">
        <v>3</v>
      </c>
      <c r="R81" s="10">
        <v>1043</v>
      </c>
      <c r="S81" s="11">
        <v>64</v>
      </c>
      <c r="T81" s="11">
        <v>36</v>
      </c>
      <c r="U81" s="12">
        <f t="shared" si="8"/>
        <v>31.8</v>
      </c>
      <c r="V81" s="12">
        <f t="shared" si="9"/>
        <v>5.3</v>
      </c>
      <c r="W81" s="12">
        <f t="shared" si="10"/>
        <v>8.6</v>
      </c>
      <c r="X81" s="12">
        <f t="shared" si="11"/>
        <v>11.7</v>
      </c>
      <c r="Y81" s="12">
        <f t="shared" si="12"/>
        <v>82.4</v>
      </c>
      <c r="Z81" s="12" cm="1">
        <f t="array" ref="Z81">INDEX(municipality_wind_potential!$X:$X,MATCH(municipalities!$F81,municipality_wind_potential!$E:$E,0),0)</f>
        <v>53</v>
      </c>
      <c r="AA81" s="12">
        <f t="shared" si="13"/>
        <v>296.79999999999995</v>
      </c>
      <c r="AB81" s="12" cm="1">
        <f t="array" ref="AB81">INDEX(municipality_wind_potential!$Y:$Y,MATCH(municipalities!$F81,municipality_wind_potential!$E:$E,0),0) / 3.6</f>
        <v>854.7833333333333</v>
      </c>
      <c r="AC81" s="12">
        <f t="shared" si="14"/>
        <v>87.64638828893689</v>
      </c>
      <c r="AD81" s="12" cm="1">
        <f t="array" ref="AD81">INDEX(municipality_pv_potential!$G:$G,MATCH(municipalities!$A81,municipality_pv_potential!$E:$E,0),0)/3.6*$AH$4</f>
        <v>81.160555555555561</v>
      </c>
      <c r="AE81" s="12">
        <f t="shared" si="15"/>
        <v>285.46016318694507</v>
      </c>
      <c r="AF81" s="12" cm="1">
        <f t="array" ref="AF81">INDEX(municipality_pv_potential!$H:$H,MATCH(municipalities!$A81,municipality_pv_potential!$E:$E,0),0)/3.6</f>
        <v>264.33611111111111</v>
      </c>
      <c r="AG81" s="12"/>
      <c r="AJ81">
        <v>31.8</v>
      </c>
      <c r="AK81">
        <v>5.3</v>
      </c>
      <c r="AL81">
        <v>8.6</v>
      </c>
      <c r="AM81">
        <v>11.7</v>
      </c>
      <c r="AN81">
        <v>82.4</v>
      </c>
    </row>
    <row r="82" spans="1:40" x14ac:dyDescent="0.25">
      <c r="A82" s="5" t="s">
        <v>260</v>
      </c>
      <c r="B82" s="6" t="s">
        <v>261</v>
      </c>
      <c r="C82" s="7" t="s">
        <v>262</v>
      </c>
      <c r="D82" s="7" t="s">
        <v>262</v>
      </c>
      <c r="E82" s="7" t="s">
        <v>22</v>
      </c>
      <c r="F82" s="7" t="s">
        <v>260</v>
      </c>
      <c r="G82" s="7" t="str" cm="1">
        <f t="array" ref="G82">INDEX('municipalities per province'!F:F,MATCH(municipalities!A82,'municipalities per province'!B:B,0),0)</f>
        <v>Gelderland</v>
      </c>
      <c r="H82" s="7" t="str" cm="1">
        <f t="array" ref="H82">INDEX('municipalities per province'!E:E,MATCH(municipalities!$A82,'municipalities per province'!$B:$B,0),0)</f>
        <v>PV25</v>
      </c>
      <c r="I82" s="7" t="str" cm="1">
        <f t="array" ref="I82">INDEX('municipalities per province'!G:G,MATCH(municipalities!$A82,'municipalities per province'!$B:$B,0),0)</f>
        <v>Cleantech</v>
      </c>
      <c r="J82" s="7" t="str" cm="1">
        <f t="array" ref="J82">INDEX('municipalities per province'!H:H,MATCH(municipalities!$A82,'municipalities per province'!$B:$B,0),0)</f>
        <v>ES12</v>
      </c>
      <c r="K82" s="7" cm="1">
        <f t="array" ref="K82">INDEX(coordinates!C:C,MATCH(municipalities!$A82,coordinates!$A:$A,0),0)</f>
        <v>6.2339453530587701</v>
      </c>
      <c r="L82" s="7" cm="1">
        <f t="array" ref="L82">INDEX(coordinates!D:D,MATCH(municipalities!$A82,coordinates!$A:$A,0),0)</f>
        <v>52.136342760247018</v>
      </c>
      <c r="M82" s="8">
        <v>1</v>
      </c>
      <c r="N82" s="9">
        <v>48510</v>
      </c>
      <c r="O82" s="9">
        <v>23788</v>
      </c>
      <c r="P82" s="9">
        <v>24722</v>
      </c>
      <c r="Q82" s="9">
        <v>2</v>
      </c>
      <c r="R82" s="10">
        <v>1673</v>
      </c>
      <c r="S82" s="11">
        <v>56</v>
      </c>
      <c r="T82" s="11">
        <v>44</v>
      </c>
      <c r="U82" s="12">
        <f t="shared" si="8"/>
        <v>31.3</v>
      </c>
      <c r="V82" s="12">
        <f t="shared" si="9"/>
        <v>6.7</v>
      </c>
      <c r="W82" s="12">
        <f t="shared" si="10"/>
        <v>11.1</v>
      </c>
      <c r="X82" s="12">
        <f t="shared" si="11"/>
        <v>14.2</v>
      </c>
      <c r="Y82" s="12">
        <f t="shared" si="12"/>
        <v>66.7</v>
      </c>
      <c r="Z82" s="12" cm="1">
        <f t="array" ref="Z82">INDEX(municipality_wind_potential!$X:$X,MATCH(municipalities!$F82,municipality_wind_potential!$E:$E,0),0)</f>
        <v>8</v>
      </c>
      <c r="AA82" s="12">
        <f t="shared" si="13"/>
        <v>44.8</v>
      </c>
      <c r="AB82" s="12" cm="1">
        <f t="array" ref="AB82">INDEX(municipality_wind_potential!$Y:$Y,MATCH(municipalities!$F82,municipality_wind_potential!$E:$E,0),0) / 3.6</f>
        <v>118.71944444444443</v>
      </c>
      <c r="AC82" s="12">
        <f t="shared" si="14"/>
        <v>65.205183585313179</v>
      </c>
      <c r="AD82" s="12" cm="1">
        <f t="array" ref="AD82">INDEX(municipality_pv_potential!$G:$G,MATCH(municipalities!$A82,municipality_pv_potential!$E:$E,0),0)/3.6*$AH$4</f>
        <v>60.379999999999995</v>
      </c>
      <c r="AE82" s="12">
        <f t="shared" si="15"/>
        <v>78.08075353971681</v>
      </c>
      <c r="AF82" s="12" cm="1">
        <f t="array" ref="AF82">INDEX(municipality_pv_potential!$H:$H,MATCH(municipalities!$A82,municipality_pv_potential!$E:$E,0),0)/3.6</f>
        <v>72.302777777777777</v>
      </c>
      <c r="AG82" s="12"/>
      <c r="AJ82">
        <v>31.3</v>
      </c>
      <c r="AK82">
        <v>6.7</v>
      </c>
      <c r="AL82">
        <v>11.1</v>
      </c>
      <c r="AM82">
        <v>14.2</v>
      </c>
      <c r="AN82">
        <v>66.7</v>
      </c>
    </row>
    <row r="83" spans="1:40" x14ac:dyDescent="0.25">
      <c r="A83" s="5" t="s">
        <v>263</v>
      </c>
      <c r="B83" s="6" t="s">
        <v>264</v>
      </c>
      <c r="C83" s="7" t="s">
        <v>265</v>
      </c>
      <c r="D83" s="7" t="s">
        <v>265</v>
      </c>
      <c r="E83" s="7" t="s">
        <v>22</v>
      </c>
      <c r="F83" s="7" t="s">
        <v>263</v>
      </c>
      <c r="G83" s="7" t="str" cm="1">
        <f t="array" ref="G83">INDEX('municipalities per province'!F:F,MATCH(municipalities!A83,'municipalities per province'!B:B,0),0)</f>
        <v>Gelderland</v>
      </c>
      <c r="H83" s="7" t="str" cm="1">
        <f t="array" ref="H83">INDEX('municipalities per province'!E:E,MATCH(municipalities!$A83,'municipalities per province'!$B:$B,0),0)</f>
        <v>PV25</v>
      </c>
      <c r="I83" s="7" t="str" cm="1">
        <f t="array" ref="I83">INDEX('municipalities per province'!G:G,MATCH(municipalities!$A83,'municipalities per province'!$B:$B,0),0)</f>
        <v>Noord-Veluwe</v>
      </c>
      <c r="J83" s="7" t="str" cm="1">
        <f t="array" ref="J83">INDEX('municipalities per province'!H:H,MATCH(municipalities!$A83,'municipalities per province'!$B:$B,0),0)</f>
        <v>ES10</v>
      </c>
      <c r="K83" s="7" cm="1">
        <f t="array" ref="K83">INDEX(coordinates!C:C,MATCH(municipalities!$A83,coordinates!$A:$A,0),0)</f>
        <v>5.722982950782284</v>
      </c>
      <c r="L83" s="7" cm="1">
        <f t="array" ref="L83">INDEX(coordinates!D:D,MATCH(municipalities!$A83,coordinates!$A:$A,0),0)</f>
        <v>52.392986658694383</v>
      </c>
      <c r="M83" s="8">
        <v>1</v>
      </c>
      <c r="N83" s="9">
        <v>28731</v>
      </c>
      <c r="O83" s="9">
        <v>14157</v>
      </c>
      <c r="P83" s="9">
        <v>14574</v>
      </c>
      <c r="Q83" s="9">
        <v>4</v>
      </c>
      <c r="R83" s="10">
        <v>808</v>
      </c>
      <c r="S83" s="11">
        <v>65</v>
      </c>
      <c r="T83" s="11">
        <v>34</v>
      </c>
      <c r="U83" s="12">
        <f t="shared" si="8"/>
        <v>34.1</v>
      </c>
      <c r="V83" s="12">
        <f t="shared" si="9"/>
        <v>4.0999999999999996</v>
      </c>
      <c r="W83" s="12">
        <f t="shared" si="10"/>
        <v>6.6</v>
      </c>
      <c r="X83" s="12">
        <f t="shared" si="11"/>
        <v>8.9</v>
      </c>
      <c r="Y83" s="12">
        <f t="shared" si="12"/>
        <v>163.30000000000001</v>
      </c>
      <c r="Z83" s="12" cm="1">
        <f t="array" ref="Z83">INDEX(municipality_wind_potential!$X:$X,MATCH(municipalities!$F83,municipality_wind_potential!$E:$E,0),0)</f>
        <v>117</v>
      </c>
      <c r="AA83" s="12">
        <f t="shared" si="13"/>
        <v>655.19999999999993</v>
      </c>
      <c r="AB83" s="12" cm="1">
        <f t="array" ref="AB83">INDEX(municipality_wind_potential!$Y:$Y,MATCH(municipalities!$F83,municipality_wind_potential!$E:$E,0),0) / 3.6</f>
        <v>1728.8611111111109</v>
      </c>
      <c r="AC83" s="12">
        <f t="shared" si="14"/>
        <v>54.128869690424771</v>
      </c>
      <c r="AD83" s="12" cm="1">
        <f t="array" ref="AD83">INDEX(municipality_pv_potential!$G:$G,MATCH(municipalities!$A83,municipality_pv_potential!$E:$E,0),0)/3.6*$AH$4</f>
        <v>50.123333333333335</v>
      </c>
      <c r="AE83" s="12">
        <f t="shared" si="15"/>
        <v>111.54907607391409</v>
      </c>
      <c r="AF83" s="12" cm="1">
        <f t="array" ref="AF83">INDEX(municipality_pv_potential!$H:$H,MATCH(municipalities!$A83,municipality_pv_potential!$E:$E,0),0)/3.6</f>
        <v>103.29444444444445</v>
      </c>
      <c r="AG83" s="12"/>
      <c r="AJ83">
        <v>34.1</v>
      </c>
      <c r="AK83">
        <v>4.0999999999999996</v>
      </c>
      <c r="AL83">
        <v>6.6</v>
      </c>
      <c r="AM83">
        <v>8.9</v>
      </c>
      <c r="AN83">
        <v>163.30000000000001</v>
      </c>
    </row>
    <row r="84" spans="1:40" x14ac:dyDescent="0.25">
      <c r="A84" s="5" t="s">
        <v>266</v>
      </c>
      <c r="B84" s="6" t="s">
        <v>267</v>
      </c>
      <c r="C84" s="7" t="s">
        <v>268</v>
      </c>
      <c r="D84" s="7" t="s">
        <v>268</v>
      </c>
      <c r="E84" s="7" t="s">
        <v>22</v>
      </c>
      <c r="F84" s="7" t="s">
        <v>266</v>
      </c>
      <c r="G84" s="7" t="str" cm="1">
        <f t="array" ref="G84">INDEX('municipalities per province'!F:F,MATCH(municipalities!A84,'municipalities per province'!B:B,0),0)</f>
        <v>Flevoland</v>
      </c>
      <c r="H84" s="7" t="str" cm="1">
        <f t="array" ref="H84">INDEX('municipalities per province'!E:E,MATCH(municipalities!$A84,'municipalities per province'!$B:$B,0),0)</f>
        <v>PV24</v>
      </c>
      <c r="I84" s="7" t="str" cm="1">
        <f t="array" ref="I84">INDEX('municipalities per province'!G:G,MATCH(municipalities!$A84,'municipalities per province'!$B:$B,0),0)</f>
        <v>Flevoland</v>
      </c>
      <c r="J84" s="7" t="str" cm="1">
        <f t="array" ref="J84">INDEX('municipalities per province'!H:H,MATCH(municipalities!$A84,'municipalities per province'!$B:$B,0),0)</f>
        <v>ES06</v>
      </c>
      <c r="K84" s="7" cm="1">
        <f t="array" ref="K84">INDEX(coordinates!C:C,MATCH(municipalities!$A84,coordinates!$A:$A,0),0)</f>
        <v>5.6696199121376099</v>
      </c>
      <c r="L84" s="7" cm="1">
        <f t="array" ref="L84">INDEX(coordinates!D:D,MATCH(municipalities!$A84,coordinates!$A:$A,0),0)</f>
        <v>52.540882104742558</v>
      </c>
      <c r="M84" s="8">
        <v>1</v>
      </c>
      <c r="N84" s="9">
        <v>43593</v>
      </c>
      <c r="O84" s="9">
        <v>21843</v>
      </c>
      <c r="P84" s="9">
        <v>21750</v>
      </c>
      <c r="Q84" s="9">
        <v>4</v>
      </c>
      <c r="R84" s="10">
        <v>783</v>
      </c>
      <c r="S84" s="11">
        <v>68</v>
      </c>
      <c r="T84" s="11">
        <v>32</v>
      </c>
      <c r="U84" s="12">
        <f t="shared" si="8"/>
        <v>33.6</v>
      </c>
      <c r="V84" s="12">
        <f t="shared" si="9"/>
        <v>4.3</v>
      </c>
      <c r="W84" s="12">
        <f t="shared" si="10"/>
        <v>7</v>
      </c>
      <c r="X84" s="12">
        <f t="shared" si="11"/>
        <v>9.1999999999999993</v>
      </c>
      <c r="Y84" s="12">
        <f t="shared" si="12"/>
        <v>93.6</v>
      </c>
      <c r="Z84" s="12" cm="1">
        <f t="array" ref="Z84">INDEX(municipality_wind_potential!$X:$X,MATCH(municipalities!$F84,municipality_wind_potential!$E:$E,0),0)</f>
        <v>246</v>
      </c>
      <c r="AA84" s="12">
        <f t="shared" si="13"/>
        <v>1377.6</v>
      </c>
      <c r="AB84" s="12" cm="1">
        <f t="array" ref="AB84">INDEX(municipality_wind_potential!$Y:$Y,MATCH(municipalities!$F84,municipality_wind_potential!$E:$E,0),0) / 3.6</f>
        <v>4358.1166666666668</v>
      </c>
      <c r="AC84" s="12">
        <f t="shared" si="14"/>
        <v>117.47360211183106</v>
      </c>
      <c r="AD84" s="12" cm="1">
        <f t="array" ref="AD84">INDEX(municipality_pv_potential!$G:$G,MATCH(municipalities!$A84,municipality_pv_potential!$E:$E,0),0)/3.6*$AH$4</f>
        <v>108.78055555555555</v>
      </c>
      <c r="AE84" s="12">
        <f t="shared" si="15"/>
        <v>1346.7662586993042</v>
      </c>
      <c r="AF84" s="12" cm="1">
        <f t="array" ref="AF84">INDEX(municipality_pv_potential!$H:$H,MATCH(municipalities!$A84,municipality_pv_potential!$E:$E,0),0)/3.6</f>
        <v>1247.1055555555556</v>
      </c>
      <c r="AG84" s="12"/>
      <c r="AJ84">
        <v>33.6</v>
      </c>
      <c r="AK84">
        <v>4.3</v>
      </c>
      <c r="AL84">
        <v>7</v>
      </c>
      <c r="AM84">
        <v>9.1999999999999993</v>
      </c>
      <c r="AN84">
        <v>93.6</v>
      </c>
    </row>
    <row r="85" spans="1:40" x14ac:dyDescent="0.25">
      <c r="A85" s="5" t="s">
        <v>269</v>
      </c>
      <c r="B85" s="6" t="s">
        <v>270</v>
      </c>
      <c r="C85" s="7" t="s">
        <v>271</v>
      </c>
      <c r="D85" s="7" t="s">
        <v>271</v>
      </c>
      <c r="E85" s="7" t="s">
        <v>22</v>
      </c>
      <c r="F85" s="7" t="s">
        <v>269</v>
      </c>
      <c r="G85" s="7" t="str" cm="1">
        <f t="array" ref="G85">INDEX('municipalities per province'!F:F,MATCH(municipalities!A85,'municipalities per province'!B:B,0),0)</f>
        <v>Utrecht</v>
      </c>
      <c r="H85" s="7" t="str" cm="1">
        <f t="array" ref="H85">INDEX('municipalities per province'!E:E,MATCH(municipalities!$A85,'municipalities per province'!$B:$B,0),0)</f>
        <v>PV26</v>
      </c>
      <c r="I85" s="7" t="str" cm="1">
        <f t="array" ref="I85">INDEX('municipalities per province'!G:G,MATCH(municipalities!$A85,'municipalities per province'!$B:$B,0),0)</f>
        <v>Amersfoort</v>
      </c>
      <c r="J85" s="7" t="str" cm="1">
        <f t="array" ref="J85">INDEX('municipalities per province'!H:H,MATCH(municipalities!$A85,'municipalities per province'!$B:$B,0),0)</f>
        <v>ES13</v>
      </c>
      <c r="K85" s="7" cm="1">
        <f t="array" ref="K85">INDEX(coordinates!C:C,MATCH(municipalities!$A85,coordinates!$A:$A,0),0)</f>
        <v>5.3846983853057342</v>
      </c>
      <c r="L85" s="7" cm="1">
        <f t="array" ref="L85">INDEX(coordinates!D:D,MATCH(municipalities!$A85,coordinates!$A:$A,0),0)</f>
        <v>52.173656200155392</v>
      </c>
      <c r="M85" s="8">
        <v>1</v>
      </c>
      <c r="N85" s="9">
        <v>160759</v>
      </c>
      <c r="O85" s="9">
        <v>79574</v>
      </c>
      <c r="P85" s="9">
        <v>81185</v>
      </c>
      <c r="Q85" s="9">
        <v>2</v>
      </c>
      <c r="R85" s="10">
        <v>2400</v>
      </c>
      <c r="S85" s="11">
        <v>58</v>
      </c>
      <c r="T85" s="11">
        <v>42</v>
      </c>
      <c r="U85" s="12">
        <f t="shared" si="8"/>
        <v>35.9</v>
      </c>
      <c r="V85" s="12">
        <f t="shared" si="9"/>
        <v>5.9</v>
      </c>
      <c r="W85" s="12">
        <f t="shared" si="10"/>
        <v>8.6999999999999993</v>
      </c>
      <c r="X85" s="12">
        <f t="shared" si="11"/>
        <v>10.9</v>
      </c>
      <c r="Y85" s="12">
        <f t="shared" si="12"/>
        <v>115.8</v>
      </c>
      <c r="Z85" s="12" cm="1">
        <f t="array" ref="Z85">INDEX(municipality_wind_potential!$X:$X,MATCH(municipalities!$F85,municipality_wind_potential!$E:$E,0),0)</f>
        <v>13</v>
      </c>
      <c r="AA85" s="12">
        <f t="shared" si="13"/>
        <v>72.8</v>
      </c>
      <c r="AB85" s="12" cm="1">
        <f t="array" ref="AB85">INDEX(municipality_wind_potential!$Y:$Y,MATCH(municipalities!$F85,municipality_wind_potential!$E:$E,0),0) / 3.6</f>
        <v>192.91944444444442</v>
      </c>
      <c r="AC85" s="12">
        <f t="shared" si="14"/>
        <v>165.63594912407009</v>
      </c>
      <c r="AD85" s="12" cm="1">
        <f t="array" ref="AD85">INDEX(municipality_pv_potential!$G:$G,MATCH(municipalities!$A85,municipality_pv_potential!$E:$E,0),0)/3.6*$AH$4</f>
        <v>153.37888888888889</v>
      </c>
      <c r="AE85" s="12">
        <f t="shared" si="15"/>
        <v>77.849772018238554</v>
      </c>
      <c r="AF85" s="12" cm="1">
        <f t="array" ref="AF85">INDEX(municipality_pv_potential!$H:$H,MATCH(municipalities!$A85,municipality_pv_potential!$E:$E,0),0)/3.6</f>
        <v>72.088888888888889</v>
      </c>
      <c r="AG85" s="12"/>
      <c r="AJ85">
        <v>35.9</v>
      </c>
      <c r="AK85">
        <v>5.9</v>
      </c>
      <c r="AL85">
        <v>8.6999999999999993</v>
      </c>
      <c r="AM85">
        <v>10.9</v>
      </c>
      <c r="AN85">
        <v>115.8</v>
      </c>
    </row>
    <row r="86" spans="1:40" x14ac:dyDescent="0.25">
      <c r="A86" s="5" t="s">
        <v>272</v>
      </c>
      <c r="B86" s="6" t="s">
        <v>273</v>
      </c>
      <c r="C86" s="7" t="s">
        <v>274</v>
      </c>
      <c r="D86" s="7" t="s">
        <v>274</v>
      </c>
      <c r="E86" s="7" t="s">
        <v>22</v>
      </c>
      <c r="F86" s="7" t="s">
        <v>272</v>
      </c>
      <c r="G86" s="7" t="str" cm="1">
        <f t="array" ref="G86">INDEX('municipalities per province'!F:F,MATCH(municipalities!A86,'municipalities per province'!B:B,0),0)</f>
        <v>Utrecht</v>
      </c>
      <c r="H86" s="7" t="str" cm="1">
        <f t="array" ref="H86">INDEX('municipalities per province'!E:E,MATCH(municipalities!$A86,'municipalities per province'!$B:$B,0),0)</f>
        <v>PV26</v>
      </c>
      <c r="I86" s="7" t="str" cm="1">
        <f t="array" ref="I86">INDEX('municipalities per province'!G:G,MATCH(municipalities!$A86,'municipalities per province'!$B:$B,0),0)</f>
        <v>Amersfoort</v>
      </c>
      <c r="J86" s="7" t="str" cm="1">
        <f t="array" ref="J86">INDEX('municipalities per province'!H:H,MATCH(municipalities!$A86,'municipalities per province'!$B:$B,0),0)</f>
        <v>ES13</v>
      </c>
      <c r="K86" s="7" cm="1">
        <f t="array" ref="K86">INDEX(coordinates!C:C,MATCH(municipalities!$A86,coordinates!$A:$A,0),0)</f>
        <v>5.2641527578566363</v>
      </c>
      <c r="L86" s="7" cm="1">
        <f t="array" ref="L86">INDEX(coordinates!D:D,MATCH(municipalities!$A86,coordinates!$A:$A,0),0)</f>
        <v>52.203834166457852</v>
      </c>
      <c r="M86" s="8">
        <v>1</v>
      </c>
      <c r="N86" s="9">
        <v>25008</v>
      </c>
      <c r="O86" s="9">
        <v>12135</v>
      </c>
      <c r="P86" s="9">
        <v>12873</v>
      </c>
      <c r="Q86" s="9">
        <v>2</v>
      </c>
      <c r="R86" s="10">
        <v>1624</v>
      </c>
      <c r="S86" s="11">
        <v>62</v>
      </c>
      <c r="T86" s="11">
        <v>38</v>
      </c>
      <c r="U86" s="12">
        <f t="shared" si="8"/>
        <v>38.5</v>
      </c>
      <c r="V86" s="12">
        <f t="shared" si="9"/>
        <v>4.9000000000000004</v>
      </c>
      <c r="W86" s="12">
        <f t="shared" si="10"/>
        <v>7.3</v>
      </c>
      <c r="X86" s="12">
        <f t="shared" si="11"/>
        <v>9.5</v>
      </c>
      <c r="Y86" s="12">
        <f t="shared" si="12"/>
        <v>186.9</v>
      </c>
      <c r="Z86" s="12" cm="1">
        <f t="array" ref="Z86">INDEX(municipality_wind_potential!$X:$X,MATCH(municipalities!$F86,municipality_wind_potential!$E:$E,0),0)</f>
        <v>20</v>
      </c>
      <c r="AA86" s="12">
        <f t="shared" si="13"/>
        <v>112</v>
      </c>
      <c r="AB86" s="12" cm="1">
        <f t="array" ref="AB86">INDEX(municipality_wind_potential!$Y:$Y,MATCH(municipalities!$F86,municipality_wind_potential!$E:$E,0),0) / 3.6</f>
        <v>296.8</v>
      </c>
      <c r="AC86" s="12">
        <f t="shared" si="14"/>
        <v>28.882889368850492</v>
      </c>
      <c r="AD86" s="12" cm="1">
        <f t="array" ref="AD86">INDEX(municipality_pv_potential!$G:$G,MATCH(municipalities!$A86,municipality_pv_potential!$E:$E,0),0)/3.6*$AH$4</f>
        <v>26.745555555555558</v>
      </c>
      <c r="AE86" s="12">
        <f t="shared" si="15"/>
        <v>32.832373410127197</v>
      </c>
      <c r="AF86" s="12" cm="1">
        <f t="array" ref="AF86">INDEX(municipality_pv_potential!$H:$H,MATCH(municipalities!$A86,municipality_pv_potential!$E:$E,0),0)/3.6</f>
        <v>30.402777777777779</v>
      </c>
      <c r="AG86" s="12"/>
      <c r="AJ86">
        <v>38.5</v>
      </c>
      <c r="AK86">
        <v>4.9000000000000004</v>
      </c>
      <c r="AL86">
        <v>7.3</v>
      </c>
      <c r="AM86">
        <v>9.5</v>
      </c>
      <c r="AN86">
        <v>186.9</v>
      </c>
    </row>
    <row r="87" spans="1:40" x14ac:dyDescent="0.25">
      <c r="A87" s="5" t="s">
        <v>275</v>
      </c>
      <c r="B87" s="6" t="s">
        <v>276</v>
      </c>
      <c r="C87" s="7" t="s">
        <v>277</v>
      </c>
      <c r="D87" s="7" t="s">
        <v>277</v>
      </c>
      <c r="E87" s="7" t="s">
        <v>22</v>
      </c>
      <c r="F87" s="7" t="s">
        <v>275</v>
      </c>
      <c r="G87" s="7" t="str" cm="1">
        <f t="array" ref="G87">INDEX('municipalities per province'!F:F,MATCH(municipalities!A87,'municipalities per province'!B:B,0),0)</f>
        <v>Utrecht</v>
      </c>
      <c r="H87" s="7" t="str" cm="1">
        <f t="array" ref="H87">INDEX('municipalities per province'!E:E,MATCH(municipalities!$A87,'municipalities per province'!$B:$B,0),0)</f>
        <v>PV26</v>
      </c>
      <c r="I87" s="7" t="str" cm="1">
        <f t="array" ref="I87">INDEX('municipalities per province'!G:G,MATCH(municipalities!$A87,'municipalities per province'!$B:$B,0),0)</f>
        <v>U16</v>
      </c>
      <c r="J87" s="7" t="str" cm="1">
        <f t="array" ref="J87">INDEX('municipalities per province'!H:H,MATCH(municipalities!$A87,'municipalities per province'!$B:$B,0),0)</f>
        <v>ES14</v>
      </c>
      <c r="K87" s="7" cm="1">
        <f t="array" ref="K87">INDEX(coordinates!C:C,MATCH(municipalities!$A87,coordinates!$A:$A,0),0)</f>
        <v>5.1743059742520776</v>
      </c>
      <c r="L87" s="7" cm="1">
        <f t="array" ref="L87">INDEX(coordinates!D:D,MATCH(municipalities!$A87,coordinates!$A:$A,0),0)</f>
        <v>52.141741481869971</v>
      </c>
      <c r="M87" s="8">
        <v>1</v>
      </c>
      <c r="N87" s="9">
        <v>43884</v>
      </c>
      <c r="O87" s="9">
        <v>21121</v>
      </c>
      <c r="P87" s="9">
        <v>22763</v>
      </c>
      <c r="Q87" s="9">
        <v>3</v>
      </c>
      <c r="R87" s="10">
        <v>1284</v>
      </c>
      <c r="S87" s="11">
        <v>61</v>
      </c>
      <c r="T87" s="11">
        <v>39</v>
      </c>
      <c r="U87" s="12">
        <f t="shared" si="8"/>
        <v>40.700000000000003</v>
      </c>
      <c r="V87" s="12">
        <f t="shared" si="9"/>
        <v>4.8</v>
      </c>
      <c r="W87" s="12">
        <f t="shared" si="10"/>
        <v>7.3</v>
      </c>
      <c r="X87" s="12">
        <f t="shared" si="11"/>
        <v>9.4</v>
      </c>
      <c r="Y87" s="12">
        <f t="shared" si="12"/>
        <v>231.8</v>
      </c>
      <c r="Z87" s="12" cm="1">
        <f t="array" ref="Z87">INDEX(municipality_wind_potential!$X:$X,MATCH(municipalities!$F87,municipality_wind_potential!$E:$E,0),0)</f>
        <v>31</v>
      </c>
      <c r="AA87" s="12">
        <f t="shared" si="13"/>
        <v>173.6</v>
      </c>
      <c r="AB87" s="12" cm="1">
        <f t="array" ref="AB87">INDEX(municipality_wind_potential!$Y:$Y,MATCH(municipalities!$F87,municipality_wind_potential!$E:$E,0),0) / 3.6</f>
        <v>452.61944444444447</v>
      </c>
      <c r="AC87" s="12">
        <f t="shared" si="14"/>
        <v>61.912646988240944</v>
      </c>
      <c r="AD87" s="12" cm="1">
        <f t="array" ref="AD87">INDEX(municipality_pv_potential!$G:$G,MATCH(municipalities!$A87,municipality_pv_potential!$E:$E,0),0)/3.6*$AH$4</f>
        <v>57.331111111111113</v>
      </c>
      <c r="AE87" s="12">
        <f t="shared" si="15"/>
        <v>120.90832733381329</v>
      </c>
      <c r="AF87" s="12" cm="1">
        <f t="array" ref="AF87">INDEX(municipality_pv_potential!$H:$H,MATCH(municipalities!$A87,municipality_pv_potential!$E:$E,0),0)/3.6</f>
        <v>111.96111111111111</v>
      </c>
      <c r="AG87" s="12"/>
      <c r="AJ87">
        <v>40.700000000000003</v>
      </c>
      <c r="AK87">
        <v>4.8</v>
      </c>
      <c r="AL87">
        <v>7.3</v>
      </c>
      <c r="AM87">
        <v>9.4</v>
      </c>
      <c r="AN87">
        <v>231.8</v>
      </c>
    </row>
    <row r="88" spans="1:40" x14ac:dyDescent="0.25">
      <c r="A88" s="5" t="s">
        <v>278</v>
      </c>
      <c r="B88" s="6" t="s">
        <v>279</v>
      </c>
      <c r="C88" s="7" t="s">
        <v>280</v>
      </c>
      <c r="D88" s="7" t="s">
        <v>280</v>
      </c>
      <c r="E88" s="7" t="s">
        <v>22</v>
      </c>
      <c r="F88" s="7" t="s">
        <v>278</v>
      </c>
      <c r="G88" s="7" t="str" cm="1">
        <f t="array" ref="G88">INDEX('municipalities per province'!F:F,MATCH(municipalities!A88,'municipalities per province'!B:B,0),0)</f>
        <v>Utrecht</v>
      </c>
      <c r="H88" s="7" t="str" cm="1">
        <f t="array" ref="H88">INDEX('municipalities per province'!E:E,MATCH(municipalities!$A88,'municipalities per province'!$B:$B,0),0)</f>
        <v>PV26</v>
      </c>
      <c r="I88" s="7" t="str" cm="1">
        <f t="array" ref="I88">INDEX('municipalities per province'!G:G,MATCH(municipalities!$A88,'municipalities per province'!$B:$B,0),0)</f>
        <v>U16</v>
      </c>
      <c r="J88" s="7" t="str" cm="1">
        <f t="array" ref="J88">INDEX('municipalities per province'!H:H,MATCH(municipalities!$A88,'municipalities per province'!$B:$B,0),0)</f>
        <v>ES14</v>
      </c>
      <c r="K88" s="7" cm="1">
        <f t="array" ref="K88">INDEX(coordinates!C:C,MATCH(municipalities!$A88,coordinates!$A:$A,0),0)</f>
        <v>5.2169233022510282</v>
      </c>
      <c r="L88" s="7" cm="1">
        <f t="array" ref="L88">INDEX(coordinates!D:D,MATCH(municipalities!$A88,coordinates!$A:$A,0),0)</f>
        <v>52.040921032809123</v>
      </c>
      <c r="M88" s="8">
        <v>1</v>
      </c>
      <c r="N88" s="9">
        <v>16026</v>
      </c>
      <c r="O88" s="9">
        <v>7912</v>
      </c>
      <c r="P88" s="9">
        <v>8114</v>
      </c>
      <c r="Q88" s="9">
        <v>4</v>
      </c>
      <c r="R88" s="10">
        <v>698</v>
      </c>
      <c r="S88" s="11">
        <v>73</v>
      </c>
      <c r="T88" s="11">
        <v>26</v>
      </c>
      <c r="U88" s="12">
        <f t="shared" si="8"/>
        <v>39.200000000000003</v>
      </c>
      <c r="V88" s="12">
        <f t="shared" si="9"/>
        <v>3</v>
      </c>
      <c r="W88" s="12">
        <f t="shared" si="10"/>
        <v>4.5999999999999996</v>
      </c>
      <c r="X88" s="12">
        <f t="shared" si="11"/>
        <v>5.8</v>
      </c>
      <c r="Y88" s="12">
        <f t="shared" si="12"/>
        <v>307.2</v>
      </c>
      <c r="Z88" s="12" cm="1">
        <f t="array" ref="Z88">INDEX(municipality_wind_potential!$X:$X,MATCH(municipalities!$F88,municipality_wind_potential!$E:$E,0),0)</f>
        <v>19</v>
      </c>
      <c r="AA88" s="12">
        <f t="shared" si="13"/>
        <v>106.39999999999999</v>
      </c>
      <c r="AB88" s="12" cm="1">
        <f t="array" ref="AB88">INDEX(municipality_wind_potential!$Y:$Y,MATCH(municipalities!$F88,municipality_wind_potential!$E:$E,0),0) / 3.6</f>
        <v>298.36666666666662</v>
      </c>
      <c r="AC88" s="12">
        <f t="shared" si="14"/>
        <v>30.874730021598271</v>
      </c>
      <c r="AD88" s="12" cm="1">
        <f t="array" ref="AD88">INDEX(municipality_pv_potential!$G:$G,MATCH(municipalities!$A88,municipality_pv_potential!$E:$E,0),0)/3.6*$AH$4</f>
        <v>28.59</v>
      </c>
      <c r="AE88" s="12">
        <f t="shared" si="15"/>
        <v>118.93448524118071</v>
      </c>
      <c r="AF88" s="12" cm="1">
        <f t="array" ref="AF88">INDEX(municipality_pv_potential!$H:$H,MATCH(municipalities!$A88,municipality_pv_potential!$E:$E,0),0)/3.6</f>
        <v>110.13333333333334</v>
      </c>
      <c r="AG88" s="12"/>
      <c r="AJ88">
        <v>39.200000000000003</v>
      </c>
      <c r="AK88">
        <v>3</v>
      </c>
      <c r="AL88">
        <v>4.5999999999999996</v>
      </c>
      <c r="AM88">
        <v>5.8</v>
      </c>
      <c r="AN88">
        <v>307.2</v>
      </c>
    </row>
    <row r="89" spans="1:40" x14ac:dyDescent="0.25">
      <c r="A89" s="5" t="s">
        <v>281</v>
      </c>
      <c r="B89" s="6" t="s">
        <v>282</v>
      </c>
      <c r="C89" s="7" t="s">
        <v>283</v>
      </c>
      <c r="D89" s="7" t="s">
        <v>283</v>
      </c>
      <c r="E89" s="7" t="s">
        <v>22</v>
      </c>
      <c r="F89" s="7" t="s">
        <v>281</v>
      </c>
      <c r="G89" s="7" t="str" cm="1">
        <f t="array" ref="G89">INDEX('municipalities per province'!F:F,MATCH(municipalities!A89,'municipalities per province'!B:B,0),0)</f>
        <v>Utrecht</v>
      </c>
      <c r="H89" s="7" t="str" cm="1">
        <f t="array" ref="H89">INDEX('municipalities per province'!E:E,MATCH(municipalities!$A89,'municipalities per province'!$B:$B,0),0)</f>
        <v>PV26</v>
      </c>
      <c r="I89" s="7" t="str" cm="1">
        <f t="array" ref="I89">INDEX('municipalities per province'!G:G,MATCH(municipalities!$A89,'municipalities per province'!$B:$B,0),0)</f>
        <v>Amersfoort</v>
      </c>
      <c r="J89" s="7" t="str" cm="1">
        <f t="array" ref="J89">INDEX('municipalities per province'!H:H,MATCH(municipalities!$A89,'municipalities per province'!$B:$B,0),0)</f>
        <v>ES13</v>
      </c>
      <c r="K89" s="7" cm="1">
        <f t="array" ref="K89">INDEX(coordinates!C:C,MATCH(municipalities!$A89,coordinates!$A:$A,0),0)</f>
        <v>5.3587899306109081</v>
      </c>
      <c r="L89" s="7" cm="1">
        <f t="array" ref="L89">INDEX(coordinates!D:D,MATCH(municipalities!$A89,coordinates!$A:$A,0),0)</f>
        <v>52.270345728978207</v>
      </c>
      <c r="M89" s="8">
        <v>1</v>
      </c>
      <c r="N89" s="9">
        <v>22500</v>
      </c>
      <c r="O89" s="9">
        <v>11201</v>
      </c>
      <c r="P89" s="9">
        <v>11299</v>
      </c>
      <c r="Q89" s="9">
        <v>3</v>
      </c>
      <c r="R89" s="10">
        <v>1214</v>
      </c>
      <c r="S89" s="11">
        <v>74</v>
      </c>
      <c r="T89" s="11">
        <v>26</v>
      </c>
      <c r="U89" s="12">
        <f t="shared" si="8"/>
        <v>36.1</v>
      </c>
      <c r="V89" s="12">
        <f t="shared" si="9"/>
        <v>3.4</v>
      </c>
      <c r="W89" s="12">
        <f t="shared" si="10"/>
        <v>5.0999999999999996</v>
      </c>
      <c r="X89" s="12">
        <f t="shared" si="11"/>
        <v>6.9</v>
      </c>
      <c r="Y89" s="12">
        <f t="shared" si="12"/>
        <v>197.2</v>
      </c>
      <c r="Z89" s="12" cm="1">
        <f t="array" ref="Z89">INDEX(municipality_wind_potential!$X:$X,MATCH(municipalities!$F89,municipality_wind_potential!$E:$E,0),0)</f>
        <v>18</v>
      </c>
      <c r="AA89" s="12">
        <f t="shared" si="13"/>
        <v>100.8</v>
      </c>
      <c r="AB89" s="12" cm="1">
        <f t="array" ref="AB89">INDEX(municipality_wind_potential!$Y:$Y,MATCH(municipalities!$F89,municipality_wind_potential!$E:$E,0),0) / 3.6</f>
        <v>290.30277777777775</v>
      </c>
      <c r="AC89" s="12">
        <f t="shared" si="14"/>
        <v>36.408687305015597</v>
      </c>
      <c r="AD89" s="12" cm="1">
        <f t="array" ref="AD89">INDEX(municipality_pv_potential!$G:$G,MATCH(municipalities!$A89,municipality_pv_potential!$E:$E,0),0)/3.6*$AH$4</f>
        <v>33.714444444444446</v>
      </c>
      <c r="AE89" s="12">
        <f t="shared" si="15"/>
        <v>113.02795776337892</v>
      </c>
      <c r="AF89" s="12" cm="1">
        <f t="array" ref="AF89">INDEX(municipality_pv_potential!$H:$H,MATCH(municipalities!$A89,municipality_pv_potential!$E:$E,0),0)/3.6</f>
        <v>104.66388888888889</v>
      </c>
      <c r="AG89" s="12"/>
      <c r="AJ89">
        <v>36.1</v>
      </c>
      <c r="AK89">
        <v>3.4</v>
      </c>
      <c r="AL89">
        <v>5.0999999999999996</v>
      </c>
      <c r="AM89">
        <v>6.9</v>
      </c>
      <c r="AN89">
        <v>197.2</v>
      </c>
    </row>
    <row r="90" spans="1:40" x14ac:dyDescent="0.25">
      <c r="A90" s="5" t="s">
        <v>284</v>
      </c>
      <c r="B90" s="6" t="s">
        <v>285</v>
      </c>
      <c r="C90" s="7" t="s">
        <v>286</v>
      </c>
      <c r="D90" s="7" t="s">
        <v>286</v>
      </c>
      <c r="E90" s="7" t="s">
        <v>22</v>
      </c>
      <c r="F90" s="7" t="s">
        <v>284</v>
      </c>
      <c r="G90" s="7" t="str" cm="1">
        <f t="array" ref="G90">INDEX('municipalities per province'!F:F,MATCH(municipalities!A90,'municipalities per province'!B:B,0),0)</f>
        <v>Utrecht</v>
      </c>
      <c r="H90" s="7" t="str" cm="1">
        <f t="array" ref="H90">INDEX('municipalities per province'!E:E,MATCH(municipalities!$A90,'municipalities per province'!$B:$B,0),0)</f>
        <v>PV26</v>
      </c>
      <c r="I90" s="7" t="str" cm="1">
        <f t="array" ref="I90">INDEX('municipalities per province'!G:G,MATCH(municipalities!$A90,'municipalities per province'!$B:$B,0),0)</f>
        <v>Amersfoort</v>
      </c>
      <c r="J90" s="7" t="str" cm="1">
        <f t="array" ref="J90">INDEX('municipalities per province'!H:H,MATCH(municipalities!$A90,'municipalities per province'!$B:$B,0),0)</f>
        <v>ES13</v>
      </c>
      <c r="K90" s="7" cm="1">
        <f t="array" ref="K90">INDEX(coordinates!C:C,MATCH(municipalities!$A90,coordinates!$A:$A,0),0)</f>
        <v>5.3248320032707559</v>
      </c>
      <c r="L90" s="7" cm="1">
        <f t="array" ref="L90">INDEX(coordinates!D:D,MATCH(municipalities!$A90,coordinates!$A:$A,0),0)</f>
        <v>52.280089593339518</v>
      </c>
      <c r="M90" s="8">
        <v>1</v>
      </c>
      <c r="N90" s="9">
        <v>9598</v>
      </c>
      <c r="O90" s="9">
        <v>4699</v>
      </c>
      <c r="P90" s="9">
        <v>4899</v>
      </c>
      <c r="Q90" s="9">
        <v>4</v>
      </c>
      <c r="R90" s="10">
        <v>962</v>
      </c>
      <c r="S90" s="11">
        <v>72</v>
      </c>
      <c r="T90" s="11">
        <v>27</v>
      </c>
      <c r="U90" s="12">
        <f t="shared" si="8"/>
        <v>38.9</v>
      </c>
      <c r="V90" s="12">
        <f t="shared" si="9"/>
        <v>4.4000000000000004</v>
      </c>
      <c r="W90" s="12">
        <f t="shared" si="10"/>
        <v>6.2</v>
      </c>
      <c r="X90" s="12">
        <f t="shared" si="11"/>
        <v>7.7</v>
      </c>
      <c r="Y90" s="12">
        <f t="shared" si="12"/>
        <v>265.3</v>
      </c>
      <c r="Z90" s="12" cm="1">
        <f t="array" ref="Z90">INDEX(municipality_wind_potential!$X:$X,MATCH(municipalities!$F90,municipality_wind_potential!$E:$E,0),0)</f>
        <v>27</v>
      </c>
      <c r="AA90" s="12">
        <f t="shared" si="13"/>
        <v>151.19999999999999</v>
      </c>
      <c r="AB90" s="12" cm="1">
        <f t="array" ref="AB90">INDEX(municipality_wind_potential!$Y:$Y,MATCH(municipalities!$F90,municipality_wind_potential!$E:$E,0),0) / 3.6</f>
        <v>400.68055555555554</v>
      </c>
      <c r="AC90" s="12">
        <f t="shared" si="14"/>
        <v>14.720422366210702</v>
      </c>
      <c r="AD90" s="12" cm="1">
        <f t="array" ref="AD90">INDEX(municipality_pv_potential!$G:$G,MATCH(municipalities!$A90,municipality_pv_potential!$E:$E,0),0)/3.6*$AH$4</f>
        <v>13.63111111111111</v>
      </c>
      <c r="AE90" s="12">
        <f t="shared" si="15"/>
        <v>107.91036717062636</v>
      </c>
      <c r="AF90" s="12" cm="1">
        <f t="array" ref="AF90">INDEX(municipality_pv_potential!$H:$H,MATCH(municipalities!$A90,municipality_pv_potential!$E:$E,0),0)/3.6</f>
        <v>99.924999999999997</v>
      </c>
      <c r="AG90" s="12"/>
      <c r="AJ90">
        <v>38.9</v>
      </c>
      <c r="AK90">
        <v>4.4000000000000004</v>
      </c>
      <c r="AL90">
        <v>6.2</v>
      </c>
      <c r="AM90">
        <v>7.7</v>
      </c>
      <c r="AN90">
        <v>265.3</v>
      </c>
    </row>
    <row r="91" spans="1:40" x14ac:dyDescent="0.25">
      <c r="A91" s="5" t="s">
        <v>287</v>
      </c>
      <c r="B91" s="6" t="s">
        <v>288</v>
      </c>
      <c r="C91" s="7" t="s">
        <v>289</v>
      </c>
      <c r="D91" s="7" t="s">
        <v>289</v>
      </c>
      <c r="E91" s="7" t="s">
        <v>22</v>
      </c>
      <c r="F91" s="7" t="s">
        <v>287</v>
      </c>
      <c r="G91" s="7" t="str" cm="1">
        <f t="array" ref="G91">INDEX('municipalities per province'!F:F,MATCH(municipalities!A91,'municipalities per province'!B:B,0),0)</f>
        <v>Utrecht</v>
      </c>
      <c r="H91" s="7" t="str" cm="1">
        <f t="array" ref="H91">INDEX('municipalities per province'!E:E,MATCH(municipalities!$A91,'municipalities per province'!$B:$B,0),0)</f>
        <v>PV26</v>
      </c>
      <c r="I91" s="7" t="str" cm="1">
        <f t="array" ref="I91">INDEX('municipalities per province'!G:G,MATCH(municipalities!$A91,'municipalities per province'!$B:$B,0),0)</f>
        <v>U16</v>
      </c>
      <c r="J91" s="7" t="str" cm="1">
        <f t="array" ref="J91">INDEX('municipalities per province'!H:H,MATCH(municipalities!$A91,'municipalities per province'!$B:$B,0),0)</f>
        <v>ES14</v>
      </c>
      <c r="K91" s="7" cm="1">
        <f t="array" ref="K91">INDEX(coordinates!C:C,MATCH(municipalities!$A91,coordinates!$A:$A,0),0)</f>
        <v>5.1816978068472483</v>
      </c>
      <c r="L91" s="7" cm="1">
        <f t="array" ref="L91">INDEX(coordinates!D:D,MATCH(municipalities!$A91,coordinates!$A:$A,0),0)</f>
        <v>52.004101856445033</v>
      </c>
      <c r="M91" s="8">
        <v>1</v>
      </c>
      <c r="N91" s="9">
        <v>50581</v>
      </c>
      <c r="O91" s="9">
        <v>24937</v>
      </c>
      <c r="P91" s="9">
        <v>25644</v>
      </c>
      <c r="Q91" s="9">
        <v>2</v>
      </c>
      <c r="R91" s="10">
        <v>1586</v>
      </c>
      <c r="S91" s="11">
        <v>67</v>
      </c>
      <c r="T91" s="11">
        <v>33</v>
      </c>
      <c r="U91" s="12">
        <f t="shared" si="8"/>
        <v>38.9</v>
      </c>
      <c r="V91" s="12">
        <f t="shared" si="9"/>
        <v>3.4</v>
      </c>
      <c r="W91" s="12">
        <f t="shared" si="10"/>
        <v>5.3</v>
      </c>
      <c r="X91" s="12">
        <f t="shared" si="11"/>
        <v>7</v>
      </c>
      <c r="Y91" s="12">
        <f t="shared" si="12"/>
        <v>221.9</v>
      </c>
      <c r="Z91" s="12" cm="1">
        <f t="array" ref="Z91">INDEX(municipality_wind_potential!$X:$X,MATCH(municipalities!$F91,municipality_wind_potential!$E:$E,0),0)</f>
        <v>31</v>
      </c>
      <c r="AA91" s="12">
        <f t="shared" si="13"/>
        <v>173.6</v>
      </c>
      <c r="AB91" s="12" cm="1">
        <f t="array" ref="AB91">INDEX(municipality_wind_potential!$Y:$Y,MATCH(municipalities!$F91,municipality_wind_potential!$E:$E,0),0) / 3.6</f>
        <v>491.90277777777771</v>
      </c>
      <c r="AC91" s="12">
        <f t="shared" si="14"/>
        <v>67.252819774418029</v>
      </c>
      <c r="AD91" s="12" cm="1">
        <f t="array" ref="AD91">INDEX(municipality_pv_potential!$G:$G,MATCH(municipalities!$A91,municipality_pv_potential!$E:$E,0),0)/3.6*$AH$4</f>
        <v>62.276111111111106</v>
      </c>
      <c r="AE91" s="12">
        <f t="shared" si="15"/>
        <v>161.83105351571874</v>
      </c>
      <c r="AF91" s="12" cm="1">
        <f t="array" ref="AF91">INDEX(municipality_pv_potential!$H:$H,MATCH(municipalities!$A91,municipality_pv_potential!$E:$E,0),0)/3.6</f>
        <v>149.85555555555555</v>
      </c>
      <c r="AG91" s="12"/>
      <c r="AJ91">
        <v>38.9</v>
      </c>
      <c r="AK91">
        <v>3.4</v>
      </c>
      <c r="AL91">
        <v>5.3</v>
      </c>
      <c r="AM91">
        <v>7</v>
      </c>
      <c r="AN91">
        <v>221.9</v>
      </c>
    </row>
    <row r="92" spans="1:40" x14ac:dyDescent="0.25">
      <c r="A92" s="5" t="s">
        <v>290</v>
      </c>
      <c r="B92" s="6" t="s">
        <v>291</v>
      </c>
      <c r="C92" s="7" t="s">
        <v>292</v>
      </c>
      <c r="D92" s="7" t="s">
        <v>292</v>
      </c>
      <c r="E92" s="7" t="s">
        <v>22</v>
      </c>
      <c r="F92" s="7" t="s">
        <v>290</v>
      </c>
      <c r="G92" s="7" t="str" cm="1">
        <f t="array" ref="G92">INDEX('municipalities per province'!F:F,MATCH(municipalities!A92,'municipalities per province'!B:B,0),0)</f>
        <v>Utrecht</v>
      </c>
      <c r="H92" s="7" t="str" cm="1">
        <f t="array" ref="H92">INDEX('municipalities per province'!E:E,MATCH(municipalities!$A92,'municipalities per province'!$B:$B,0),0)</f>
        <v>PV26</v>
      </c>
      <c r="I92" s="7" t="str" cm="1">
        <f t="array" ref="I92">INDEX('municipalities per province'!G:G,MATCH(municipalities!$A92,'municipalities per province'!$B:$B,0),0)</f>
        <v>Amersfoort</v>
      </c>
      <c r="J92" s="7" t="str" cm="1">
        <f t="array" ref="J92">INDEX('municipalities per province'!H:H,MATCH(municipalities!$A92,'municipalities per province'!$B:$B,0),0)</f>
        <v>ES13</v>
      </c>
      <c r="K92" s="7" cm="1">
        <f t="array" ref="K92">INDEX(coordinates!C:C,MATCH(municipalities!$A92,coordinates!$A:$A,0),0)</f>
        <v>5.4164623520510764</v>
      </c>
      <c r="L92" s="7" cm="1">
        <f t="array" ref="L92">INDEX(coordinates!D:D,MATCH(municipalities!$A92,coordinates!$A:$A,0),0)</f>
        <v>52.122219938764339</v>
      </c>
      <c r="M92" s="8">
        <v>1</v>
      </c>
      <c r="N92" s="9">
        <v>31467</v>
      </c>
      <c r="O92" s="9">
        <v>15386</v>
      </c>
      <c r="P92" s="9">
        <v>16081</v>
      </c>
      <c r="Q92" s="9">
        <v>3</v>
      </c>
      <c r="R92" s="10">
        <v>1296</v>
      </c>
      <c r="S92" s="11">
        <v>71</v>
      </c>
      <c r="T92" s="11">
        <v>29</v>
      </c>
      <c r="U92" s="12">
        <f t="shared" si="8"/>
        <v>38.5</v>
      </c>
      <c r="V92" s="12">
        <f t="shared" si="9"/>
        <v>3.3</v>
      </c>
      <c r="W92" s="12">
        <f t="shared" si="10"/>
        <v>5.2</v>
      </c>
      <c r="X92" s="12">
        <f t="shared" si="11"/>
        <v>6.7</v>
      </c>
      <c r="Y92" s="12">
        <f t="shared" si="12"/>
        <v>212.5</v>
      </c>
      <c r="Z92" s="12" cm="1">
        <f t="array" ref="Z92">INDEX(municipality_wind_potential!$X:$X,MATCH(municipalities!$F92,municipality_wind_potential!$E:$E,0),0)</f>
        <v>36</v>
      </c>
      <c r="AA92" s="12">
        <f t="shared" si="13"/>
        <v>201.6</v>
      </c>
      <c r="AB92" s="12" cm="1">
        <f t="array" ref="AB92">INDEX(municipality_wind_potential!$Y:$Y,MATCH(municipalities!$F92,municipality_wind_potential!$E:$E,0),0) / 3.6</f>
        <v>526.81944444444446</v>
      </c>
      <c r="AC92" s="12">
        <f t="shared" si="14"/>
        <v>47.031437485001199</v>
      </c>
      <c r="AD92" s="12" cm="1">
        <f t="array" ref="AD92">INDEX(municipality_pv_potential!$G:$G,MATCH(municipalities!$A92,municipality_pv_potential!$E:$E,0),0)/3.6*$AH$4</f>
        <v>43.551111111111112</v>
      </c>
      <c r="AE92" s="12">
        <f t="shared" si="15"/>
        <v>112.35301175905927</v>
      </c>
      <c r="AF92" s="12" cm="1">
        <f t="array" ref="AF92">INDEX(municipality_pv_potential!$H:$H,MATCH(municipalities!$A92,municipality_pv_potential!$E:$E,0),0)/3.6</f>
        <v>104.03888888888889</v>
      </c>
      <c r="AG92" s="12"/>
      <c r="AJ92">
        <v>38.5</v>
      </c>
      <c r="AK92">
        <v>3.3</v>
      </c>
      <c r="AL92">
        <v>5.2</v>
      </c>
      <c r="AM92">
        <v>6.7</v>
      </c>
      <c r="AN92">
        <v>212.5</v>
      </c>
    </row>
    <row r="93" spans="1:40" x14ac:dyDescent="0.25">
      <c r="A93" s="5" t="s">
        <v>293</v>
      </c>
      <c r="B93" s="6" t="s">
        <v>294</v>
      </c>
      <c r="C93" s="7" t="s">
        <v>295</v>
      </c>
      <c r="D93" s="7" t="s">
        <v>295</v>
      </c>
      <c r="E93" s="7" t="s">
        <v>22</v>
      </c>
      <c r="F93" s="7" t="s">
        <v>293</v>
      </c>
      <c r="G93" s="7" t="str" cm="1">
        <f t="array" ref="G93">INDEX('municipalities per province'!F:F,MATCH(municipalities!A93,'municipalities per province'!B:B,0),0)</f>
        <v>Utrecht</v>
      </c>
      <c r="H93" s="7" t="str" cm="1">
        <f t="array" ref="H93">INDEX('municipalities per province'!E:E,MATCH(municipalities!$A93,'municipalities per province'!$B:$B,0),0)</f>
        <v>PV26</v>
      </c>
      <c r="I93" s="7" t="str" cm="1">
        <f t="array" ref="I93">INDEX('municipalities per province'!G:G,MATCH(municipalities!$A93,'municipalities per province'!$B:$B,0),0)</f>
        <v>U16</v>
      </c>
      <c r="J93" s="7" t="str" cm="1">
        <f t="array" ref="J93">INDEX('municipalities per province'!H:H,MATCH(municipalities!$A93,'municipalities per province'!$B:$B,0),0)</f>
        <v>ES14</v>
      </c>
      <c r="K93" s="7" cm="1">
        <f t="array" ref="K93">INDEX(coordinates!C:C,MATCH(municipalities!$A93,coordinates!$A:$A,0),0)</f>
        <v>4.9455423901224398</v>
      </c>
      <c r="L93" s="7" cm="1">
        <f t="array" ref="L93">INDEX(coordinates!D:D,MATCH(municipalities!$A93,coordinates!$A:$A,0),0)</f>
        <v>51.985353332573077</v>
      </c>
      <c r="M93" s="8">
        <v>1</v>
      </c>
      <c r="N93" s="9">
        <v>14704</v>
      </c>
      <c r="O93" s="9">
        <v>7510</v>
      </c>
      <c r="P93" s="9">
        <v>7194</v>
      </c>
      <c r="Q93" s="9">
        <v>5</v>
      </c>
      <c r="R93" s="10">
        <v>369</v>
      </c>
      <c r="S93" s="11">
        <v>74</v>
      </c>
      <c r="T93" s="11">
        <v>26</v>
      </c>
      <c r="U93" s="12">
        <f t="shared" si="8"/>
        <v>37.5</v>
      </c>
      <c r="V93" s="12">
        <f t="shared" si="9"/>
        <v>3.8</v>
      </c>
      <c r="W93" s="12">
        <f t="shared" si="10"/>
        <v>5.7</v>
      </c>
      <c r="X93" s="12">
        <f t="shared" si="11"/>
        <v>7.6</v>
      </c>
      <c r="Y93" s="12">
        <f t="shared" si="12"/>
        <v>242.4</v>
      </c>
      <c r="Z93" s="12" cm="1">
        <f t="array" ref="Z93">INDEX(municipality_wind_potential!$X:$X,MATCH(municipalities!$F93,municipality_wind_potential!$E:$E,0),0)</f>
        <v>68</v>
      </c>
      <c r="AA93" s="12">
        <f t="shared" si="13"/>
        <v>380.79999999999995</v>
      </c>
      <c r="AB93" s="12" cm="1">
        <f t="array" ref="AB93">INDEX(municipality_wind_potential!$Y:$Y,MATCH(municipalities!$F93,municipality_wind_potential!$E:$E,0),0) / 3.6</f>
        <v>1198.2611111111109</v>
      </c>
      <c r="AC93" s="12">
        <f t="shared" si="14"/>
        <v>40.866330693544519</v>
      </c>
      <c r="AD93" s="12" cm="1">
        <f t="array" ref="AD93">INDEX(municipality_pv_potential!$G:$G,MATCH(municipalities!$A93,municipality_pv_potential!$E:$E,0),0)/3.6*$AH$4</f>
        <v>37.842222222222226</v>
      </c>
      <c r="AE93" s="12">
        <f t="shared" si="15"/>
        <v>294.99340052795776</v>
      </c>
      <c r="AF93" s="12" cm="1">
        <f t="array" ref="AF93">INDEX(municipality_pv_potential!$H:$H,MATCH(municipalities!$A93,municipality_pv_potential!$E:$E,0),0)/3.6</f>
        <v>273.16388888888889</v>
      </c>
      <c r="AG93" s="12"/>
      <c r="AJ93">
        <v>37.5</v>
      </c>
      <c r="AK93">
        <v>3.8</v>
      </c>
      <c r="AL93">
        <v>5.7</v>
      </c>
      <c r="AM93">
        <v>7.6</v>
      </c>
      <c r="AN93">
        <v>242.4</v>
      </c>
    </row>
    <row r="94" spans="1:40" x14ac:dyDescent="0.25">
      <c r="A94" s="5" t="s">
        <v>296</v>
      </c>
      <c r="B94" s="6" t="s">
        <v>297</v>
      </c>
      <c r="C94" s="7" t="s">
        <v>298</v>
      </c>
      <c r="D94" s="7" t="s">
        <v>298</v>
      </c>
      <c r="E94" s="7" t="s">
        <v>22</v>
      </c>
      <c r="F94" s="7" t="s">
        <v>296</v>
      </c>
      <c r="G94" s="7" t="str" cm="1">
        <f t="array" ref="G94">INDEX('municipalities per province'!F:F,MATCH(municipalities!A94,'municipalities per province'!B:B,0),0)</f>
        <v>Utrecht</v>
      </c>
      <c r="H94" s="7" t="str" cm="1">
        <f t="array" ref="H94">INDEX('municipalities per province'!E:E,MATCH(municipalities!$A94,'municipalities per province'!$B:$B,0),0)</f>
        <v>PV26</v>
      </c>
      <c r="I94" s="7" t="str" cm="1">
        <f t="array" ref="I94">INDEX('municipalities per province'!G:G,MATCH(municipalities!$A94,'municipalities per province'!$B:$B,0),0)</f>
        <v>U16</v>
      </c>
      <c r="J94" s="7" t="str" cm="1">
        <f t="array" ref="J94">INDEX('municipalities per province'!H:H,MATCH(municipalities!$A94,'municipalities per province'!$B:$B,0),0)</f>
        <v>ES14</v>
      </c>
      <c r="K94" s="7" cm="1">
        <f t="array" ref="K94">INDEX(coordinates!C:C,MATCH(municipalities!$A94,coordinates!$A:$A,0),0)</f>
        <v>4.9440445674369577</v>
      </c>
      <c r="L94" s="7" cm="1">
        <f t="array" ref="L94">INDEX(coordinates!D:D,MATCH(municipalities!$A94,coordinates!$A:$A,0),0)</f>
        <v>52.047710771148353</v>
      </c>
      <c r="M94" s="8">
        <v>1</v>
      </c>
      <c r="N94" s="9">
        <v>13929</v>
      </c>
      <c r="O94" s="9">
        <v>6950</v>
      </c>
      <c r="P94" s="9">
        <v>6979</v>
      </c>
      <c r="Q94" s="9">
        <v>4</v>
      </c>
      <c r="R94" s="10">
        <v>755</v>
      </c>
      <c r="S94" s="11">
        <v>74</v>
      </c>
      <c r="T94" s="11">
        <v>26</v>
      </c>
      <c r="U94" s="12">
        <f t="shared" si="8"/>
        <v>38.200000000000003</v>
      </c>
      <c r="V94" s="12">
        <f t="shared" si="9"/>
        <v>2.7</v>
      </c>
      <c r="W94" s="12">
        <f t="shared" si="10"/>
        <v>4.4000000000000004</v>
      </c>
      <c r="X94" s="12">
        <f t="shared" si="11"/>
        <v>6.1</v>
      </c>
      <c r="Y94" s="12">
        <f t="shared" si="12"/>
        <v>223</v>
      </c>
      <c r="Z94" s="12" cm="1">
        <f t="array" ref="Z94">INDEX(municipality_wind_potential!$X:$X,MATCH(municipalities!$F94,municipality_wind_potential!$E:$E,0),0)</f>
        <v>28</v>
      </c>
      <c r="AA94" s="12">
        <f t="shared" si="13"/>
        <v>156.79999999999998</v>
      </c>
      <c r="AB94" s="12" cm="1">
        <f t="array" ref="AB94">INDEX(municipality_wind_potential!$Y:$Y,MATCH(municipalities!$F94,municipality_wind_potential!$E:$E,0),0) / 3.6</f>
        <v>488.18055555555554</v>
      </c>
      <c r="AC94" s="12">
        <f t="shared" si="14"/>
        <v>29.404247660187192</v>
      </c>
      <c r="AD94" s="12" cm="1">
        <f t="array" ref="AD94">INDEX(municipality_pv_potential!$G:$G,MATCH(municipalities!$A94,municipality_pv_potential!$E:$E,0),0)/3.6*$AH$4</f>
        <v>27.228333333333339</v>
      </c>
      <c r="AE94" s="12">
        <f t="shared" si="15"/>
        <v>142.63258939284859</v>
      </c>
      <c r="AF94" s="12" cm="1">
        <f t="array" ref="AF94">INDEX(municipality_pv_potential!$H:$H,MATCH(municipalities!$A94,municipality_pv_potential!$E:$E,0),0)/3.6</f>
        <v>132.07777777777778</v>
      </c>
      <c r="AG94" s="12"/>
      <c r="AJ94">
        <v>38.200000000000003</v>
      </c>
      <c r="AK94">
        <v>2.7</v>
      </c>
      <c r="AL94">
        <v>4.4000000000000004</v>
      </c>
      <c r="AM94">
        <v>6.1</v>
      </c>
      <c r="AN94">
        <v>223</v>
      </c>
    </row>
    <row r="95" spans="1:40" x14ac:dyDescent="0.25">
      <c r="A95" s="5" t="s">
        <v>299</v>
      </c>
      <c r="B95" s="6" t="s">
        <v>300</v>
      </c>
      <c r="C95" s="7" t="s">
        <v>301</v>
      </c>
      <c r="D95" s="7" t="s">
        <v>301</v>
      </c>
      <c r="E95" s="7" t="s">
        <v>22</v>
      </c>
      <c r="F95" s="7" t="s">
        <v>299</v>
      </c>
      <c r="G95" s="7" t="str" cm="1">
        <f t="array" ref="G95">INDEX('municipalities per province'!F:F,MATCH(municipalities!A95,'municipalities per province'!B:B,0),0)</f>
        <v>Utrecht</v>
      </c>
      <c r="H95" s="7" t="str" cm="1">
        <f t="array" ref="H95">INDEX('municipalities per province'!E:E,MATCH(municipalities!$A95,'municipalities per province'!$B:$B,0),0)</f>
        <v>PV26</v>
      </c>
      <c r="I95" s="7" t="str" cm="1">
        <f t="array" ref="I95">INDEX('municipalities per province'!G:G,MATCH(municipalities!$A95,'municipalities per province'!$B:$B,0),0)</f>
        <v>Foodvalley</v>
      </c>
      <c r="J95" s="7" t="str" cm="1">
        <f t="array" ref="J95">INDEX('municipalities per province'!H:H,MATCH(municipalities!$A95,'municipalities per province'!$B:$B,0),0)</f>
        <v>ES09</v>
      </c>
      <c r="K95" s="7" cm="1">
        <f t="array" ref="K95">INDEX(coordinates!C:C,MATCH(municipalities!$A95,coordinates!$A:$A,0),0)</f>
        <v>5.5341653726803957</v>
      </c>
      <c r="L95" s="7" cm="1">
        <f t="array" ref="L95">INDEX(coordinates!D:D,MATCH(municipalities!$A95,coordinates!$A:$A,0),0)</f>
        <v>52.068950952296717</v>
      </c>
      <c r="M95" s="8">
        <v>1</v>
      </c>
      <c r="N95" s="9">
        <v>5747</v>
      </c>
      <c r="O95" s="9">
        <v>2895</v>
      </c>
      <c r="P95" s="9">
        <v>2852</v>
      </c>
      <c r="Q95" s="9">
        <v>4</v>
      </c>
      <c r="R95" s="10">
        <v>529</v>
      </c>
      <c r="S95" s="11">
        <v>73</v>
      </c>
      <c r="T95" s="11">
        <v>26</v>
      </c>
      <c r="U95" s="12">
        <f t="shared" si="8"/>
        <v>34.730630630630642</v>
      </c>
      <c r="V95" s="12">
        <f t="shared" si="9"/>
        <v>2.2000000000000002</v>
      </c>
      <c r="W95" s="12">
        <f t="shared" si="10"/>
        <v>3.6</v>
      </c>
      <c r="X95" s="12">
        <f t="shared" si="11"/>
        <v>5.4</v>
      </c>
      <c r="Y95" s="12">
        <f t="shared" si="12"/>
        <v>218.1</v>
      </c>
      <c r="Z95" s="12" cm="1">
        <f t="array" ref="Z95">INDEX(municipality_wind_potential!$X:$X,MATCH(municipalities!$F95,municipality_wind_potential!$E:$E,0),0)</f>
        <v>7</v>
      </c>
      <c r="AA95" s="12">
        <f t="shared" si="13"/>
        <v>39.199999999999996</v>
      </c>
      <c r="AB95" s="12" cm="1">
        <f t="array" ref="AB95">INDEX(municipality_wind_potential!$Y:$Y,MATCH(municipalities!$F95,municipality_wind_potential!$E:$E,0),0) / 3.6</f>
        <v>96.461111111111109</v>
      </c>
      <c r="AC95" s="12">
        <f t="shared" si="14"/>
        <v>18.845092392608592</v>
      </c>
      <c r="AD95" s="12" cm="1">
        <f t="array" ref="AD95">INDEX(municipality_pv_potential!$G:$G,MATCH(municipalities!$A95,municipality_pv_potential!$E:$E,0),0)/3.6*$AH$4</f>
        <v>17.450555555555557</v>
      </c>
      <c r="AE95" s="12">
        <f t="shared" si="15"/>
        <v>60.778137748980079</v>
      </c>
      <c r="AF95" s="12" cm="1">
        <f t="array" ref="AF95">INDEX(municipality_pv_potential!$H:$H,MATCH(municipalities!$A95,municipality_pv_potential!$E:$E,0),0)/3.6</f>
        <v>56.280555555555559</v>
      </c>
      <c r="AG95" s="12"/>
      <c r="AJ95">
        <v>-99999</v>
      </c>
      <c r="AK95">
        <v>2.2000000000000002</v>
      </c>
      <c r="AL95">
        <v>3.6</v>
      </c>
      <c r="AM95">
        <v>5.4</v>
      </c>
      <c r="AN95">
        <v>218.1</v>
      </c>
    </row>
    <row r="96" spans="1:40" x14ac:dyDescent="0.25">
      <c r="A96" s="5" t="s">
        <v>302</v>
      </c>
      <c r="B96" s="6" t="s">
        <v>303</v>
      </c>
      <c r="C96" s="7" t="s">
        <v>304</v>
      </c>
      <c r="D96" s="7" t="s">
        <v>304</v>
      </c>
      <c r="E96" s="7" t="s">
        <v>22</v>
      </c>
      <c r="F96" s="7" t="s">
        <v>302</v>
      </c>
      <c r="G96" s="7" t="str" cm="1">
        <f t="array" ref="G96">INDEX('municipalities per province'!F:F,MATCH(municipalities!A96,'municipalities per province'!B:B,0),0)</f>
        <v>Utrecht</v>
      </c>
      <c r="H96" s="7" t="str" cm="1">
        <f t="array" ref="H96">INDEX('municipalities per province'!E:E,MATCH(municipalities!$A96,'municipalities per province'!$B:$B,0),0)</f>
        <v>PV26</v>
      </c>
      <c r="I96" s="7" t="str" cm="1">
        <f t="array" ref="I96">INDEX('municipalities per province'!G:G,MATCH(municipalities!$A96,'municipalities per province'!$B:$B,0),0)</f>
        <v>Foodvalley</v>
      </c>
      <c r="J96" s="7" t="str" cm="1">
        <f t="array" ref="J96">INDEX('municipalities per province'!H:H,MATCH(municipalities!$A96,'municipalities per province'!$B:$B,0),0)</f>
        <v>ES09</v>
      </c>
      <c r="K96" s="7" cm="1">
        <f t="array" ref="K96">INDEX(coordinates!C:C,MATCH(municipalities!$A96,coordinates!$A:$A,0),0)</f>
        <v>5.5605161686587659</v>
      </c>
      <c r="L96" s="7" cm="1">
        <f t="array" ref="L96">INDEX(coordinates!D:D,MATCH(municipalities!$A96,coordinates!$A:$A,0),0)</f>
        <v>51.98076721537192</v>
      </c>
      <c r="M96" s="8">
        <v>1</v>
      </c>
      <c r="N96" s="9">
        <v>20329</v>
      </c>
      <c r="O96" s="9">
        <v>10097</v>
      </c>
      <c r="P96" s="9">
        <v>10232</v>
      </c>
      <c r="Q96" s="9">
        <v>4</v>
      </c>
      <c r="R96" s="10">
        <v>933</v>
      </c>
      <c r="S96" s="11">
        <v>65</v>
      </c>
      <c r="T96" s="11">
        <v>35</v>
      </c>
      <c r="U96" s="12">
        <f t="shared" si="8"/>
        <v>35.9</v>
      </c>
      <c r="V96" s="12">
        <f t="shared" si="9"/>
        <v>4.2</v>
      </c>
      <c r="W96" s="12">
        <f t="shared" si="10"/>
        <v>6.4</v>
      </c>
      <c r="X96" s="12">
        <f t="shared" si="11"/>
        <v>8.9</v>
      </c>
      <c r="Y96" s="12">
        <f t="shared" si="12"/>
        <v>163.19999999999999</v>
      </c>
      <c r="Z96" s="12" cm="1">
        <f t="array" ref="Z96">INDEX(municipality_wind_potential!$X:$X,MATCH(municipalities!$F96,municipality_wind_potential!$E:$E,0),0)</f>
        <v>26</v>
      </c>
      <c r="AA96" s="12">
        <f t="shared" si="13"/>
        <v>145.6</v>
      </c>
      <c r="AB96" s="12" cm="1">
        <f t="array" ref="AB96">INDEX(municipality_wind_potential!$Y:$Y,MATCH(municipalities!$F96,municipality_wind_potential!$E:$E,0),0) / 3.6</f>
        <v>378.41944444444442</v>
      </c>
      <c r="AC96" s="12">
        <f t="shared" si="14"/>
        <v>34.950203983681305</v>
      </c>
      <c r="AD96" s="12" cm="1">
        <f t="array" ref="AD96">INDEX(municipality_pv_potential!$G:$G,MATCH(municipalities!$A96,municipality_pv_potential!$E:$E,0),0)/3.6*$AH$4</f>
        <v>32.363888888888887</v>
      </c>
      <c r="AE96" s="12">
        <f t="shared" si="15"/>
        <v>77.687784977201829</v>
      </c>
      <c r="AF96" s="12" cm="1">
        <f t="array" ref="AF96">INDEX(municipality_pv_potential!$H:$H,MATCH(municipalities!$A96,municipality_pv_potential!$E:$E,0),0)/3.6</f>
        <v>71.938888888888897</v>
      </c>
      <c r="AG96" s="12"/>
      <c r="AJ96">
        <v>35.9</v>
      </c>
      <c r="AK96">
        <v>4.2</v>
      </c>
      <c r="AL96">
        <v>6.4</v>
      </c>
      <c r="AM96">
        <v>8.9</v>
      </c>
      <c r="AN96">
        <v>163.19999999999999</v>
      </c>
    </row>
    <row r="97" spans="1:40" x14ac:dyDescent="0.25">
      <c r="A97" s="5" t="s">
        <v>305</v>
      </c>
      <c r="B97" s="6" t="s">
        <v>306</v>
      </c>
      <c r="C97" s="7" t="s">
        <v>307</v>
      </c>
      <c r="D97" s="7" t="s">
        <v>307</v>
      </c>
      <c r="E97" s="7" t="s">
        <v>22</v>
      </c>
      <c r="F97" s="7" t="s">
        <v>305</v>
      </c>
      <c r="G97" s="7" t="str" cm="1">
        <f t="array" ref="G97">INDEX('municipalities per province'!F:F,MATCH(municipalities!A97,'municipalities per province'!B:B,0),0)</f>
        <v>Utrecht</v>
      </c>
      <c r="H97" s="7" t="str" cm="1">
        <f t="array" ref="H97">INDEX('municipalities per province'!E:E,MATCH(municipalities!$A97,'municipalities per province'!$B:$B,0),0)</f>
        <v>PV26</v>
      </c>
      <c r="I97" s="7" t="str" cm="1">
        <f t="array" ref="I97">INDEX('municipalities per province'!G:G,MATCH(municipalities!$A97,'municipalities per province'!$B:$B,0),0)</f>
        <v>Amersfoort</v>
      </c>
      <c r="J97" s="7" t="str" cm="1">
        <f t="array" ref="J97">INDEX('municipalities per province'!H:H,MATCH(municipalities!$A97,'municipalities per province'!$B:$B,0),0)</f>
        <v>ES13</v>
      </c>
      <c r="K97" s="7" cm="1">
        <f t="array" ref="K97">INDEX(coordinates!C:C,MATCH(municipalities!$A97,coordinates!$A:$A,0),0)</f>
        <v>5.2962888248519802</v>
      </c>
      <c r="L97" s="7" cm="1">
        <f t="array" ref="L97">INDEX(coordinates!D:D,MATCH(municipalities!$A97,coordinates!$A:$A,0),0)</f>
        <v>52.15619845581201</v>
      </c>
      <c r="M97" s="8">
        <v>1</v>
      </c>
      <c r="N97" s="9">
        <v>47439</v>
      </c>
      <c r="O97" s="9">
        <v>23187</v>
      </c>
      <c r="P97" s="9">
        <v>24252</v>
      </c>
      <c r="Q97" s="9">
        <v>3</v>
      </c>
      <c r="R97" s="10">
        <v>1477</v>
      </c>
      <c r="S97" s="11">
        <v>64</v>
      </c>
      <c r="T97" s="11">
        <v>36</v>
      </c>
      <c r="U97" s="12">
        <f t="shared" si="8"/>
        <v>37.700000000000003</v>
      </c>
      <c r="V97" s="12">
        <f t="shared" si="9"/>
        <v>4.8</v>
      </c>
      <c r="W97" s="12">
        <f t="shared" si="10"/>
        <v>7.4</v>
      </c>
      <c r="X97" s="12">
        <f t="shared" si="11"/>
        <v>9.6</v>
      </c>
      <c r="Y97" s="12">
        <f t="shared" si="12"/>
        <v>173.5</v>
      </c>
      <c r="Z97" s="12" cm="1">
        <f t="array" ref="Z97">INDEX(municipality_wind_potential!$X:$X,MATCH(municipalities!$F97,municipality_wind_potential!$E:$E,0),0)</f>
        <v>21</v>
      </c>
      <c r="AA97" s="12">
        <f t="shared" si="13"/>
        <v>117.6</v>
      </c>
      <c r="AB97" s="12" cm="1">
        <f t="array" ref="AB97">INDEX(municipality_wind_potential!$Y:$Y,MATCH(municipalities!$F97,municipality_wind_potential!$E:$E,0),0) / 3.6</f>
        <v>311.63888888888891</v>
      </c>
      <c r="AC97" s="12">
        <f t="shared" si="14"/>
        <v>65.284377249820025</v>
      </c>
      <c r="AD97" s="12" cm="1">
        <f t="array" ref="AD97">INDEX(municipality_pv_potential!$G:$G,MATCH(municipalities!$A97,municipality_pv_potential!$E:$E,0),0)/3.6*$AH$4</f>
        <v>60.453333333333347</v>
      </c>
      <c r="AE97" s="12">
        <f t="shared" si="15"/>
        <v>40.850731941444678</v>
      </c>
      <c r="AF97" s="12" cm="1">
        <f t="array" ref="AF97">INDEX(municipality_pv_potential!$H:$H,MATCH(municipalities!$A97,municipality_pv_potential!$E:$E,0),0)/3.6</f>
        <v>37.827777777777776</v>
      </c>
      <c r="AG97" s="12"/>
      <c r="AJ97">
        <v>37.700000000000003</v>
      </c>
      <c r="AK97">
        <v>4.8</v>
      </c>
      <c r="AL97">
        <v>7.4</v>
      </c>
      <c r="AM97">
        <v>9.6</v>
      </c>
      <c r="AN97">
        <v>173.5</v>
      </c>
    </row>
    <row r="98" spans="1:40" x14ac:dyDescent="0.25">
      <c r="A98" s="5" t="s">
        <v>308</v>
      </c>
      <c r="B98" s="6" t="s">
        <v>309</v>
      </c>
      <c r="C98" s="7" t="s">
        <v>310</v>
      </c>
      <c r="D98" s="7" t="s">
        <v>310</v>
      </c>
      <c r="E98" s="7" t="s">
        <v>22</v>
      </c>
      <c r="F98" s="7" t="s">
        <v>308</v>
      </c>
      <c r="G98" s="7" t="str" cm="1">
        <f t="array" ref="G98">INDEX('municipalities per province'!F:F,MATCH(municipalities!A98,'municipalities per province'!B:B,0),0)</f>
        <v>Utrecht</v>
      </c>
      <c r="H98" s="7" t="str" cm="1">
        <f t="array" ref="H98">INDEX('municipalities per province'!E:E,MATCH(municipalities!$A98,'municipalities per province'!$B:$B,0),0)</f>
        <v>PV26</v>
      </c>
      <c r="I98" s="7" t="str" cm="1">
        <f t="array" ref="I98">INDEX('municipalities per province'!G:G,MATCH(municipalities!$A98,'municipalities per province'!$B:$B,0),0)</f>
        <v>U16</v>
      </c>
      <c r="J98" s="7" t="str" cm="1">
        <f t="array" ref="J98">INDEX('municipalities per province'!H:H,MATCH(municipalities!$A98,'municipalities per province'!$B:$B,0),0)</f>
        <v>ES14</v>
      </c>
      <c r="K98" s="7" cm="1">
        <f t="array" ref="K98">INDEX(coordinates!C:C,MATCH(municipalities!$A98,coordinates!$A:$A,0),0)</f>
        <v>5.0747454717327223</v>
      </c>
      <c r="L98" s="7" cm="1">
        <f t="array" ref="L98">INDEX(coordinates!D:D,MATCH(municipalities!$A98,coordinates!$A:$A,0),0)</f>
        <v>52.091138295861931</v>
      </c>
      <c r="M98" s="8">
        <v>1</v>
      </c>
      <c r="N98" s="9">
        <v>367947</v>
      </c>
      <c r="O98" s="9">
        <v>180335</v>
      </c>
      <c r="P98" s="9">
        <v>187612</v>
      </c>
      <c r="Q98" s="9">
        <v>1</v>
      </c>
      <c r="R98" s="10">
        <v>3588</v>
      </c>
      <c r="S98" s="11">
        <v>44</v>
      </c>
      <c r="T98" s="11">
        <v>56</v>
      </c>
      <c r="U98" s="12">
        <f t="shared" si="8"/>
        <v>32.9</v>
      </c>
      <c r="V98" s="12">
        <f t="shared" si="9"/>
        <v>7.7</v>
      </c>
      <c r="W98" s="12">
        <f t="shared" si="10"/>
        <v>10.9</v>
      </c>
      <c r="X98" s="12">
        <f t="shared" si="11"/>
        <v>13.3</v>
      </c>
      <c r="Y98" s="12">
        <f t="shared" si="12"/>
        <v>26.9</v>
      </c>
      <c r="Z98" s="12" cm="1">
        <f t="array" ref="Z98">INDEX(municipality_wind_potential!$X:$X,MATCH(municipalities!$F98,municipality_wind_potential!$E:$E,0),0)</f>
        <v>19</v>
      </c>
      <c r="AA98" s="12">
        <f t="shared" si="13"/>
        <v>106.39999999999999</v>
      </c>
      <c r="AB98" s="12" cm="1">
        <f t="array" ref="AB98">INDEX(municipality_wind_potential!$Y:$Y,MATCH(municipalities!$F98,municipality_wind_potential!$E:$E,0),0) / 3.6</f>
        <v>298.36666666666662</v>
      </c>
      <c r="AC98" s="12">
        <f t="shared" si="14"/>
        <v>313.30693544516436</v>
      </c>
      <c r="AD98" s="12" cm="1">
        <f t="array" ref="AD98">INDEX(municipality_pv_potential!$G:$G,MATCH(municipalities!$A98,municipality_pv_potential!$E:$E,0),0)/3.6*$AH$4</f>
        <v>290.12222222222221</v>
      </c>
      <c r="AE98" s="12">
        <f t="shared" si="15"/>
        <v>92.677585793136544</v>
      </c>
      <c r="AF98" s="12" cm="1">
        <f t="array" ref="AF98">INDEX(municipality_pv_potential!$H:$H,MATCH(municipalities!$A98,municipality_pv_potential!$E:$E,0),0)/3.6</f>
        <v>85.819444444444443</v>
      </c>
      <c r="AG98" s="12"/>
      <c r="AJ98">
        <v>32.9</v>
      </c>
      <c r="AK98">
        <v>7.7</v>
      </c>
      <c r="AL98">
        <v>10.9</v>
      </c>
      <c r="AM98">
        <v>13.3</v>
      </c>
      <c r="AN98">
        <v>26.9</v>
      </c>
    </row>
    <row r="99" spans="1:40" x14ac:dyDescent="0.25">
      <c r="A99" s="5" t="s">
        <v>311</v>
      </c>
      <c r="B99" s="6" t="s">
        <v>312</v>
      </c>
      <c r="C99" s="7" t="s">
        <v>313</v>
      </c>
      <c r="D99" s="7" t="s">
        <v>313</v>
      </c>
      <c r="E99" s="7" t="s">
        <v>22</v>
      </c>
      <c r="F99" s="7" t="s">
        <v>311</v>
      </c>
      <c r="G99" s="7" t="str" cm="1">
        <f t="array" ref="G99">INDEX('municipalities per province'!F:F,MATCH(municipalities!A99,'municipalities per province'!B:B,0),0)</f>
        <v>Utrecht</v>
      </c>
      <c r="H99" s="7" t="str" cm="1">
        <f t="array" ref="H99">INDEX('municipalities per province'!E:E,MATCH(municipalities!$A99,'municipalities per province'!$B:$B,0),0)</f>
        <v>PV26</v>
      </c>
      <c r="I99" s="7" t="str" cm="1">
        <f t="array" ref="I99">INDEX('municipalities per province'!G:G,MATCH(municipalities!$A99,'municipalities per province'!$B:$B,0),0)</f>
        <v>Foodvalley</v>
      </c>
      <c r="J99" s="7" t="str" cm="1">
        <f t="array" ref="J99">INDEX('municipalities per province'!H:H,MATCH(municipalities!$A99,'municipalities per province'!$B:$B,0),0)</f>
        <v>ES09</v>
      </c>
      <c r="K99" s="7" cm="1">
        <f t="array" ref="K99">INDEX(coordinates!C:C,MATCH(municipalities!$A99,coordinates!$A:$A,0),0)</f>
        <v>5.5556558366212956</v>
      </c>
      <c r="L99" s="7" cm="1">
        <f t="array" ref="L99">INDEX(coordinates!D:D,MATCH(municipalities!$A99,coordinates!$A:$A,0),0)</f>
        <v>52.023679813211913</v>
      </c>
      <c r="M99" s="8">
        <v>1</v>
      </c>
      <c r="N99" s="9">
        <v>68525</v>
      </c>
      <c r="O99" s="9">
        <v>33981</v>
      </c>
      <c r="P99" s="9">
        <v>34544</v>
      </c>
      <c r="Q99" s="9">
        <v>2</v>
      </c>
      <c r="R99" s="10">
        <v>2226</v>
      </c>
      <c r="S99" s="11">
        <v>60</v>
      </c>
      <c r="T99" s="11">
        <v>40</v>
      </c>
      <c r="U99" s="12">
        <f t="shared" si="8"/>
        <v>33.200000000000003</v>
      </c>
      <c r="V99" s="12">
        <f t="shared" si="9"/>
        <v>5.5</v>
      </c>
      <c r="W99" s="12">
        <f t="shared" si="10"/>
        <v>8.9</v>
      </c>
      <c r="X99" s="12">
        <f t="shared" si="11"/>
        <v>11.7</v>
      </c>
      <c r="Y99" s="12">
        <f t="shared" si="12"/>
        <v>98.7</v>
      </c>
      <c r="Z99" s="12" cm="1">
        <f t="array" ref="Z99">INDEX(municipality_wind_potential!$X:$X,MATCH(municipalities!$F99,municipality_wind_potential!$E:$E,0),0)</f>
        <v>1</v>
      </c>
      <c r="AA99" s="12">
        <f t="shared" si="13"/>
        <v>5.6</v>
      </c>
      <c r="AB99" s="12" cm="1">
        <f t="array" ref="AB99">INDEX(municipality_wind_potential!$Y:$Y,MATCH(municipalities!$F99,municipality_wind_potential!$E:$E,0),0) / 3.6</f>
        <v>7.4194444444444443</v>
      </c>
      <c r="AC99" s="12">
        <f t="shared" si="14"/>
        <v>85.750539956803451</v>
      </c>
      <c r="AD99" s="12" cm="1">
        <f t="array" ref="AD99">INDEX(municipality_pv_potential!$G:$G,MATCH(municipalities!$A99,municipality_pv_potential!$E:$E,0),0)/3.6*$AH$4</f>
        <v>79.405000000000001</v>
      </c>
      <c r="AE99" s="12">
        <f t="shared" si="15"/>
        <v>9.2782577393808499</v>
      </c>
      <c r="AF99" s="12" cm="1">
        <f t="array" ref="AF99">INDEX(municipality_pv_potential!$H:$H,MATCH(municipalities!$A99,municipality_pv_potential!$E:$E,0),0)/3.6</f>
        <v>8.5916666666666668</v>
      </c>
      <c r="AG99" s="12"/>
      <c r="AJ99">
        <v>33.200000000000003</v>
      </c>
      <c r="AK99">
        <v>5.5</v>
      </c>
      <c r="AL99">
        <v>8.9</v>
      </c>
      <c r="AM99">
        <v>11.7</v>
      </c>
      <c r="AN99">
        <v>98.7</v>
      </c>
    </row>
    <row r="100" spans="1:40" x14ac:dyDescent="0.25">
      <c r="A100" s="5" t="s">
        <v>314</v>
      </c>
      <c r="B100" s="6" t="s">
        <v>315</v>
      </c>
      <c r="C100" s="7" t="s">
        <v>316</v>
      </c>
      <c r="D100" s="7" t="s">
        <v>316</v>
      </c>
      <c r="E100" s="7" t="s">
        <v>22</v>
      </c>
      <c r="F100" s="7" t="s">
        <v>314</v>
      </c>
      <c r="G100" s="7" t="str" cm="1">
        <f t="array" ref="G100">INDEX('municipalities per province'!F:F,MATCH(municipalities!A100,'municipalities per province'!B:B,0),0)</f>
        <v>Utrecht</v>
      </c>
      <c r="H100" s="7" t="str" cm="1">
        <f t="array" ref="H100">INDEX('municipalities per province'!E:E,MATCH(municipalities!$A100,'municipalities per province'!$B:$B,0),0)</f>
        <v>PV26</v>
      </c>
      <c r="I100" s="7" t="str" cm="1">
        <f t="array" ref="I100">INDEX('municipalities per province'!G:G,MATCH(municipalities!$A100,'municipalities per province'!$B:$B,0),0)</f>
        <v>Amersfoort</v>
      </c>
      <c r="J100" s="7" t="str" cm="1">
        <f t="array" ref="J100">INDEX('municipalities per province'!H:H,MATCH(municipalities!$A100,'municipalities per province'!$B:$B,0),0)</f>
        <v>ES13</v>
      </c>
      <c r="K100" s="7" cm="1">
        <f t="array" ref="K100">INDEX(coordinates!C:C,MATCH(municipalities!$A100,coordinates!$A:$A,0),0)</f>
        <v>5.4266298950366938</v>
      </c>
      <c r="L100" s="7" cm="1">
        <f t="array" ref="L100">INDEX(coordinates!D:D,MATCH(municipalities!$A100,coordinates!$A:$A,0),0)</f>
        <v>52.081152390725237</v>
      </c>
      <c r="M100" s="8">
        <v>1</v>
      </c>
      <c r="N100" s="9">
        <v>14358</v>
      </c>
      <c r="O100" s="9">
        <v>7155</v>
      </c>
      <c r="P100" s="9">
        <v>7203</v>
      </c>
      <c r="Q100" s="9">
        <v>3</v>
      </c>
      <c r="R100" s="10">
        <v>1005</v>
      </c>
      <c r="S100" s="11">
        <v>71</v>
      </c>
      <c r="T100" s="11">
        <v>29</v>
      </c>
      <c r="U100" s="12">
        <f t="shared" si="8"/>
        <v>37.200000000000003</v>
      </c>
      <c r="V100" s="12">
        <f t="shared" si="9"/>
        <v>2.8</v>
      </c>
      <c r="W100" s="12">
        <f t="shared" si="10"/>
        <v>4.5</v>
      </c>
      <c r="X100" s="12">
        <f t="shared" si="11"/>
        <v>6.3</v>
      </c>
      <c r="Y100" s="12">
        <f t="shared" si="12"/>
        <v>211.7</v>
      </c>
      <c r="Z100" s="12" cm="1">
        <f t="array" ref="Z100">INDEX(municipality_wind_potential!$X:$X,MATCH(municipalities!$F100,municipality_wind_potential!$E:$E,0),0)</f>
        <v>20</v>
      </c>
      <c r="AA100" s="12">
        <f t="shared" si="13"/>
        <v>112</v>
      </c>
      <c r="AB100" s="12" cm="1">
        <f t="array" ref="AB100">INDEX(municipality_wind_potential!$Y:$Y,MATCH(municipalities!$F100,municipality_wind_potential!$E:$E,0),0) / 3.6</f>
        <v>296.8</v>
      </c>
      <c r="AC100" s="12">
        <f t="shared" si="14"/>
        <v>28.10595152387809</v>
      </c>
      <c r="AD100" s="12" cm="1">
        <f t="array" ref="AD100">INDEX(municipality_pv_potential!$G:$G,MATCH(municipalities!$A100,municipality_pv_potential!$E:$E,0),0)/3.6*$AH$4</f>
        <v>26.026111111111113</v>
      </c>
      <c r="AE100" s="12">
        <f t="shared" si="15"/>
        <v>92.12862970962324</v>
      </c>
      <c r="AF100" s="12" cm="1">
        <f t="array" ref="AF100">INDEX(municipality_pv_potential!$H:$H,MATCH(municipalities!$A100,municipality_pv_potential!$E:$E,0),0)/3.6</f>
        <v>85.311111111111117</v>
      </c>
      <c r="AG100" s="12"/>
      <c r="AJ100">
        <v>37.200000000000003</v>
      </c>
      <c r="AK100">
        <v>2.8</v>
      </c>
      <c r="AL100">
        <v>4.5</v>
      </c>
      <c r="AM100">
        <v>6.3</v>
      </c>
      <c r="AN100">
        <v>211.7</v>
      </c>
    </row>
    <row r="101" spans="1:40" x14ac:dyDescent="0.25">
      <c r="A101" s="5" t="s">
        <v>317</v>
      </c>
      <c r="B101" s="6" t="s">
        <v>318</v>
      </c>
      <c r="C101" s="7" t="s">
        <v>319</v>
      </c>
      <c r="D101" s="7" t="s">
        <v>319</v>
      </c>
      <c r="E101" s="7" t="s">
        <v>22</v>
      </c>
      <c r="F101" s="7" t="s">
        <v>317</v>
      </c>
      <c r="G101" s="7" t="str" cm="1">
        <f t="array" ref="G101">INDEX('municipalities per province'!F:F,MATCH(municipalities!A101,'municipalities per province'!B:B,0),0)</f>
        <v>Utrecht</v>
      </c>
      <c r="H101" s="7" t="str" cm="1">
        <f t="array" ref="H101">INDEX('municipalities per province'!E:E,MATCH(municipalities!$A101,'municipalities per province'!$B:$B,0),0)</f>
        <v>PV26</v>
      </c>
      <c r="I101" s="7" t="str" cm="1">
        <f t="array" ref="I101">INDEX('municipalities per province'!G:G,MATCH(municipalities!$A101,'municipalities per province'!$B:$B,0),0)</f>
        <v>U16</v>
      </c>
      <c r="J101" s="7" t="str" cm="1">
        <f t="array" ref="J101">INDEX('municipalities per province'!H:H,MATCH(municipalities!$A101,'municipalities per province'!$B:$B,0),0)</f>
        <v>ES14</v>
      </c>
      <c r="K101" s="7" cm="1">
        <f t="array" ref="K101">INDEX(coordinates!C:C,MATCH(municipalities!$A101,coordinates!$A:$A,0),0)</f>
        <v>5.3252561010014157</v>
      </c>
      <c r="L101" s="7" cm="1">
        <f t="array" ref="L101">INDEX(coordinates!D:D,MATCH(municipalities!$A101,coordinates!$A:$A,0),0)</f>
        <v>51.989200881292668</v>
      </c>
      <c r="M101" s="8">
        <v>1</v>
      </c>
      <c r="N101" s="9">
        <v>23995</v>
      </c>
      <c r="O101" s="9">
        <v>11841</v>
      </c>
      <c r="P101" s="9">
        <v>12154</v>
      </c>
      <c r="Q101" s="9">
        <v>3</v>
      </c>
      <c r="R101" s="10">
        <v>1149</v>
      </c>
      <c r="S101" s="11">
        <v>71</v>
      </c>
      <c r="T101" s="11">
        <v>29</v>
      </c>
      <c r="U101" s="12">
        <f t="shared" si="8"/>
        <v>37</v>
      </c>
      <c r="V101" s="12">
        <f t="shared" si="9"/>
        <v>3.5</v>
      </c>
      <c r="W101" s="12">
        <f t="shared" si="10"/>
        <v>5.6</v>
      </c>
      <c r="X101" s="12">
        <f t="shared" si="11"/>
        <v>7.5</v>
      </c>
      <c r="Y101" s="12">
        <f t="shared" si="12"/>
        <v>163.4</v>
      </c>
      <c r="Z101" s="12" cm="1">
        <f t="array" ref="Z101">INDEX(municipality_wind_potential!$X:$X,MATCH(municipalities!$F101,municipality_wind_potential!$E:$E,0),0)</f>
        <v>30</v>
      </c>
      <c r="AA101" s="12">
        <f t="shared" si="13"/>
        <v>168</v>
      </c>
      <c r="AB101" s="12" cm="1">
        <f t="array" ref="AB101">INDEX(municipality_wind_potential!$Y:$Y,MATCH(municipalities!$F101,municipality_wind_potential!$E:$E,0),0) / 3.6</f>
        <v>483.83888888888885</v>
      </c>
      <c r="AC101" s="12">
        <f t="shared" si="14"/>
        <v>37.048836093112556</v>
      </c>
      <c r="AD101" s="12" cm="1">
        <f t="array" ref="AD101">INDEX(municipality_pv_potential!$G:$G,MATCH(municipalities!$A101,municipality_pv_potential!$E:$E,0),0)/3.6*$AH$4</f>
        <v>34.307222222222222</v>
      </c>
      <c r="AE101" s="12">
        <f t="shared" si="15"/>
        <v>152.34581233501322</v>
      </c>
      <c r="AF101" s="12" cm="1">
        <f t="array" ref="AF101">INDEX(municipality_pv_potential!$H:$H,MATCH(municipalities!$A101,municipality_pv_potential!$E:$E,0),0)/3.6</f>
        <v>141.07222222222222</v>
      </c>
      <c r="AG101" s="12"/>
      <c r="AJ101">
        <v>37</v>
      </c>
      <c r="AK101">
        <v>3.5</v>
      </c>
      <c r="AL101">
        <v>5.6</v>
      </c>
      <c r="AM101">
        <v>7.5</v>
      </c>
      <c r="AN101">
        <v>163.4</v>
      </c>
    </row>
    <row r="102" spans="1:40" x14ac:dyDescent="0.25">
      <c r="A102" s="5" t="s">
        <v>320</v>
      </c>
      <c r="B102" s="6" t="s">
        <v>321</v>
      </c>
      <c r="C102" s="7" t="s">
        <v>322</v>
      </c>
      <c r="D102" s="7" t="s">
        <v>322</v>
      </c>
      <c r="E102" s="7" t="s">
        <v>22</v>
      </c>
      <c r="F102" s="7" t="s">
        <v>320</v>
      </c>
      <c r="G102" s="7" t="str" cm="1">
        <f t="array" ref="G102">INDEX('municipalities per province'!F:F,MATCH(municipalities!A102,'municipalities per province'!B:B,0),0)</f>
        <v>Utrecht</v>
      </c>
      <c r="H102" s="7" t="str" cm="1">
        <f t="array" ref="H102">INDEX('municipalities per province'!E:E,MATCH(municipalities!$A102,'municipalities per province'!$B:$B,0),0)</f>
        <v>PV26</v>
      </c>
      <c r="I102" s="7" t="str" cm="1">
        <f t="array" ref="I102">INDEX('municipalities per province'!G:G,MATCH(municipalities!$A102,'municipalities per province'!$B:$B,0),0)</f>
        <v>U16</v>
      </c>
      <c r="J102" s="7" t="str" cm="1">
        <f t="array" ref="J102">INDEX('municipalities per province'!H:H,MATCH(municipalities!$A102,'municipalities per province'!$B:$B,0),0)</f>
        <v>ES14</v>
      </c>
      <c r="K102" s="7" cm="1">
        <f t="array" ref="K102">INDEX(coordinates!C:C,MATCH(municipalities!$A102,coordinates!$A:$A,0),0)</f>
        <v>5.0287787136998823</v>
      </c>
      <c r="L102" s="7" cm="1">
        <f t="array" ref="L102">INDEX(coordinates!D:D,MATCH(municipalities!$A102,coordinates!$A:$A,0),0)</f>
        <v>52.027715469225292</v>
      </c>
      <c r="M102" s="8">
        <v>1</v>
      </c>
      <c r="N102" s="9">
        <v>33492</v>
      </c>
      <c r="O102" s="9">
        <v>16289</v>
      </c>
      <c r="P102" s="9">
        <v>17203</v>
      </c>
      <c r="Q102" s="9">
        <v>2</v>
      </c>
      <c r="R102" s="10">
        <v>1881</v>
      </c>
      <c r="S102" s="11">
        <v>64</v>
      </c>
      <c r="T102" s="11">
        <v>36</v>
      </c>
      <c r="U102" s="12">
        <f t="shared" si="8"/>
        <v>37.299999999999997</v>
      </c>
      <c r="V102" s="12">
        <f t="shared" si="9"/>
        <v>4.3</v>
      </c>
      <c r="W102" s="12">
        <f t="shared" si="10"/>
        <v>6.7</v>
      </c>
      <c r="X102" s="12">
        <f t="shared" si="11"/>
        <v>9</v>
      </c>
      <c r="Y102" s="12">
        <f t="shared" si="12"/>
        <v>149.30000000000001</v>
      </c>
      <c r="Z102" s="12" cm="1">
        <f t="array" ref="Z102">INDEX(municipality_wind_potential!$X:$X,MATCH(municipalities!$F102,municipality_wind_potential!$E:$E,0),0)</f>
        <v>12</v>
      </c>
      <c r="AA102" s="12">
        <f t="shared" si="13"/>
        <v>67.199999999999989</v>
      </c>
      <c r="AB102" s="12" cm="1">
        <f t="array" ref="AB102">INDEX(municipality_wind_potential!$Y:$Y,MATCH(municipalities!$F102,municipality_wind_potential!$E:$E,0),0) / 3.6</f>
        <v>213.02499999999998</v>
      </c>
      <c r="AC102" s="12">
        <f t="shared" si="14"/>
        <v>38.992680585553153</v>
      </c>
      <c r="AD102" s="12" cm="1">
        <f t="array" ref="AD102">INDEX(municipality_pv_potential!$G:$G,MATCH(municipalities!$A102,municipality_pv_potential!$E:$E,0),0)/3.6*$AH$4</f>
        <v>36.107222222222219</v>
      </c>
      <c r="AE102" s="12">
        <f t="shared" si="15"/>
        <v>56.935445164386849</v>
      </c>
      <c r="AF102" s="12" cm="1">
        <f t="array" ref="AF102">INDEX(municipality_pv_potential!$H:$H,MATCH(municipalities!$A102,municipality_pv_potential!$E:$E,0),0)/3.6</f>
        <v>52.722222222222221</v>
      </c>
      <c r="AG102" s="12"/>
      <c r="AJ102">
        <v>37.299999999999997</v>
      </c>
      <c r="AK102">
        <v>4.3</v>
      </c>
      <c r="AL102">
        <v>6.7</v>
      </c>
      <c r="AM102">
        <v>9</v>
      </c>
      <c r="AN102">
        <v>149.30000000000001</v>
      </c>
    </row>
    <row r="103" spans="1:40" x14ac:dyDescent="0.25">
      <c r="A103" s="5" t="s">
        <v>323</v>
      </c>
      <c r="B103" s="6" t="s">
        <v>324</v>
      </c>
      <c r="C103" s="7" t="s">
        <v>325</v>
      </c>
      <c r="D103" s="7" t="s">
        <v>325</v>
      </c>
      <c r="E103" s="7" t="s">
        <v>22</v>
      </c>
      <c r="F103" s="7" t="s">
        <v>323</v>
      </c>
      <c r="G103" s="7" t="str" cm="1">
        <f t="array" ref="G103">INDEX('municipalities per province'!F:F,MATCH(municipalities!A103,'municipalities per province'!B:B,0),0)</f>
        <v>Utrecht</v>
      </c>
      <c r="H103" s="7" t="str" cm="1">
        <f t="array" ref="H103">INDEX('municipalities per province'!E:E,MATCH(municipalities!$A103,'municipalities per province'!$B:$B,0),0)</f>
        <v>PV26</v>
      </c>
      <c r="I103" s="7" t="str" cm="1">
        <f t="array" ref="I103">INDEX('municipalities per province'!G:G,MATCH(municipalities!$A103,'municipalities per province'!$B:$B,0),0)</f>
        <v>U16</v>
      </c>
      <c r="J103" s="7" t="str" cm="1">
        <f t="array" ref="J103">INDEX('municipalities per province'!H:H,MATCH(municipalities!$A103,'municipalities per province'!$B:$B,0),0)</f>
        <v>ES14</v>
      </c>
      <c r="K103" s="7" cm="1">
        <f t="array" ref="K103">INDEX(coordinates!C:C,MATCH(municipalities!$A103,coordinates!$A:$A,0),0)</f>
        <v>5.255181769374798</v>
      </c>
      <c r="L103" s="7" cm="1">
        <f t="array" ref="L103">INDEX(coordinates!D:D,MATCH(municipalities!$A103,coordinates!$A:$A,0),0)</f>
        <v>52.101975702998139</v>
      </c>
      <c r="M103" s="8">
        <v>1</v>
      </c>
      <c r="N103" s="9">
        <v>66629</v>
      </c>
      <c r="O103" s="9">
        <v>32561</v>
      </c>
      <c r="P103" s="9">
        <v>34068</v>
      </c>
      <c r="Q103" s="9">
        <v>2</v>
      </c>
      <c r="R103" s="10">
        <v>1630</v>
      </c>
      <c r="S103" s="11">
        <v>52</v>
      </c>
      <c r="T103" s="11">
        <v>47</v>
      </c>
      <c r="U103" s="12">
        <f t="shared" si="8"/>
        <v>38.6</v>
      </c>
      <c r="V103" s="12">
        <f t="shared" si="9"/>
        <v>6.5</v>
      </c>
      <c r="W103" s="12">
        <f t="shared" si="10"/>
        <v>9.8000000000000007</v>
      </c>
      <c r="X103" s="12">
        <f t="shared" si="11"/>
        <v>12.4</v>
      </c>
      <c r="Y103" s="12">
        <f t="shared" si="12"/>
        <v>117</v>
      </c>
      <c r="Z103" s="12" cm="1">
        <f t="array" ref="Z103">INDEX(municipality_wind_potential!$X:$X,MATCH(municipalities!$F103,municipality_wind_potential!$E:$E,0),0)</f>
        <v>14</v>
      </c>
      <c r="AA103" s="12">
        <f t="shared" si="13"/>
        <v>78.399999999999991</v>
      </c>
      <c r="AB103" s="12" cm="1">
        <f t="array" ref="AB103">INDEX(municipality_wind_potential!$Y:$Y,MATCH(municipalities!$F103,municipality_wind_potential!$E:$E,0),0) / 3.6</f>
        <v>207.76111111111112</v>
      </c>
      <c r="AC103" s="12">
        <f t="shared" si="14"/>
        <v>72.988960883129337</v>
      </c>
      <c r="AD103" s="12" cm="1">
        <f t="array" ref="AD103">INDEX(municipality_pv_potential!$G:$G,MATCH(municipalities!$A103,municipality_pv_potential!$E:$E,0),0)/3.6*$AH$4</f>
        <v>67.587777777777774</v>
      </c>
      <c r="AE103" s="12">
        <f t="shared" si="15"/>
        <v>20.803335733141346</v>
      </c>
      <c r="AF103" s="12" cm="1">
        <f t="array" ref="AF103">INDEX(municipality_pv_potential!$H:$H,MATCH(municipalities!$A103,municipality_pv_potential!$E:$E,0),0)/3.6</f>
        <v>19.263888888888886</v>
      </c>
      <c r="AG103" s="12"/>
      <c r="AJ103">
        <v>38.6</v>
      </c>
      <c r="AK103">
        <v>6.5</v>
      </c>
      <c r="AL103">
        <v>9.8000000000000007</v>
      </c>
      <c r="AM103">
        <v>12.4</v>
      </c>
      <c r="AN103">
        <v>117</v>
      </c>
    </row>
    <row r="104" spans="1:40" x14ac:dyDescent="0.25">
      <c r="A104" s="5" t="s">
        <v>326</v>
      </c>
      <c r="B104" s="6" t="s">
        <v>327</v>
      </c>
      <c r="C104" s="7" t="s">
        <v>328</v>
      </c>
      <c r="D104" s="7" t="s">
        <v>328</v>
      </c>
      <c r="E104" s="7" t="s">
        <v>22</v>
      </c>
      <c r="F104" s="7" t="s">
        <v>326</v>
      </c>
      <c r="G104" s="7" t="str" cm="1">
        <f t="array" ref="G104">INDEX('municipalities per province'!F:F,MATCH(municipalities!A104,'municipalities per province'!B:B,0),0)</f>
        <v>Utrecht</v>
      </c>
      <c r="H104" s="7" t="str" cm="1">
        <f t="array" ref="H104">INDEX('municipalities per province'!E:E,MATCH(municipalities!$A104,'municipalities per province'!$B:$B,0),0)</f>
        <v>PV26</v>
      </c>
      <c r="I104" s="7" t="str" cm="1">
        <f t="array" ref="I104">INDEX('municipalities per province'!G:G,MATCH(municipalities!$A104,'municipalities per province'!$B:$B,0),0)</f>
        <v>U16</v>
      </c>
      <c r="J104" s="7" t="str" cm="1">
        <f t="array" ref="J104">INDEX('municipalities per province'!H:H,MATCH(municipalities!$A104,'municipalities per province'!$B:$B,0),0)</f>
        <v>ES14</v>
      </c>
      <c r="K104" s="7" cm="1">
        <f t="array" ref="K104">INDEX(coordinates!C:C,MATCH(municipalities!$A104,coordinates!$A:$A,0),0)</f>
        <v>5.0946704619776444</v>
      </c>
      <c r="L104" s="7" cm="1">
        <f t="array" ref="L104">INDEX(coordinates!D:D,MATCH(municipalities!$A104,coordinates!$A:$A,0),0)</f>
        <v>52.030822022044752</v>
      </c>
      <c r="M104" s="8">
        <v>1</v>
      </c>
      <c r="N104" s="9">
        <v>65426</v>
      </c>
      <c r="O104" s="9">
        <v>32443</v>
      </c>
      <c r="P104" s="9">
        <v>32983</v>
      </c>
      <c r="Q104" s="9">
        <v>2</v>
      </c>
      <c r="R104" s="10">
        <v>1968</v>
      </c>
      <c r="S104" s="11">
        <v>58</v>
      </c>
      <c r="T104" s="11">
        <v>42</v>
      </c>
      <c r="U104" s="12">
        <f t="shared" si="8"/>
        <v>33</v>
      </c>
      <c r="V104" s="12">
        <f t="shared" si="9"/>
        <v>5.5</v>
      </c>
      <c r="W104" s="12">
        <f t="shared" si="10"/>
        <v>8.1999999999999993</v>
      </c>
      <c r="X104" s="12">
        <f t="shared" si="11"/>
        <v>10.3</v>
      </c>
      <c r="Y104" s="12">
        <f t="shared" si="12"/>
        <v>94.1</v>
      </c>
      <c r="Z104" s="12" cm="1">
        <f t="array" ref="Z104">INDEX(municipality_wind_potential!$X:$X,MATCH(municipalities!$F104,municipality_wind_potential!$E:$E,0),0)</f>
        <v>5</v>
      </c>
      <c r="AA104" s="12">
        <f t="shared" si="13"/>
        <v>28</v>
      </c>
      <c r="AB104" s="12" cm="1">
        <f t="array" ref="AB104">INDEX(municipality_wind_potential!$Y:$Y,MATCH(municipalities!$F104,municipality_wind_potential!$E:$E,0),0) / 3.6</f>
        <v>72.574999999999989</v>
      </c>
      <c r="AC104" s="12">
        <f t="shared" si="14"/>
        <v>79.06167506599472</v>
      </c>
      <c r="AD104" s="12" cm="1">
        <f t="array" ref="AD104">INDEX(municipality_pv_potential!$G:$G,MATCH(municipalities!$A104,municipality_pv_potential!$E:$E,0),0)/3.6*$AH$4</f>
        <v>73.211111111111109</v>
      </c>
      <c r="AE104" s="12">
        <f t="shared" si="15"/>
        <v>7.6373890088792891</v>
      </c>
      <c r="AF104" s="12" cm="1">
        <f t="array" ref="AF104">INDEX(municipality_pv_potential!$H:$H,MATCH(municipalities!$A104,municipality_pv_potential!$E:$E,0),0)/3.6</f>
        <v>7.072222222222222</v>
      </c>
      <c r="AG104" s="12"/>
      <c r="AJ104">
        <v>33</v>
      </c>
      <c r="AK104">
        <v>5.5</v>
      </c>
      <c r="AL104">
        <v>8.1999999999999993</v>
      </c>
      <c r="AM104">
        <v>10.3</v>
      </c>
      <c r="AN104">
        <v>94.1</v>
      </c>
    </row>
    <row r="105" spans="1:40" x14ac:dyDescent="0.25">
      <c r="A105" s="5" t="s">
        <v>329</v>
      </c>
      <c r="B105" s="6" t="s">
        <v>330</v>
      </c>
      <c r="C105" s="7" t="s">
        <v>331</v>
      </c>
      <c r="D105" s="7" t="s">
        <v>331</v>
      </c>
      <c r="E105" s="7" t="s">
        <v>22</v>
      </c>
      <c r="F105" s="7" t="s">
        <v>329</v>
      </c>
      <c r="G105" s="7" t="str" cm="1">
        <f t="array" ref="G105">INDEX('municipalities per province'!F:F,MATCH(municipalities!A105,'municipalities per province'!B:B,0),0)</f>
        <v>Noord-Holland</v>
      </c>
      <c r="H105" s="7" t="str" cm="1">
        <f t="array" ref="H105">INDEX('municipalities per province'!E:E,MATCH(municipalities!$A105,'municipalities per province'!$B:$B,0),0)</f>
        <v>PV27</v>
      </c>
      <c r="I105" s="7" t="str" cm="1">
        <f t="array" ref="I105">INDEX('municipalities per province'!G:G,MATCH(municipalities!$A105,'municipalities per province'!$B:$B,0),0)</f>
        <v>Noord-HollandZuid</v>
      </c>
      <c r="J105" s="7" t="str" cm="1">
        <f t="array" ref="J105">INDEX('municipalities per province'!H:H,MATCH(municipalities!$A105,'municipalities per province'!$B:$B,0),0)</f>
        <v>ES16</v>
      </c>
      <c r="K105" s="7" cm="1">
        <f t="array" ref="K105">INDEX(coordinates!C:C,MATCH(municipalities!$A105,coordinates!$A:$A,0),0)</f>
        <v>4.7550483681760021</v>
      </c>
      <c r="L105" s="7" cm="1">
        <f t="array" ref="L105">INDEX(coordinates!D:D,MATCH(municipalities!$A105,coordinates!$A:$A,0),0)</f>
        <v>52.257700381692537</v>
      </c>
      <c r="M105" s="8">
        <v>1</v>
      </c>
      <c r="N105" s="9">
        <v>33063</v>
      </c>
      <c r="O105" s="9">
        <v>16371</v>
      </c>
      <c r="P105" s="9">
        <v>16692</v>
      </c>
      <c r="Q105" s="9">
        <v>4</v>
      </c>
      <c r="R105" s="10">
        <v>954</v>
      </c>
      <c r="S105" s="11">
        <v>65</v>
      </c>
      <c r="T105" s="11">
        <v>35</v>
      </c>
      <c r="U105" s="12">
        <f t="shared" si="8"/>
        <v>40.299999999999997</v>
      </c>
      <c r="V105" s="12">
        <f t="shared" si="9"/>
        <v>3.6</v>
      </c>
      <c r="W105" s="12">
        <f t="shared" si="10"/>
        <v>5.5</v>
      </c>
      <c r="X105" s="12">
        <f t="shared" si="11"/>
        <v>7.6</v>
      </c>
      <c r="Y105" s="12">
        <f t="shared" si="12"/>
        <v>206.5</v>
      </c>
      <c r="Z105" s="12" cm="1">
        <f t="array" ref="Z105">INDEX(municipality_wind_potential!$X:$X,MATCH(municipalities!$F105,municipality_wind_potential!$E:$E,0),0)</f>
        <v>0</v>
      </c>
      <c r="AA105" s="12">
        <f t="shared" si="13"/>
        <v>0</v>
      </c>
      <c r="AB105" s="12" cm="1">
        <f t="array" ref="AB105">INDEX(municipality_wind_potential!$Y:$Y,MATCH(municipalities!$F105,municipality_wind_potential!$E:$E,0),0) / 3.6</f>
        <v>0</v>
      </c>
      <c r="AC105" s="12">
        <f t="shared" si="14"/>
        <v>69.39584833213344</v>
      </c>
      <c r="AD105" s="12" cm="1">
        <f t="array" ref="AD105">INDEX(municipality_pv_potential!$G:$G,MATCH(municipalities!$A105,municipality_pv_potential!$E:$E,0),0)/3.6*$AH$4</f>
        <v>64.26055555555557</v>
      </c>
      <c r="AE105" s="12">
        <f t="shared" si="15"/>
        <v>14.218862491000721</v>
      </c>
      <c r="AF105" s="12" cm="1">
        <f t="array" ref="AF105">INDEX(municipality_pv_potential!$H:$H,MATCH(municipalities!$A105,municipality_pv_potential!$E:$E,0),0)/3.6</f>
        <v>13.166666666666666</v>
      </c>
      <c r="AG105" s="12"/>
      <c r="AJ105">
        <v>40.299999999999997</v>
      </c>
      <c r="AK105">
        <v>3.6</v>
      </c>
      <c r="AL105">
        <v>5.5</v>
      </c>
      <c r="AM105">
        <v>7.6</v>
      </c>
      <c r="AN105">
        <v>206.5</v>
      </c>
    </row>
    <row r="106" spans="1:40" x14ac:dyDescent="0.25">
      <c r="A106" s="5" t="s">
        <v>332</v>
      </c>
      <c r="B106" s="6" t="s">
        <v>333</v>
      </c>
      <c r="C106" s="7" t="s">
        <v>334</v>
      </c>
      <c r="D106" s="7" t="s">
        <v>334</v>
      </c>
      <c r="E106" s="7" t="s">
        <v>22</v>
      </c>
      <c r="F106" s="7" t="s">
        <v>332</v>
      </c>
      <c r="G106" s="7" t="str" cm="1">
        <f t="array" ref="G106">INDEX('municipalities per province'!F:F,MATCH(municipalities!A106,'municipalities per province'!B:B,0),0)</f>
        <v>Noord-Holland</v>
      </c>
      <c r="H106" s="7" t="str" cm="1">
        <f t="array" ref="H106">INDEX('municipalities per province'!E:E,MATCH(municipalities!$A106,'municipalities per province'!$B:$B,0),0)</f>
        <v>PV27</v>
      </c>
      <c r="I106" s="7" t="str" cm="1">
        <f t="array" ref="I106">INDEX('municipalities per province'!G:G,MATCH(municipalities!$A106,'municipalities per province'!$B:$B,0),0)</f>
        <v>Noord-HollandNoord</v>
      </c>
      <c r="J106" s="7" t="str" cm="1">
        <f t="array" ref="J106">INDEX('municipalities per province'!H:H,MATCH(municipalities!$A106,'municipalities per province'!$B:$B,0),0)</f>
        <v>ES15</v>
      </c>
      <c r="K106" s="7" cm="1">
        <f t="array" ref="K106">INDEX(coordinates!C:C,MATCH(municipalities!$A106,coordinates!$A:$A,0),0)</f>
        <v>4.8032891602531702</v>
      </c>
      <c r="L106" s="7" cm="1">
        <f t="array" ref="L106">INDEX(coordinates!D:D,MATCH(municipalities!$A106,coordinates!$A:$A,0),0)</f>
        <v>52.601809520326547</v>
      </c>
      <c r="M106" s="8">
        <v>1</v>
      </c>
      <c r="N106" s="9">
        <v>111834</v>
      </c>
      <c r="O106" s="9">
        <v>55179</v>
      </c>
      <c r="P106" s="9">
        <v>56655</v>
      </c>
      <c r="Q106" s="9">
        <v>2</v>
      </c>
      <c r="R106" s="10">
        <v>2323</v>
      </c>
      <c r="S106" s="11">
        <v>58</v>
      </c>
      <c r="T106" s="11">
        <v>42</v>
      </c>
      <c r="U106" s="12">
        <f t="shared" si="8"/>
        <v>32.9</v>
      </c>
      <c r="V106" s="12">
        <f t="shared" si="9"/>
        <v>6.3</v>
      </c>
      <c r="W106" s="12">
        <f t="shared" si="10"/>
        <v>10</v>
      </c>
      <c r="X106" s="12">
        <f t="shared" si="11"/>
        <v>12.5</v>
      </c>
      <c r="Y106" s="12">
        <f t="shared" si="12"/>
        <v>90.6</v>
      </c>
      <c r="Z106" s="12" cm="1">
        <f t="array" ref="Z106">INDEX(municipality_wind_potential!$X:$X,MATCH(municipalities!$F106,municipality_wind_potential!$E:$E,0),0)</f>
        <v>61</v>
      </c>
      <c r="AA106" s="12">
        <f t="shared" si="13"/>
        <v>341.59999999999997</v>
      </c>
      <c r="AB106" s="12" cm="1">
        <f t="array" ref="AB106">INDEX(municipality_wind_potential!$Y:$Y,MATCH(municipalities!$F106,municipality_wind_potential!$E:$E,0),0) / 3.6</f>
        <v>1195.5999999999999</v>
      </c>
      <c r="AC106" s="12">
        <f t="shared" si="14"/>
        <v>137.78497720182386</v>
      </c>
      <c r="AD106" s="12" cm="1">
        <f t="array" ref="AD106">INDEX(municipality_pv_potential!$G:$G,MATCH(municipalities!$A106,municipality_pv_potential!$E:$E,0),0)/3.6*$AH$4</f>
        <v>127.5888888888889</v>
      </c>
      <c r="AE106" s="12">
        <f t="shared" si="15"/>
        <v>361.14710823134152</v>
      </c>
      <c r="AF106" s="12" cm="1">
        <f t="array" ref="AF106">INDEX(municipality_pv_potential!$H:$H,MATCH(municipalities!$A106,municipality_pv_potential!$E:$E,0),0)/3.6</f>
        <v>334.42222222222222</v>
      </c>
      <c r="AG106" s="12"/>
      <c r="AJ106">
        <v>32.9</v>
      </c>
      <c r="AK106">
        <v>6.3</v>
      </c>
      <c r="AL106">
        <v>10</v>
      </c>
      <c r="AM106">
        <v>12.5</v>
      </c>
      <c r="AN106">
        <v>90.6</v>
      </c>
    </row>
    <row r="107" spans="1:40" x14ac:dyDescent="0.25">
      <c r="A107" s="5" t="s">
        <v>335</v>
      </c>
      <c r="B107" s="6" t="s">
        <v>336</v>
      </c>
      <c r="C107" s="7" t="s">
        <v>337</v>
      </c>
      <c r="D107" s="7" t="s">
        <v>337</v>
      </c>
      <c r="E107" s="7" t="s">
        <v>22</v>
      </c>
      <c r="F107" s="7" t="s">
        <v>335</v>
      </c>
      <c r="G107" s="7" t="str" cm="1">
        <f t="array" ref="G107">INDEX('municipalities per province'!F:F,MATCH(municipalities!A107,'municipalities per province'!B:B,0),0)</f>
        <v>Noord-Holland</v>
      </c>
      <c r="H107" s="7" t="str" cm="1">
        <f t="array" ref="H107">INDEX('municipalities per province'!E:E,MATCH(municipalities!$A107,'municipalities per province'!$B:$B,0),0)</f>
        <v>PV27</v>
      </c>
      <c r="I107" s="7" t="str" cm="1">
        <f t="array" ref="I107">INDEX('municipalities per province'!G:G,MATCH(municipalities!$A107,'municipalities per province'!$B:$B,0),0)</f>
        <v>Noord-HollandZuid</v>
      </c>
      <c r="J107" s="7" t="str" cm="1">
        <f t="array" ref="J107">INDEX('municipalities per province'!H:H,MATCH(municipalities!$A107,'municipalities per province'!$B:$B,0),0)</f>
        <v>ES16</v>
      </c>
      <c r="K107" s="7" cm="1">
        <f t="array" ref="K107">INDEX(coordinates!C:C,MATCH(municipalities!$A107,coordinates!$A:$A,0),0)</f>
        <v>4.851492916313946</v>
      </c>
      <c r="L107" s="7" cm="1">
        <f t="array" ref="L107">INDEX(coordinates!D:D,MATCH(municipalities!$A107,coordinates!$A:$A,0),0)</f>
        <v>52.289274309642238</v>
      </c>
      <c r="M107" s="8">
        <v>1</v>
      </c>
      <c r="N107" s="9">
        <v>94418</v>
      </c>
      <c r="O107" s="9">
        <v>45579</v>
      </c>
      <c r="P107" s="9">
        <v>48839</v>
      </c>
      <c r="Q107" s="9">
        <v>1</v>
      </c>
      <c r="R107" s="10">
        <v>2543</v>
      </c>
      <c r="S107" s="11">
        <v>47</v>
      </c>
      <c r="T107" s="11">
        <v>53</v>
      </c>
      <c r="U107" s="12">
        <f t="shared" si="8"/>
        <v>38.6</v>
      </c>
      <c r="V107" s="12">
        <f t="shared" si="9"/>
        <v>5.6</v>
      </c>
      <c r="W107" s="12">
        <f t="shared" si="10"/>
        <v>8.1</v>
      </c>
      <c r="X107" s="12">
        <f t="shared" si="11"/>
        <v>10.3</v>
      </c>
      <c r="Y107" s="12">
        <f t="shared" si="12"/>
        <v>83.2</v>
      </c>
      <c r="Z107" s="12" cm="1">
        <f t="array" ref="Z107">INDEX(municipality_wind_potential!$X:$X,MATCH(municipalities!$F107,municipality_wind_potential!$E:$E,0),0)</f>
        <v>4</v>
      </c>
      <c r="AA107" s="12">
        <f t="shared" si="13"/>
        <v>22.4</v>
      </c>
      <c r="AB107" s="12" cm="1">
        <f t="array" ref="AB107">INDEX(municipality_wind_potential!$Y:$Y,MATCH(municipalities!$F107,municipality_wind_potential!$E:$E,0),0) / 3.6</f>
        <v>71.008333333333326</v>
      </c>
      <c r="AC107" s="12">
        <f t="shared" si="14"/>
        <v>84.641828653707705</v>
      </c>
      <c r="AD107" s="12" cm="1">
        <f t="array" ref="AD107">INDEX(municipality_pv_potential!$G:$G,MATCH(municipalities!$A107,municipality_pv_potential!$E:$E,0),0)/3.6*$AH$4</f>
        <v>78.37833333333333</v>
      </c>
      <c r="AE107" s="12">
        <f t="shared" si="15"/>
        <v>60.616150707943362</v>
      </c>
      <c r="AF107" s="12" cm="1">
        <f t="array" ref="AF107">INDEX(municipality_pv_potential!$H:$H,MATCH(municipalities!$A107,municipality_pv_potential!$E:$E,0),0)/3.6</f>
        <v>56.130555555555553</v>
      </c>
      <c r="AG107" s="12"/>
      <c r="AJ107">
        <v>38.6</v>
      </c>
      <c r="AK107">
        <v>5.6</v>
      </c>
      <c r="AL107">
        <v>8.1</v>
      </c>
      <c r="AM107">
        <v>10.3</v>
      </c>
      <c r="AN107">
        <v>83.2</v>
      </c>
    </row>
    <row r="108" spans="1:40" x14ac:dyDescent="0.25">
      <c r="A108" s="5" t="s">
        <v>338</v>
      </c>
      <c r="B108" s="6" t="s">
        <v>339</v>
      </c>
      <c r="C108" s="7" t="s">
        <v>340</v>
      </c>
      <c r="D108" s="7" t="s">
        <v>340</v>
      </c>
      <c r="E108" s="7" t="s">
        <v>22</v>
      </c>
      <c r="F108" s="7" t="s">
        <v>338</v>
      </c>
      <c r="G108" s="7" t="str" cm="1">
        <f t="array" ref="G108">INDEX('municipalities per province'!F:F,MATCH(municipalities!A108,'municipalities per province'!B:B,0),0)</f>
        <v>Noord-Holland</v>
      </c>
      <c r="H108" s="7" t="str" cm="1">
        <f t="array" ref="H108">INDEX('municipalities per province'!E:E,MATCH(municipalities!$A108,'municipalities per province'!$B:$B,0),0)</f>
        <v>PV27</v>
      </c>
      <c r="I108" s="7" t="str" cm="1">
        <f t="array" ref="I108">INDEX('municipalities per province'!G:G,MATCH(municipalities!$A108,'municipalities per province'!$B:$B,0),0)</f>
        <v>Noord-HollandZuid</v>
      </c>
      <c r="J108" s="7" t="str" cm="1">
        <f t="array" ref="J108">INDEX('municipalities per province'!H:H,MATCH(municipalities!$A108,'municipalities per province'!$B:$B,0),0)</f>
        <v>ES16</v>
      </c>
      <c r="K108" s="7" cm="1">
        <f t="array" ref="K108">INDEX(coordinates!C:C,MATCH(municipalities!$A108,coordinates!$A:$A,0),0)</f>
        <v>5.0285280189115484</v>
      </c>
      <c r="L108" s="7" cm="1">
        <f t="array" ref="L108">INDEX(coordinates!D:D,MATCH(municipalities!$A108,coordinates!$A:$A,0),0)</f>
        <v>52.380333650235187</v>
      </c>
      <c r="M108" s="8">
        <v>3</v>
      </c>
      <c r="N108" s="9">
        <v>918117</v>
      </c>
      <c r="O108" s="9">
        <v>454273</v>
      </c>
      <c r="P108" s="9">
        <v>463844</v>
      </c>
      <c r="Q108" s="9">
        <v>1</v>
      </c>
      <c r="R108" s="10">
        <v>6075</v>
      </c>
      <c r="S108" s="11">
        <v>30</v>
      </c>
      <c r="T108" s="11">
        <v>70</v>
      </c>
      <c r="U108" s="12">
        <f t="shared" si="8"/>
        <v>34.9</v>
      </c>
      <c r="V108" s="12">
        <f t="shared" si="9"/>
        <v>12.4</v>
      </c>
      <c r="W108" s="12">
        <f t="shared" si="10"/>
        <v>16.5</v>
      </c>
      <c r="X108" s="12">
        <f t="shared" si="11"/>
        <v>19.399999999999999</v>
      </c>
      <c r="Y108" s="12">
        <f t="shared" si="12"/>
        <v>11.9</v>
      </c>
      <c r="Z108" s="12" cm="1">
        <f t="array" ref="Z108">INDEX(municipality_wind_potential!$X:$X,MATCH(municipalities!$F108,municipality_wind_potential!$E:$E,0),0)</f>
        <v>24</v>
      </c>
      <c r="AA108" s="12">
        <f t="shared" si="13"/>
        <v>134.39999999999998</v>
      </c>
      <c r="AB108" s="12" cm="1">
        <f t="array" ref="AB108">INDEX(municipality_wind_potential!$Y:$Y,MATCH(municipalities!$F108,municipality_wind_potential!$E:$E,0),0) / 3.6</f>
        <v>426.04722222222222</v>
      </c>
      <c r="AC108" s="12">
        <f t="shared" si="14"/>
        <v>587.80297576193902</v>
      </c>
      <c r="AD108" s="12" cm="1">
        <f t="array" ref="AD108">INDEX(municipality_pv_potential!$G:$G,MATCH(municipalities!$A108,municipality_pv_potential!$E:$E,0),0)/3.6*$AH$4</f>
        <v>544.30555555555554</v>
      </c>
      <c r="AE108" s="12">
        <f t="shared" si="15"/>
        <v>106.93244540436766</v>
      </c>
      <c r="AF108" s="12" cm="1">
        <f t="array" ref="AF108">INDEX(municipality_pv_potential!$H:$H,MATCH(municipalities!$A108,municipality_pv_potential!$E:$E,0),0)/3.6</f>
        <v>99.019444444444446</v>
      </c>
      <c r="AG108" s="12"/>
      <c r="AJ108">
        <v>34.9</v>
      </c>
      <c r="AK108">
        <v>12.4</v>
      </c>
      <c r="AL108">
        <v>16.5</v>
      </c>
      <c r="AM108">
        <v>19.399999999999999</v>
      </c>
      <c r="AN108">
        <v>11.9</v>
      </c>
    </row>
    <row r="109" spans="1:40" x14ac:dyDescent="0.25">
      <c r="A109" s="5" t="s">
        <v>341</v>
      </c>
      <c r="B109" s="6" t="s">
        <v>342</v>
      </c>
      <c r="C109" s="7" t="s">
        <v>343</v>
      </c>
      <c r="D109" s="7" t="s">
        <v>343</v>
      </c>
      <c r="E109" s="7" t="s">
        <v>22</v>
      </c>
      <c r="F109" s="7" t="s">
        <v>341</v>
      </c>
      <c r="G109" s="7" t="str" cm="1">
        <f t="array" ref="G109">INDEX('municipalities per province'!F:F,MATCH(municipalities!A109,'municipalities per province'!B:B,0),0)</f>
        <v>Noord-Holland</v>
      </c>
      <c r="H109" s="7" t="str" cm="1">
        <f t="array" ref="H109">INDEX('municipalities per province'!E:E,MATCH(municipalities!$A109,'municipalities per province'!$B:$B,0),0)</f>
        <v>PV27</v>
      </c>
      <c r="I109" s="7" t="str" cm="1">
        <f t="array" ref="I109">INDEX('municipalities per province'!G:G,MATCH(municipalities!$A109,'municipalities per province'!$B:$B,0),0)</f>
        <v>Noord-HollandNoord</v>
      </c>
      <c r="J109" s="7" t="str" cm="1">
        <f t="array" ref="J109">INDEX('municipalities per province'!H:H,MATCH(municipalities!$A109,'municipalities per province'!$B:$B,0),0)</f>
        <v>ES15</v>
      </c>
      <c r="K109" s="7" cm="1">
        <f t="array" ref="K109">INDEX(coordinates!C:C,MATCH(municipalities!$A109,coordinates!$A:$A,0),0)</f>
        <v>4.6195218828242437</v>
      </c>
      <c r="L109" s="7" cm="1">
        <f t="array" ref="L109">INDEX(coordinates!D:D,MATCH(municipalities!$A109,coordinates!$A:$A,0),0)</f>
        <v>52.66178302151944</v>
      </c>
      <c r="M109" s="8">
        <v>1</v>
      </c>
      <c r="N109" s="9">
        <v>30138</v>
      </c>
      <c r="O109" s="9">
        <v>14440</v>
      </c>
      <c r="P109" s="9">
        <v>15698</v>
      </c>
      <c r="Q109" s="9">
        <v>4</v>
      </c>
      <c r="R109" s="10">
        <v>825</v>
      </c>
      <c r="S109" s="11">
        <v>67</v>
      </c>
      <c r="T109" s="11">
        <v>32</v>
      </c>
      <c r="U109" s="12">
        <f t="shared" si="8"/>
        <v>42.9</v>
      </c>
      <c r="V109" s="12">
        <f t="shared" si="9"/>
        <v>4.5999999999999996</v>
      </c>
      <c r="W109" s="12">
        <f t="shared" si="10"/>
        <v>7</v>
      </c>
      <c r="X109" s="12">
        <f t="shared" si="11"/>
        <v>9.3000000000000007</v>
      </c>
      <c r="Y109" s="12">
        <f t="shared" si="12"/>
        <v>306.89999999999998</v>
      </c>
      <c r="Z109" s="12" cm="1">
        <f t="array" ref="Z109">INDEX(municipality_wind_potential!$X:$X,MATCH(municipalities!$F109,municipality_wind_potential!$E:$E,0),0)</f>
        <v>66</v>
      </c>
      <c r="AA109" s="12">
        <f t="shared" si="13"/>
        <v>369.59999999999997</v>
      </c>
      <c r="AB109" s="12" cm="1">
        <f t="array" ref="AB109">INDEX(municipality_wind_potential!$Y:$Y,MATCH(municipalities!$F109,municipality_wind_potential!$E:$E,0),0) / 3.6</f>
        <v>1422.961111111111</v>
      </c>
      <c r="AC109" s="12">
        <f t="shared" si="14"/>
        <v>54.471442284617225</v>
      </c>
      <c r="AD109" s="12" cm="1">
        <f t="array" ref="AD109">INDEX(municipality_pv_potential!$G:$G,MATCH(municipalities!$A109,municipality_pv_potential!$E:$E,0),0)/3.6*$AH$4</f>
        <v>50.440555555555555</v>
      </c>
      <c r="AE109" s="12">
        <f t="shared" si="15"/>
        <v>162.87497000239981</v>
      </c>
      <c r="AF109" s="12" cm="1">
        <f t="array" ref="AF109">INDEX(municipality_pv_potential!$H:$H,MATCH(municipalities!$A109,municipality_pv_potential!$E:$E,0),0)/3.6</f>
        <v>150.82222222222222</v>
      </c>
      <c r="AG109" s="12"/>
      <c r="AJ109">
        <v>42.9</v>
      </c>
      <c r="AK109">
        <v>4.5999999999999996</v>
      </c>
      <c r="AL109">
        <v>7</v>
      </c>
      <c r="AM109">
        <v>9.3000000000000007</v>
      </c>
      <c r="AN109">
        <v>306.89999999999998</v>
      </c>
    </row>
    <row r="110" spans="1:40" x14ac:dyDescent="0.25">
      <c r="A110" s="5" t="s">
        <v>344</v>
      </c>
      <c r="B110" s="6" t="s">
        <v>345</v>
      </c>
      <c r="C110" s="7" t="s">
        <v>346</v>
      </c>
      <c r="D110" s="7" t="s">
        <v>346</v>
      </c>
      <c r="E110" s="7" t="s">
        <v>22</v>
      </c>
      <c r="F110" s="7" t="s">
        <v>344</v>
      </c>
      <c r="G110" s="7" t="str" cm="1">
        <f t="array" ref="G110">INDEX('municipalities per province'!F:F,MATCH(municipalities!A110,'municipalities per province'!B:B,0),0)</f>
        <v>Noord-Holland</v>
      </c>
      <c r="H110" s="7" t="str" cm="1">
        <f t="array" ref="H110">INDEX('municipalities per province'!E:E,MATCH(municipalities!$A110,'municipalities per province'!$B:$B,0),0)</f>
        <v>PV27</v>
      </c>
      <c r="I110" s="7" t="str" cm="1">
        <f t="array" ref="I110">INDEX('municipalities per province'!G:G,MATCH(municipalities!$A110,'municipalities per province'!$B:$B,0),0)</f>
        <v>Noord-HollandZuid</v>
      </c>
      <c r="J110" s="7" t="str" cm="1">
        <f t="array" ref="J110">INDEX('municipalities per province'!H:H,MATCH(municipalities!$A110,'municipalities per province'!$B:$B,0),0)</f>
        <v>ES16</v>
      </c>
      <c r="K110" s="7" cm="1">
        <f t="array" ref="K110">INDEX(coordinates!C:C,MATCH(municipalities!$A110,coordinates!$A:$A,0),0)</f>
        <v>4.5765307156781319</v>
      </c>
      <c r="L110" s="7" cm="1">
        <f t="array" ref="L110">INDEX(coordinates!D:D,MATCH(municipalities!$A110,coordinates!$A:$A,0),0)</f>
        <v>52.495807222973269</v>
      </c>
      <c r="M110" s="8">
        <v>1</v>
      </c>
      <c r="N110" s="9">
        <v>42711</v>
      </c>
      <c r="O110" s="9">
        <v>21467</v>
      </c>
      <c r="P110" s="9">
        <v>21244</v>
      </c>
      <c r="Q110" s="9">
        <v>1</v>
      </c>
      <c r="R110" s="10">
        <v>2794</v>
      </c>
      <c r="S110" s="11">
        <v>54</v>
      </c>
      <c r="T110" s="11">
        <v>46</v>
      </c>
      <c r="U110" s="12">
        <f t="shared" si="8"/>
        <v>32</v>
      </c>
      <c r="V110" s="12">
        <f t="shared" si="9"/>
        <v>6.4</v>
      </c>
      <c r="W110" s="12">
        <f t="shared" si="10"/>
        <v>9.6</v>
      </c>
      <c r="X110" s="12">
        <f t="shared" si="11"/>
        <v>12</v>
      </c>
      <c r="Y110" s="12">
        <f t="shared" si="12"/>
        <v>77.5</v>
      </c>
      <c r="Z110" s="12" cm="1">
        <f t="array" ref="Z110">INDEX(municipality_wind_potential!$X:$X,MATCH(municipalities!$F110,municipality_wind_potential!$E:$E,0),0)</f>
        <v>2</v>
      </c>
      <c r="AA110" s="12">
        <f t="shared" si="13"/>
        <v>11.2</v>
      </c>
      <c r="AB110" s="12" cm="1">
        <f t="array" ref="AB110">INDEX(municipality_wind_potential!$Y:$Y,MATCH(municipalities!$F110,municipality_wind_potential!$E:$E,0),0) / 3.6</f>
        <v>39.200000000000003</v>
      </c>
      <c r="AC110" s="12">
        <f t="shared" si="14"/>
        <v>57.914566834653236</v>
      </c>
      <c r="AD110" s="12" cm="1">
        <f t="array" ref="AD110">INDEX(municipality_pv_potential!$G:$G,MATCH(municipalities!$A110,municipality_pv_potential!$E:$E,0),0)/3.6*$AH$4</f>
        <v>53.628888888888895</v>
      </c>
      <c r="AE110" s="12">
        <f t="shared" si="15"/>
        <v>10.622150227981761</v>
      </c>
      <c r="AF110" s="12" cm="1">
        <f t="array" ref="AF110">INDEX(municipality_pv_potential!$H:$H,MATCH(municipalities!$A110,municipality_pv_potential!$E:$E,0),0)/3.6</f>
        <v>9.8361111111111104</v>
      </c>
      <c r="AG110" s="12"/>
      <c r="AJ110">
        <v>32</v>
      </c>
      <c r="AK110">
        <v>6.4</v>
      </c>
      <c r="AL110">
        <v>9.6</v>
      </c>
      <c r="AM110">
        <v>12</v>
      </c>
      <c r="AN110">
        <v>77.5</v>
      </c>
    </row>
    <row r="111" spans="1:40" x14ac:dyDescent="0.25">
      <c r="A111" s="5" t="s">
        <v>347</v>
      </c>
      <c r="B111" s="6" t="s">
        <v>348</v>
      </c>
      <c r="C111" s="7" t="s">
        <v>349</v>
      </c>
      <c r="D111" s="7" t="s">
        <v>349</v>
      </c>
      <c r="E111" s="7" t="s">
        <v>22</v>
      </c>
      <c r="F111" s="7" t="s">
        <v>347</v>
      </c>
      <c r="G111" s="7" t="str" cm="1">
        <f t="array" ref="G111">INDEX('municipalities per province'!F:F,MATCH(municipalities!A111,'municipalities per province'!B:B,0),0)</f>
        <v>Noord-Holland</v>
      </c>
      <c r="H111" s="7" t="str" cm="1">
        <f t="array" ref="H111">INDEX('municipalities per province'!E:E,MATCH(municipalities!$A111,'municipalities per province'!$B:$B,0),0)</f>
        <v>PV27</v>
      </c>
      <c r="I111" s="7" t="str" cm="1">
        <f t="array" ref="I111">INDEX('municipalities per province'!G:G,MATCH(municipalities!$A111,'municipalities per province'!$B:$B,0),0)</f>
        <v>Noord-HollandZuid</v>
      </c>
      <c r="J111" s="7" t="str" cm="1">
        <f t="array" ref="J111">INDEX('municipalities per province'!H:H,MATCH(municipalities!$A111,'municipalities per province'!$B:$B,0),0)</f>
        <v>ES16</v>
      </c>
      <c r="K111" s="7" cm="1">
        <f t="array" ref="K111">INDEX(coordinates!C:C,MATCH(municipalities!$A111,coordinates!$A:$A,0),0)</f>
        <v>5.3104953543135238</v>
      </c>
      <c r="L111" s="7" cm="1">
        <f t="array" ref="L111">INDEX(coordinates!D:D,MATCH(municipalities!$A111,coordinates!$A:$A,0),0)</f>
        <v>52.291744958308421</v>
      </c>
      <c r="M111" s="8">
        <v>1</v>
      </c>
      <c r="N111" s="9">
        <v>12490</v>
      </c>
      <c r="O111" s="9">
        <v>6092</v>
      </c>
      <c r="P111" s="9">
        <v>6398</v>
      </c>
      <c r="Q111" s="9">
        <v>3</v>
      </c>
      <c r="R111" s="10">
        <v>1090</v>
      </c>
      <c r="S111" s="11">
        <v>69</v>
      </c>
      <c r="T111" s="11">
        <v>30</v>
      </c>
      <c r="U111" s="12">
        <f t="shared" si="8"/>
        <v>56.2</v>
      </c>
      <c r="V111" s="12">
        <f t="shared" si="9"/>
        <v>4.5</v>
      </c>
      <c r="W111" s="12">
        <f t="shared" si="10"/>
        <v>6.4</v>
      </c>
      <c r="X111" s="12">
        <f t="shared" si="11"/>
        <v>8</v>
      </c>
      <c r="Y111" s="12">
        <f t="shared" si="12"/>
        <v>323.7</v>
      </c>
      <c r="Z111" s="12" cm="1">
        <f t="array" ref="Z111">INDEX(municipality_wind_potential!$X:$X,MATCH(municipalities!$F111,municipality_wind_potential!$E:$E,0),0)</f>
        <v>5</v>
      </c>
      <c r="AA111" s="12">
        <f t="shared" si="13"/>
        <v>28</v>
      </c>
      <c r="AB111" s="12" cm="1">
        <f t="array" ref="AB111">INDEX(municipality_wind_potential!$Y:$Y,MATCH(municipalities!$F111,municipality_wind_potential!$E:$E,0),0) / 3.6</f>
        <v>66.780555555555551</v>
      </c>
      <c r="AC111" s="12">
        <f t="shared" si="14"/>
        <v>14.86441084713223</v>
      </c>
      <c r="AD111" s="12" cm="1">
        <f t="array" ref="AD111">INDEX(municipality_pv_potential!$G:$G,MATCH(municipalities!$A111,municipality_pv_potential!$E:$E,0),0)/3.6*$AH$4</f>
        <v>13.764444444444445</v>
      </c>
      <c r="AE111" s="12">
        <f t="shared" si="15"/>
        <v>11.858051355891529</v>
      </c>
      <c r="AF111" s="12" cm="1">
        <f t="array" ref="AF111">INDEX(municipality_pv_potential!$H:$H,MATCH(municipalities!$A111,municipality_pv_potential!$E:$E,0),0)/3.6</f>
        <v>10.980555555555556</v>
      </c>
      <c r="AG111" s="12"/>
      <c r="AJ111">
        <v>56.2</v>
      </c>
      <c r="AK111">
        <v>4.5</v>
      </c>
      <c r="AL111">
        <v>6.4</v>
      </c>
      <c r="AM111">
        <v>8</v>
      </c>
      <c r="AN111">
        <v>323.7</v>
      </c>
    </row>
    <row r="112" spans="1:40" x14ac:dyDescent="0.25">
      <c r="A112" s="5" t="s">
        <v>350</v>
      </c>
      <c r="B112" s="6" t="s">
        <v>351</v>
      </c>
      <c r="C112" s="7" t="s">
        <v>352</v>
      </c>
      <c r="D112" s="7" t="s">
        <v>352</v>
      </c>
      <c r="E112" s="7" t="s">
        <v>22</v>
      </c>
      <c r="F112" s="7" t="s">
        <v>350</v>
      </c>
      <c r="G112" s="7" t="str" cm="1">
        <f t="array" ref="G112">INDEX('municipalities per province'!F:F,MATCH(municipalities!A112,'municipalities per province'!B:B,0),0)</f>
        <v>Noord-Holland</v>
      </c>
      <c r="H112" s="7" t="str" cm="1">
        <f t="array" ref="H112">INDEX('municipalities per province'!E:E,MATCH(municipalities!$A112,'municipalities per province'!$B:$B,0),0)</f>
        <v>PV27</v>
      </c>
      <c r="I112" s="7" t="str" cm="1">
        <f t="array" ref="I112">INDEX('municipalities per province'!G:G,MATCH(municipalities!$A112,'municipalities per province'!$B:$B,0),0)</f>
        <v>Noord-HollandZuid</v>
      </c>
      <c r="J112" s="7" t="str" cm="1">
        <f t="array" ref="J112">INDEX('municipalities per province'!H:H,MATCH(municipalities!$A112,'municipalities per province'!$B:$B,0),0)</f>
        <v>ES16</v>
      </c>
      <c r="K112" s="7" cm="1">
        <f t="array" ref="K112">INDEX(coordinates!C:C,MATCH(municipalities!$A112,coordinates!$A:$A,0),0)</f>
        <v>4.5440878513535399</v>
      </c>
      <c r="L112" s="7" cm="1">
        <f t="array" ref="L112">INDEX(coordinates!D:D,MATCH(municipalities!$A112,coordinates!$A:$A,0),0)</f>
        <v>52.420586244598383</v>
      </c>
      <c r="M112" s="8">
        <v>1</v>
      </c>
      <c r="N112" s="9">
        <v>23922</v>
      </c>
      <c r="O112" s="9">
        <v>11534</v>
      </c>
      <c r="P112" s="9">
        <v>12388</v>
      </c>
      <c r="Q112" s="9">
        <v>3</v>
      </c>
      <c r="R112" s="10">
        <v>1102</v>
      </c>
      <c r="S112" s="11">
        <v>71</v>
      </c>
      <c r="T112" s="11">
        <v>29</v>
      </c>
      <c r="U112" s="12">
        <f t="shared" si="8"/>
        <v>57.2</v>
      </c>
      <c r="V112" s="12">
        <f t="shared" si="9"/>
        <v>4.3</v>
      </c>
      <c r="W112" s="12">
        <f t="shared" si="10"/>
        <v>6.1</v>
      </c>
      <c r="X112" s="12">
        <f t="shared" si="11"/>
        <v>7.5</v>
      </c>
      <c r="Y112" s="12">
        <f t="shared" si="12"/>
        <v>513.4</v>
      </c>
      <c r="Z112" s="12" cm="1">
        <f t="array" ref="Z112">INDEX(municipality_wind_potential!$X:$X,MATCH(municipalities!$F112,municipality_wind_potential!$E:$E,0),0)</f>
        <v>22</v>
      </c>
      <c r="AA112" s="12">
        <f t="shared" si="13"/>
        <v>123.19999999999999</v>
      </c>
      <c r="AB112" s="12" cm="1">
        <f t="array" ref="AB112">INDEX(municipality_wind_potential!$Y:$Y,MATCH(municipalities!$F112,municipality_wind_potential!$E:$E,0),0) / 3.6</f>
        <v>431.2</v>
      </c>
      <c r="AC112" s="12">
        <f t="shared" si="14"/>
        <v>29.202063834893206</v>
      </c>
      <c r="AD112" s="12" cm="1">
        <f t="array" ref="AD112">INDEX(municipality_pv_potential!$G:$G,MATCH(municipalities!$A112,municipality_pv_potential!$E:$E,0),0)/3.6*$AH$4</f>
        <v>27.04111111111111</v>
      </c>
      <c r="AE112" s="12">
        <f t="shared" si="15"/>
        <v>15.736741060715143</v>
      </c>
      <c r="AF112" s="12" cm="1">
        <f t="array" ref="AF112">INDEX(municipality_pv_potential!$H:$H,MATCH(municipalities!$A112,municipality_pv_potential!$E:$E,0),0)/3.6</f>
        <v>14.572222222222223</v>
      </c>
      <c r="AG112" s="12"/>
      <c r="AJ112">
        <v>57.2</v>
      </c>
      <c r="AK112">
        <v>4.3</v>
      </c>
      <c r="AL112">
        <v>6.1</v>
      </c>
      <c r="AM112">
        <v>7.5</v>
      </c>
      <c r="AN112">
        <v>513.4</v>
      </c>
    </row>
    <row r="113" spans="1:40" x14ac:dyDescent="0.25">
      <c r="A113" s="5" t="s">
        <v>353</v>
      </c>
      <c r="B113" s="6" t="s">
        <v>354</v>
      </c>
      <c r="C113" s="7" t="s">
        <v>355</v>
      </c>
      <c r="D113" s="7" t="s">
        <v>355</v>
      </c>
      <c r="E113" s="7" t="s">
        <v>22</v>
      </c>
      <c r="F113" s="7" t="s">
        <v>353</v>
      </c>
      <c r="G113" s="7" t="str" cm="1">
        <f t="array" ref="G113">INDEX('municipalities per province'!F:F,MATCH(municipalities!A113,'municipalities per province'!B:B,0),0)</f>
        <v>Noord-Holland</v>
      </c>
      <c r="H113" s="7" t="str" cm="1">
        <f t="array" ref="H113">INDEX('municipalities per province'!E:E,MATCH(municipalities!$A113,'municipalities per province'!$B:$B,0),0)</f>
        <v>PV27</v>
      </c>
      <c r="I113" s="7" t="str" cm="1">
        <f t="array" ref="I113">INDEX('municipalities per province'!G:G,MATCH(municipalities!$A113,'municipalities per province'!$B:$B,0),0)</f>
        <v>Noord-HollandNoord</v>
      </c>
      <c r="J113" s="7" t="str" cm="1">
        <f t="array" ref="J113">INDEX('municipalities per province'!H:H,MATCH(municipalities!$A113,'municipalities per province'!$B:$B,0),0)</f>
        <v>ES15</v>
      </c>
      <c r="K113" s="7" cm="1">
        <f t="array" ref="K113">INDEX(coordinates!C:C,MATCH(municipalities!$A113,coordinates!$A:$A,0),0)</f>
        <v>4.5965621055849262</v>
      </c>
      <c r="L113" s="7" cm="1">
        <f t="array" ref="L113">INDEX(coordinates!D:D,MATCH(municipalities!$A113,coordinates!$A:$A,0),0)</f>
        <v>52.553620875895021</v>
      </c>
      <c r="M113" s="8">
        <v>1</v>
      </c>
      <c r="N113" s="9">
        <v>36345</v>
      </c>
      <c r="O113" s="9">
        <v>17903</v>
      </c>
      <c r="P113" s="9">
        <v>18442</v>
      </c>
      <c r="Q113" s="9">
        <v>3</v>
      </c>
      <c r="R113" s="10">
        <v>1351</v>
      </c>
      <c r="S113" s="11">
        <v>75</v>
      </c>
      <c r="T113" s="11">
        <v>25</v>
      </c>
      <c r="U113" s="12">
        <f t="shared" si="8"/>
        <v>39.6</v>
      </c>
      <c r="V113" s="12">
        <f t="shared" si="9"/>
        <v>3.2</v>
      </c>
      <c r="W113" s="12">
        <f t="shared" si="10"/>
        <v>5.0999999999999996</v>
      </c>
      <c r="X113" s="12">
        <f t="shared" si="11"/>
        <v>6.6</v>
      </c>
      <c r="Y113" s="12">
        <f t="shared" si="12"/>
        <v>280.7</v>
      </c>
      <c r="Z113" s="12" cm="1">
        <f t="array" ref="Z113">INDEX(municipality_wind_potential!$X:$X,MATCH(municipalities!$F113,municipality_wind_potential!$E:$E,0),0)</f>
        <v>31</v>
      </c>
      <c r="AA113" s="12">
        <f t="shared" si="13"/>
        <v>173.6</v>
      </c>
      <c r="AB113" s="12" cm="1">
        <f t="array" ref="AB113">INDEX(municipality_wind_potential!$Y:$Y,MATCH(municipalities!$F113,municipality_wind_potential!$E:$E,0),0) / 3.6</f>
        <v>607.6</v>
      </c>
      <c r="AC113" s="12">
        <f t="shared" si="14"/>
        <v>48.130549556035518</v>
      </c>
      <c r="AD113" s="12" cm="1">
        <f t="array" ref="AD113">INDEX(municipality_pv_potential!$G:$G,MATCH(municipalities!$A113,municipality_pv_potential!$E:$E,0),0)/3.6*$AH$4</f>
        <v>44.568888888888893</v>
      </c>
      <c r="AE113" s="12">
        <f t="shared" si="15"/>
        <v>92.833573314134867</v>
      </c>
      <c r="AF113" s="12" cm="1">
        <f t="array" ref="AF113">INDEX(municipality_pv_potential!$H:$H,MATCH(municipalities!$A113,municipality_pv_potential!$E:$E,0),0)/3.6</f>
        <v>85.963888888888889</v>
      </c>
      <c r="AG113" s="12"/>
      <c r="AJ113">
        <v>39.6</v>
      </c>
      <c r="AK113">
        <v>3.2</v>
      </c>
      <c r="AL113">
        <v>5.0999999999999996</v>
      </c>
      <c r="AM113">
        <v>6.6</v>
      </c>
      <c r="AN113">
        <v>280.7</v>
      </c>
    </row>
    <row r="114" spans="1:40" x14ac:dyDescent="0.25">
      <c r="A114" s="5" t="s">
        <v>356</v>
      </c>
      <c r="B114" s="6" t="s">
        <v>357</v>
      </c>
      <c r="C114" s="7" t="s">
        <v>358</v>
      </c>
      <c r="D114" s="7" t="s">
        <v>358</v>
      </c>
      <c r="E114" s="7" t="s">
        <v>22</v>
      </c>
      <c r="F114" s="7" t="s">
        <v>356</v>
      </c>
      <c r="G114" s="7" t="str" cm="1">
        <f t="array" ref="G114">INDEX('municipalities per province'!F:F,MATCH(municipalities!A114,'municipalities per province'!B:B,0),0)</f>
        <v>Noord-Holland</v>
      </c>
      <c r="H114" s="7" t="str" cm="1">
        <f t="array" ref="H114">INDEX('municipalities per province'!E:E,MATCH(municipalities!$A114,'municipalities per province'!$B:$B,0),0)</f>
        <v>PV27</v>
      </c>
      <c r="I114" s="7" t="str" cm="1">
        <f t="array" ref="I114">INDEX('municipalities per province'!G:G,MATCH(municipalities!$A114,'municipalities per province'!$B:$B,0),0)</f>
        <v>Noord-HollandZuid</v>
      </c>
      <c r="J114" s="7" t="str" cm="1">
        <f t="array" ref="J114">INDEX('municipalities per province'!H:H,MATCH(municipalities!$A114,'municipalities per province'!$B:$B,0),0)</f>
        <v>ES16</v>
      </c>
      <c r="K114" s="7" cm="1">
        <f t="array" ref="K114">INDEX(coordinates!C:C,MATCH(municipalities!$A114,coordinates!$A:$A,0),0)</f>
        <v>5.0313611049519036</v>
      </c>
      <c r="L114" s="7" cm="1">
        <f t="array" ref="L114">INDEX(coordinates!D:D,MATCH(municipalities!$A114,coordinates!$A:$A,0),0)</f>
        <v>52.347253063344269</v>
      </c>
      <c r="M114" s="8">
        <v>1</v>
      </c>
      <c r="N114" s="9">
        <v>32785</v>
      </c>
      <c r="O114" s="9">
        <v>16021</v>
      </c>
      <c r="P114" s="9">
        <v>16764</v>
      </c>
      <c r="Q114" s="9">
        <v>1</v>
      </c>
      <c r="R114" s="10">
        <v>2877</v>
      </c>
      <c r="S114" s="11">
        <v>39</v>
      </c>
      <c r="T114" s="11">
        <v>61</v>
      </c>
      <c r="U114" s="12">
        <f t="shared" si="8"/>
        <v>32.5</v>
      </c>
      <c r="V114" s="12">
        <f t="shared" si="9"/>
        <v>6.2</v>
      </c>
      <c r="W114" s="12">
        <f t="shared" si="10"/>
        <v>8.6999999999999993</v>
      </c>
      <c r="X114" s="12">
        <f t="shared" si="11"/>
        <v>10.9</v>
      </c>
      <c r="Y114" s="12">
        <f t="shared" si="12"/>
        <v>34.200000000000003</v>
      </c>
      <c r="Z114" s="12" cm="1">
        <f t="array" ref="Z114">INDEX(municipality_wind_potential!$X:$X,MATCH(municipalities!$F114,municipality_wind_potential!$E:$E,0),0)</f>
        <v>1</v>
      </c>
      <c r="AA114" s="12">
        <f t="shared" si="13"/>
        <v>5.6</v>
      </c>
      <c r="AB114" s="12" cm="1">
        <f t="array" ref="AB114">INDEX(municipality_wind_potential!$Y:$Y,MATCH(municipalities!$F114,municipality_wind_potential!$E:$E,0),0) / 3.6</f>
        <v>17.752777777777776</v>
      </c>
      <c r="AC114" s="12">
        <f t="shared" si="14"/>
        <v>25.328173746100312</v>
      </c>
      <c r="AD114" s="12" cm="1">
        <f t="array" ref="AD114">INDEX(municipality_pv_potential!$G:$G,MATCH(municipalities!$A114,municipality_pv_potential!$E:$E,0),0)/3.6*$AH$4</f>
        <v>23.453888888888891</v>
      </c>
      <c r="AE114" s="12">
        <f t="shared" si="15"/>
        <v>4.1066714662826973</v>
      </c>
      <c r="AF114" s="12" cm="1">
        <f t="array" ref="AF114">INDEX(municipality_pv_potential!$H:$H,MATCH(municipalities!$A114,municipality_pv_potential!$E:$E,0),0)/3.6</f>
        <v>3.8027777777777776</v>
      </c>
      <c r="AG114" s="12"/>
      <c r="AJ114">
        <v>32.5</v>
      </c>
      <c r="AK114">
        <v>6.2</v>
      </c>
      <c r="AL114">
        <v>8.6999999999999993</v>
      </c>
      <c r="AM114">
        <v>10.9</v>
      </c>
      <c r="AN114">
        <v>34.200000000000003</v>
      </c>
    </row>
    <row r="115" spans="1:40" x14ac:dyDescent="0.25">
      <c r="A115" s="5" t="s">
        <v>359</v>
      </c>
      <c r="B115" s="6" t="s">
        <v>360</v>
      </c>
      <c r="C115" s="7" t="s">
        <v>361</v>
      </c>
      <c r="D115" s="7" t="s">
        <v>361</v>
      </c>
      <c r="E115" s="7" t="s">
        <v>22</v>
      </c>
      <c r="F115" s="7" t="s">
        <v>359</v>
      </c>
      <c r="G115" s="7" t="str" cm="1">
        <f t="array" ref="G115">INDEX('municipalities per province'!F:F,MATCH(municipalities!A115,'municipalities per province'!B:B,0),0)</f>
        <v>Noord-Holland</v>
      </c>
      <c r="H115" s="7" t="str" cm="1">
        <f t="array" ref="H115">INDEX('municipalities per province'!E:E,MATCH(municipalities!$A115,'municipalities per province'!$B:$B,0),0)</f>
        <v>PV27</v>
      </c>
      <c r="I115" s="7" t="str" cm="1">
        <f t="array" ref="I115">INDEX('municipalities per province'!G:G,MATCH(municipalities!$A115,'municipalities per province'!$B:$B,0),0)</f>
        <v>Noord-HollandZuid</v>
      </c>
      <c r="J115" s="7" t="str" cm="1">
        <f t="array" ref="J115">INDEX('municipalities per province'!H:H,MATCH(municipalities!$A115,'municipalities per province'!$B:$B,0),0)</f>
        <v>ES16</v>
      </c>
      <c r="K115" s="7" cm="1">
        <f t="array" ref="K115">INDEX(coordinates!C:C,MATCH(municipalities!$A115,coordinates!$A:$A,0),0)</f>
        <v>5.0620346143546042</v>
      </c>
      <c r="L115" s="7" cm="1">
        <f t="array" ref="L115">INDEX(coordinates!D:D,MATCH(municipalities!$A115,coordinates!$A:$A,0),0)</f>
        <v>52.550054977560933</v>
      </c>
      <c r="M115" s="8">
        <v>1</v>
      </c>
      <c r="N115" s="9">
        <v>36760</v>
      </c>
      <c r="O115" s="9">
        <v>18378</v>
      </c>
      <c r="P115" s="9">
        <v>18382</v>
      </c>
      <c r="Q115" s="9">
        <v>3</v>
      </c>
      <c r="R115" s="10">
        <v>1321</v>
      </c>
      <c r="S115" s="11">
        <v>77</v>
      </c>
      <c r="T115" s="11">
        <v>23</v>
      </c>
      <c r="U115" s="12">
        <f t="shared" si="8"/>
        <v>38.200000000000003</v>
      </c>
      <c r="V115" s="12">
        <f t="shared" si="9"/>
        <v>3.4</v>
      </c>
      <c r="W115" s="12">
        <f t="shared" si="10"/>
        <v>5.0999999999999996</v>
      </c>
      <c r="X115" s="12">
        <f t="shared" si="11"/>
        <v>6.9</v>
      </c>
      <c r="Y115" s="12">
        <f t="shared" si="12"/>
        <v>278.3</v>
      </c>
      <c r="Z115" s="12" cm="1">
        <f t="array" ref="Z115">INDEX(municipality_wind_potential!$X:$X,MATCH(municipalities!$F115,municipality_wind_potential!$E:$E,0),0)</f>
        <v>33</v>
      </c>
      <c r="AA115" s="12">
        <f t="shared" si="13"/>
        <v>184.79999999999998</v>
      </c>
      <c r="AB115" s="12" cm="1">
        <f t="array" ref="AB115">INDEX(municipality_wind_potential!$Y:$Y,MATCH(municipalities!$F115,municipality_wind_potential!$E:$E,0),0) / 3.6</f>
        <v>636.99999999999989</v>
      </c>
      <c r="AC115" s="12">
        <f t="shared" si="14"/>
        <v>52.383009359251261</v>
      </c>
      <c r="AD115" s="12" cm="1">
        <f t="array" ref="AD115">INDEX(municipality_pv_potential!$G:$G,MATCH(municipalities!$A115,municipality_pv_potential!$E:$E,0),0)/3.6*$AH$4</f>
        <v>48.506666666666668</v>
      </c>
      <c r="AE115" s="12">
        <f t="shared" si="15"/>
        <v>202.25581953443725</v>
      </c>
      <c r="AF115" s="12" cm="1">
        <f t="array" ref="AF115">INDEX(municipality_pv_potential!$H:$H,MATCH(municipalities!$A115,municipality_pv_potential!$E:$E,0),0)/3.6</f>
        <v>187.28888888888889</v>
      </c>
      <c r="AG115" s="12"/>
      <c r="AJ115">
        <v>38.200000000000003</v>
      </c>
      <c r="AK115">
        <v>3.4</v>
      </c>
      <c r="AL115">
        <v>5.0999999999999996</v>
      </c>
      <c r="AM115">
        <v>6.9</v>
      </c>
      <c r="AN115">
        <v>278.3</v>
      </c>
    </row>
    <row r="116" spans="1:40" x14ac:dyDescent="0.25">
      <c r="A116" s="5" t="s">
        <v>362</v>
      </c>
      <c r="B116" s="6" t="s">
        <v>363</v>
      </c>
      <c r="C116" s="7" t="s">
        <v>364</v>
      </c>
      <c r="D116" s="7" t="s">
        <v>364</v>
      </c>
      <c r="E116" s="7" t="s">
        <v>22</v>
      </c>
      <c r="F116" s="7" t="s">
        <v>362</v>
      </c>
      <c r="G116" s="7" t="str" cm="1">
        <f t="array" ref="G116">INDEX('municipalities per province'!F:F,MATCH(municipalities!A116,'municipalities per province'!B:B,0),0)</f>
        <v>Noord-Holland</v>
      </c>
      <c r="H116" s="7" t="str" cm="1">
        <f t="array" ref="H116">INDEX('municipalities per province'!E:E,MATCH(municipalities!$A116,'municipalities per province'!$B:$B,0),0)</f>
        <v>PV27</v>
      </c>
      <c r="I116" s="7" t="str" cm="1">
        <f t="array" ref="I116">INDEX('municipalities per province'!G:G,MATCH(municipalities!$A116,'municipalities per province'!$B:$B,0),0)</f>
        <v>Noord-HollandNoord</v>
      </c>
      <c r="J116" s="7" t="str" cm="1">
        <f t="array" ref="J116">INDEX('municipalities per province'!H:H,MATCH(municipalities!$A116,'municipalities per province'!$B:$B,0),0)</f>
        <v>ES15</v>
      </c>
      <c r="K116" s="7" cm="1">
        <f t="array" ref="K116">INDEX(coordinates!C:C,MATCH(municipalities!$A116,coordinates!$A:$A,0),0)</f>
        <v>5.3073797399309157</v>
      </c>
      <c r="L116" s="7" cm="1">
        <f t="array" ref="L116">INDEX(coordinates!D:D,MATCH(municipalities!$A116,coordinates!$A:$A,0),0)</f>
        <v>52.759992452889918</v>
      </c>
      <c r="M116" s="8">
        <v>1</v>
      </c>
      <c r="N116" s="9">
        <v>18885</v>
      </c>
      <c r="O116" s="9">
        <v>9458</v>
      </c>
      <c r="P116" s="9">
        <v>9427</v>
      </c>
      <c r="Q116" s="9">
        <v>3</v>
      </c>
      <c r="R116" s="10">
        <v>1399</v>
      </c>
      <c r="S116" s="11">
        <v>61</v>
      </c>
      <c r="T116" s="11">
        <v>39</v>
      </c>
      <c r="U116" s="12">
        <f t="shared" si="8"/>
        <v>33</v>
      </c>
      <c r="V116" s="12">
        <f t="shared" si="9"/>
        <v>5.7</v>
      </c>
      <c r="W116" s="12">
        <f t="shared" si="10"/>
        <v>9.3000000000000007</v>
      </c>
      <c r="X116" s="12">
        <f t="shared" si="11"/>
        <v>12.5</v>
      </c>
      <c r="Y116" s="12">
        <f t="shared" si="12"/>
        <v>95.4</v>
      </c>
      <c r="Z116" s="12" cm="1">
        <f t="array" ref="Z116">INDEX(municipality_wind_potential!$X:$X,MATCH(municipalities!$F116,municipality_wind_potential!$E:$E,0),0)</f>
        <v>4</v>
      </c>
      <c r="AA116" s="12">
        <f t="shared" si="13"/>
        <v>22.4</v>
      </c>
      <c r="AB116" s="12" cm="1">
        <f t="array" ref="AB116">INDEX(municipality_wind_potential!$Y:$Y,MATCH(municipalities!$F116,municipality_wind_potential!$E:$E,0),0) / 3.6</f>
        <v>68.599999999999994</v>
      </c>
      <c r="AC116" s="12">
        <f t="shared" si="14"/>
        <v>26.553275737940968</v>
      </c>
      <c r="AD116" s="12" cm="1">
        <f t="array" ref="AD116">INDEX(municipality_pv_potential!$G:$G,MATCH(municipalities!$A116,municipality_pv_potential!$E:$E,0),0)/3.6*$AH$4</f>
        <v>24.588333333333335</v>
      </c>
      <c r="AE116" s="12">
        <f t="shared" si="15"/>
        <v>25.230981521478281</v>
      </c>
      <c r="AF116" s="12" cm="1">
        <f t="array" ref="AF116">INDEX(municipality_pv_potential!$H:$H,MATCH(municipalities!$A116,municipality_pv_potential!$E:$E,0),0)/3.6</f>
        <v>23.363888888888887</v>
      </c>
      <c r="AG116" s="12"/>
      <c r="AJ116">
        <v>33</v>
      </c>
      <c r="AK116">
        <v>5.7</v>
      </c>
      <c r="AL116">
        <v>9.3000000000000007</v>
      </c>
      <c r="AM116">
        <v>12.5</v>
      </c>
      <c r="AN116">
        <v>95.4</v>
      </c>
    </row>
    <row r="117" spans="1:40" x14ac:dyDescent="0.25">
      <c r="A117" s="5" t="s">
        <v>365</v>
      </c>
      <c r="B117" s="6" t="s">
        <v>366</v>
      </c>
      <c r="C117" s="7" t="s">
        <v>367</v>
      </c>
      <c r="D117" s="7" t="s">
        <v>367</v>
      </c>
      <c r="E117" s="7" t="s">
        <v>22</v>
      </c>
      <c r="F117" s="7" t="s">
        <v>365</v>
      </c>
      <c r="G117" s="7" t="str" cm="1">
        <f t="array" ref="G117">INDEX('municipalities per province'!F:F,MATCH(municipalities!A117,'municipalities per province'!B:B,0),0)</f>
        <v>Noord-Holland</v>
      </c>
      <c r="H117" s="7" t="str" cm="1">
        <f t="array" ref="H117">INDEX('municipalities per province'!E:E,MATCH(municipalities!$A117,'municipalities per province'!$B:$B,0),0)</f>
        <v>PV27</v>
      </c>
      <c r="I117" s="7" t="str" cm="1">
        <f t="array" ref="I117">INDEX('municipalities per province'!G:G,MATCH(municipalities!$A117,'municipalities per province'!$B:$B,0),0)</f>
        <v>Noord-HollandZuid</v>
      </c>
      <c r="J117" s="7" t="str" cm="1">
        <f t="array" ref="J117">INDEX('municipalities per province'!H:H,MATCH(municipalities!$A117,'municipalities per province'!$B:$B,0),0)</f>
        <v>ES16</v>
      </c>
      <c r="K117" s="7" cm="1">
        <f t="array" ref="K117">INDEX(coordinates!C:C,MATCH(municipalities!$A117,coordinates!$A:$A,0),0)</f>
        <v>4.6475333343979299</v>
      </c>
      <c r="L117" s="7" cm="1">
        <f t="array" ref="L117">INDEX(coordinates!D:D,MATCH(municipalities!$A117,coordinates!$A:$A,0),0)</f>
        <v>52.38341604179228</v>
      </c>
      <c r="M117" s="8">
        <v>1</v>
      </c>
      <c r="N117" s="9">
        <v>165396</v>
      </c>
      <c r="O117" s="9">
        <v>81110</v>
      </c>
      <c r="P117" s="9">
        <v>84286</v>
      </c>
      <c r="Q117" s="9">
        <v>1</v>
      </c>
      <c r="R117" s="10">
        <v>3632</v>
      </c>
      <c r="S117" s="11">
        <v>52</v>
      </c>
      <c r="T117" s="11">
        <v>48</v>
      </c>
      <c r="U117" s="12">
        <f t="shared" si="8"/>
        <v>35.5</v>
      </c>
      <c r="V117" s="12">
        <f t="shared" si="9"/>
        <v>6.6</v>
      </c>
      <c r="W117" s="12">
        <f t="shared" si="10"/>
        <v>9.6</v>
      </c>
      <c r="X117" s="12">
        <f t="shared" si="11"/>
        <v>12.1</v>
      </c>
      <c r="Y117" s="12">
        <f t="shared" si="12"/>
        <v>107.8</v>
      </c>
      <c r="Z117" s="12" cm="1">
        <f t="array" ref="Z117">INDEX(municipality_wind_potential!$X:$X,MATCH(municipalities!$F117,municipality_wind_potential!$E:$E,0),0)</f>
        <v>2</v>
      </c>
      <c r="AA117" s="12">
        <f t="shared" si="13"/>
        <v>11.2</v>
      </c>
      <c r="AB117" s="12" cm="1">
        <f t="array" ref="AB117">INDEX(municipality_wind_potential!$Y:$Y,MATCH(municipalities!$F117,municipality_wind_potential!$E:$E,0),0) / 3.6</f>
        <v>26.627777777777776</v>
      </c>
      <c r="AC117" s="12">
        <f t="shared" si="14"/>
        <v>128.91288696904246</v>
      </c>
      <c r="AD117" s="12" cm="1">
        <f t="array" ref="AD117">INDEX(municipality_pv_potential!$G:$G,MATCH(municipalities!$A117,municipality_pv_potential!$E:$E,0),0)/3.6*$AH$4</f>
        <v>119.37333333333332</v>
      </c>
      <c r="AE117" s="12">
        <f t="shared" si="15"/>
        <v>13.291936645068395</v>
      </c>
      <c r="AF117" s="12" cm="1">
        <f t="array" ref="AF117">INDEX(municipality_pv_potential!$H:$H,MATCH(municipalities!$A117,municipality_pv_potential!$E:$E,0),0)/3.6</f>
        <v>12.308333333333334</v>
      </c>
      <c r="AG117" s="12"/>
      <c r="AJ117">
        <v>35.5</v>
      </c>
      <c r="AK117">
        <v>6.6</v>
      </c>
      <c r="AL117">
        <v>9.6</v>
      </c>
      <c r="AM117">
        <v>12.1</v>
      </c>
      <c r="AN117">
        <v>107.8</v>
      </c>
    </row>
    <row r="118" spans="1:40" x14ac:dyDescent="0.25">
      <c r="A118" s="5" t="s">
        <v>368</v>
      </c>
      <c r="B118" s="6" t="s">
        <v>369</v>
      </c>
      <c r="C118" s="7" t="s">
        <v>370</v>
      </c>
      <c r="D118" s="7" t="s">
        <v>370</v>
      </c>
      <c r="E118" s="7" t="s">
        <v>22</v>
      </c>
      <c r="F118" s="7" t="s">
        <v>368</v>
      </c>
      <c r="G118" s="7" t="str" cm="1">
        <f t="array" ref="G118">INDEX('municipalities per province'!F:F,MATCH(municipalities!A118,'municipalities per province'!B:B,0),0)</f>
        <v>Noord-Holland</v>
      </c>
      <c r="H118" s="7" t="str" cm="1">
        <f t="array" ref="H118">INDEX('municipalities per province'!E:E,MATCH(municipalities!$A118,'municipalities per province'!$B:$B,0),0)</f>
        <v>PV27</v>
      </c>
      <c r="I118" s="7" t="str" cm="1">
        <f t="array" ref="I118">INDEX('municipalities per province'!G:G,MATCH(municipalities!$A118,'municipalities per province'!$B:$B,0),0)</f>
        <v>Noord-HollandZuid</v>
      </c>
      <c r="J118" s="7" t="str" cm="1">
        <f t="array" ref="J118">INDEX('municipalities per province'!H:H,MATCH(municipalities!$A118,'municipalities per province'!$B:$B,0),0)</f>
        <v>ES16</v>
      </c>
      <c r="K118" s="7" cm="1">
        <f t="array" ref="K118">INDEX(coordinates!C:C,MATCH(municipalities!$A118,coordinates!$A:$A,0),0)</f>
        <v>4.6865257561310676</v>
      </c>
      <c r="L118" s="7" cm="1">
        <f t="array" ref="L118">INDEX(coordinates!D:D,MATCH(municipalities!$A118,coordinates!$A:$A,0),0)</f>
        <v>52.30812260494001</v>
      </c>
      <c r="M118" s="8">
        <v>1</v>
      </c>
      <c r="N118" s="9">
        <v>162300</v>
      </c>
      <c r="O118" s="9">
        <v>80689</v>
      </c>
      <c r="P118" s="9">
        <v>81611</v>
      </c>
      <c r="Q118" s="9">
        <v>2</v>
      </c>
      <c r="R118" s="10">
        <v>1535</v>
      </c>
      <c r="S118" s="11">
        <v>67</v>
      </c>
      <c r="T118" s="11">
        <v>33</v>
      </c>
      <c r="U118" s="12">
        <f t="shared" si="8"/>
        <v>37.4</v>
      </c>
      <c r="V118" s="12">
        <f t="shared" si="9"/>
        <v>4.3</v>
      </c>
      <c r="W118" s="12">
        <f t="shared" si="10"/>
        <v>6.4</v>
      </c>
      <c r="X118" s="12">
        <f t="shared" si="11"/>
        <v>8.3000000000000007</v>
      </c>
      <c r="Y118" s="12">
        <f t="shared" si="12"/>
        <v>180.1</v>
      </c>
      <c r="Z118" s="12" cm="1">
        <f t="array" ref="Z118">INDEX(municipality_wind_potential!$X:$X,MATCH(municipalities!$F118,municipality_wind_potential!$E:$E,0),0)</f>
        <v>10</v>
      </c>
      <c r="AA118" s="12">
        <f t="shared" si="13"/>
        <v>56</v>
      </c>
      <c r="AB118" s="12" cm="1">
        <f t="array" ref="AB118">INDEX(municipality_wind_potential!$Y:$Y,MATCH(municipalities!$F118,municipality_wind_potential!$E:$E,0),0) / 3.6</f>
        <v>177.51944444444445</v>
      </c>
      <c r="AC118" s="12">
        <f t="shared" si="14"/>
        <v>264.48044156467483</v>
      </c>
      <c r="AD118" s="12" cm="1">
        <f t="array" ref="AD118">INDEX(municipality_pv_potential!$G:$G,MATCH(municipalities!$A118,municipality_pv_potential!$E:$E,0),0)/3.6*$AH$4</f>
        <v>244.90888888888887</v>
      </c>
      <c r="AE118" s="12">
        <f t="shared" si="15"/>
        <v>459.49724022078232</v>
      </c>
      <c r="AF118" s="12" cm="1">
        <f t="array" ref="AF118">INDEX(municipality_pv_potential!$H:$H,MATCH(municipalities!$A118,municipality_pv_potential!$E:$E,0),0)/3.6</f>
        <v>425.49444444444441</v>
      </c>
      <c r="AG118" s="12"/>
      <c r="AJ118">
        <v>37.4</v>
      </c>
      <c r="AK118">
        <v>4.3</v>
      </c>
      <c r="AL118">
        <v>6.4</v>
      </c>
      <c r="AM118">
        <v>8.3000000000000007</v>
      </c>
      <c r="AN118">
        <v>180.1</v>
      </c>
    </row>
    <row r="119" spans="1:40" x14ac:dyDescent="0.25">
      <c r="A119" s="5" t="s">
        <v>371</v>
      </c>
      <c r="B119" s="6" t="s">
        <v>372</v>
      </c>
      <c r="C119" s="7" t="s">
        <v>373</v>
      </c>
      <c r="D119" s="7" t="s">
        <v>373</v>
      </c>
      <c r="E119" s="7" t="s">
        <v>22</v>
      </c>
      <c r="F119" s="7" t="s">
        <v>371</v>
      </c>
      <c r="G119" s="7" t="str" cm="1">
        <f t="array" ref="G119">INDEX('municipalities per province'!F:F,MATCH(municipalities!A119,'municipalities per province'!B:B,0),0)</f>
        <v>Noord-Holland</v>
      </c>
      <c r="H119" s="7" t="str" cm="1">
        <f t="array" ref="H119">INDEX('municipalities per province'!E:E,MATCH(municipalities!$A119,'municipalities per province'!$B:$B,0),0)</f>
        <v>PV27</v>
      </c>
      <c r="I119" s="7" t="str" cm="1">
        <f t="array" ref="I119">INDEX('municipalities per province'!G:G,MATCH(municipalities!$A119,'municipalities per province'!$B:$B,0),0)</f>
        <v>Noord-HollandZuid</v>
      </c>
      <c r="J119" s="7" t="str" cm="1">
        <f t="array" ref="J119">INDEX('municipalities per province'!H:H,MATCH(municipalities!$A119,'municipalities per province'!$B:$B,0),0)</f>
        <v>ES16</v>
      </c>
      <c r="K119" s="7" cm="1">
        <f t="array" ref="K119">INDEX(coordinates!C:C,MATCH(municipalities!$A119,coordinates!$A:$A,0),0)</f>
        <v>4.5855536975344542</v>
      </c>
      <c r="L119" s="7" cm="1">
        <f t="array" ref="L119">INDEX(coordinates!D:D,MATCH(municipalities!$A119,coordinates!$A:$A,0),0)</f>
        <v>52.516528576487069</v>
      </c>
      <c r="M119" s="8">
        <v>1</v>
      </c>
      <c r="N119" s="9">
        <v>39431</v>
      </c>
      <c r="O119" s="9">
        <v>19281</v>
      </c>
      <c r="P119" s="9">
        <v>20150</v>
      </c>
      <c r="Q119" s="9">
        <v>2</v>
      </c>
      <c r="R119" s="10">
        <v>2374</v>
      </c>
      <c r="S119" s="11">
        <v>60</v>
      </c>
      <c r="T119" s="11">
        <v>40</v>
      </c>
      <c r="U119" s="12">
        <f t="shared" si="8"/>
        <v>34.1</v>
      </c>
      <c r="V119" s="12">
        <f t="shared" si="9"/>
        <v>5.0999999999999996</v>
      </c>
      <c r="W119" s="12">
        <f t="shared" si="10"/>
        <v>7.5</v>
      </c>
      <c r="X119" s="12">
        <f t="shared" si="11"/>
        <v>9.6</v>
      </c>
      <c r="Y119" s="12">
        <f t="shared" si="12"/>
        <v>135.80000000000001</v>
      </c>
      <c r="Z119" s="12" cm="1">
        <f t="array" ref="Z119">INDEX(municipality_wind_potential!$X:$X,MATCH(municipalities!$F119,municipality_wind_potential!$E:$E,0),0)</f>
        <v>14</v>
      </c>
      <c r="AA119" s="12">
        <f t="shared" si="13"/>
        <v>78.399999999999991</v>
      </c>
      <c r="AB119" s="12" cm="1">
        <f t="array" ref="AB119">INDEX(municipality_wind_potential!$Y:$Y,MATCH(municipalities!$F119,municipality_wind_potential!$E:$E,0),0) / 3.6</f>
        <v>274.39999999999998</v>
      </c>
      <c r="AC119" s="12">
        <f t="shared" si="14"/>
        <v>42.868970482361405</v>
      </c>
      <c r="AD119" s="12" cm="1">
        <f t="array" ref="AD119">INDEX(municipality_pv_potential!$G:$G,MATCH(municipalities!$A119,municipality_pv_potential!$E:$E,0),0)/3.6*$AH$4</f>
        <v>39.696666666666665</v>
      </c>
      <c r="AE119" s="12">
        <f t="shared" si="15"/>
        <v>16.972642188624906</v>
      </c>
      <c r="AF119" s="12" cm="1">
        <f t="array" ref="AF119">INDEX(municipality_pv_potential!$H:$H,MATCH(municipalities!$A119,municipality_pv_potential!$E:$E,0),0)/3.6</f>
        <v>15.716666666666665</v>
      </c>
      <c r="AG119" s="12"/>
      <c r="AJ119">
        <v>34.1</v>
      </c>
      <c r="AK119">
        <v>5.0999999999999996</v>
      </c>
      <c r="AL119">
        <v>7.5</v>
      </c>
      <c r="AM119">
        <v>9.6</v>
      </c>
      <c r="AN119">
        <v>135.80000000000001</v>
      </c>
    </row>
    <row r="120" spans="1:40" x14ac:dyDescent="0.25">
      <c r="A120" s="5" t="s">
        <v>374</v>
      </c>
      <c r="B120" s="6" t="s">
        <v>375</v>
      </c>
      <c r="C120" s="7" t="s">
        <v>376</v>
      </c>
      <c r="D120" s="7" t="s">
        <v>376</v>
      </c>
      <c r="E120" s="7" t="s">
        <v>22</v>
      </c>
      <c r="F120" s="7" t="s">
        <v>374</v>
      </c>
      <c r="G120" s="7" t="str" cm="1">
        <f t="array" ref="G120">INDEX('municipalities per province'!F:F,MATCH(municipalities!A120,'municipalities per province'!B:B,0),0)</f>
        <v>Noord-Holland</v>
      </c>
      <c r="H120" s="7" t="str" cm="1">
        <f t="array" ref="H120">INDEX('municipalities per province'!E:E,MATCH(municipalities!$A120,'municipalities per province'!$B:$B,0),0)</f>
        <v>PV27</v>
      </c>
      <c r="I120" s="7" t="str" cm="1">
        <f t="array" ref="I120">INDEX('municipalities per province'!G:G,MATCH(municipalities!$A120,'municipalities per province'!$B:$B,0),0)</f>
        <v>Noord-HollandZuid</v>
      </c>
      <c r="J120" s="7" t="str" cm="1">
        <f t="array" ref="J120">INDEX('municipalities per province'!H:H,MATCH(municipalities!$A120,'municipalities per province'!$B:$B,0),0)</f>
        <v>ES16</v>
      </c>
      <c r="K120" s="7" cm="1">
        <f t="array" ref="K120">INDEX(coordinates!C:C,MATCH(municipalities!$A120,coordinates!$A:$A,0),0)</f>
        <v>4.6153622150401699</v>
      </c>
      <c r="L120" s="7" cm="1">
        <f t="array" ref="L120">INDEX(coordinates!D:D,MATCH(municipalities!$A120,coordinates!$A:$A,0),0)</f>
        <v>52.344781177802339</v>
      </c>
      <c r="M120" s="8">
        <v>1</v>
      </c>
      <c r="N120" s="9">
        <v>27778</v>
      </c>
      <c r="O120" s="9">
        <v>13143</v>
      </c>
      <c r="P120" s="9">
        <v>14635</v>
      </c>
      <c r="Q120" s="9">
        <v>2</v>
      </c>
      <c r="R120" s="10">
        <v>1786</v>
      </c>
      <c r="S120" s="11">
        <v>65</v>
      </c>
      <c r="T120" s="11">
        <v>34</v>
      </c>
      <c r="U120" s="12">
        <f t="shared" si="8"/>
        <v>46.2</v>
      </c>
      <c r="V120" s="12">
        <f t="shared" si="9"/>
        <v>3.8</v>
      </c>
      <c r="W120" s="12">
        <f t="shared" si="10"/>
        <v>5.7</v>
      </c>
      <c r="X120" s="12">
        <f t="shared" si="11"/>
        <v>7.4</v>
      </c>
      <c r="Y120" s="12">
        <f t="shared" si="12"/>
        <v>394.5</v>
      </c>
      <c r="Z120" s="12" cm="1">
        <f t="array" ref="Z120">INDEX(municipality_wind_potential!$X:$X,MATCH(municipalities!$F120,municipality_wind_potential!$E:$E,0),0)</f>
        <v>0</v>
      </c>
      <c r="AA120" s="12">
        <f t="shared" si="13"/>
        <v>0</v>
      </c>
      <c r="AB120" s="12" cm="1">
        <f t="array" ref="AB120">INDEX(municipality_wind_potential!$Y:$Y,MATCH(municipalities!$F120,municipality_wind_potential!$E:$E,0),0) / 3.6</f>
        <v>0</v>
      </c>
      <c r="AC120" s="12">
        <f t="shared" si="14"/>
        <v>30.574154067674588</v>
      </c>
      <c r="AD120" s="12" cm="1">
        <f t="array" ref="AD120">INDEX(municipality_pv_potential!$G:$G,MATCH(municipalities!$A120,municipality_pv_potential!$E:$E,0),0)/3.6*$AH$4</f>
        <v>28.311666666666667</v>
      </c>
      <c r="AE120" s="12">
        <f t="shared" si="15"/>
        <v>4.8266138708903279</v>
      </c>
      <c r="AF120" s="12" cm="1">
        <f t="array" ref="AF120">INDEX(municipality_pv_potential!$H:$H,MATCH(municipalities!$A120,municipality_pv_potential!$E:$E,0),0)/3.6</f>
        <v>4.4694444444444441</v>
      </c>
      <c r="AG120" s="12"/>
      <c r="AJ120">
        <v>46.2</v>
      </c>
      <c r="AK120">
        <v>3.8</v>
      </c>
      <c r="AL120">
        <v>5.7</v>
      </c>
      <c r="AM120">
        <v>7.4</v>
      </c>
      <c r="AN120">
        <v>394.5</v>
      </c>
    </row>
    <row r="121" spans="1:40" x14ac:dyDescent="0.25">
      <c r="A121" s="5" t="s">
        <v>377</v>
      </c>
      <c r="B121" s="6" t="s">
        <v>378</v>
      </c>
      <c r="C121" s="7" t="s">
        <v>379</v>
      </c>
      <c r="D121" s="7" t="s">
        <v>379</v>
      </c>
      <c r="E121" s="7" t="s">
        <v>22</v>
      </c>
      <c r="F121" s="7" t="s">
        <v>377</v>
      </c>
      <c r="G121" s="7" t="str" cm="1">
        <f t="array" ref="G121">INDEX('municipalities per province'!F:F,MATCH(municipalities!A121,'municipalities per province'!B:B,0),0)</f>
        <v>Noord-Holland</v>
      </c>
      <c r="H121" s="7" t="str" cm="1">
        <f t="array" ref="H121">INDEX('municipalities per province'!E:E,MATCH(municipalities!$A121,'municipalities per province'!$B:$B,0),0)</f>
        <v>PV27</v>
      </c>
      <c r="I121" s="7" t="str" cm="1">
        <f t="array" ref="I121">INDEX('municipalities per province'!G:G,MATCH(municipalities!$A121,'municipalities per province'!$B:$B,0),0)</f>
        <v>Noord-HollandNoord</v>
      </c>
      <c r="J121" s="7" t="str" cm="1">
        <f t="array" ref="J121">INDEX('municipalities per province'!H:H,MATCH(municipalities!$A121,'municipalities per province'!$B:$B,0),0)</f>
        <v>ES15</v>
      </c>
      <c r="K121" s="7" cm="1">
        <f t="array" ref="K121">INDEX(coordinates!C:C,MATCH(municipalities!$A121,coordinates!$A:$A,0),0)</f>
        <v>4.7085727057786162</v>
      </c>
      <c r="L121" s="7" cm="1">
        <f t="array" ref="L121">INDEX(coordinates!D:D,MATCH(municipalities!$A121,coordinates!$A:$A,0),0)</f>
        <v>52.599855061375379</v>
      </c>
      <c r="M121" s="8">
        <v>1</v>
      </c>
      <c r="N121" s="9">
        <v>24319</v>
      </c>
      <c r="O121" s="9">
        <v>12012</v>
      </c>
      <c r="P121" s="9">
        <v>12307</v>
      </c>
      <c r="Q121" s="9">
        <v>3</v>
      </c>
      <c r="R121" s="10">
        <v>1375</v>
      </c>
      <c r="S121" s="11">
        <v>73</v>
      </c>
      <c r="T121" s="11">
        <v>27</v>
      </c>
      <c r="U121" s="12">
        <f t="shared" si="8"/>
        <v>38.700000000000003</v>
      </c>
      <c r="V121" s="12">
        <f t="shared" si="9"/>
        <v>4.0999999999999996</v>
      </c>
      <c r="W121" s="12">
        <f t="shared" si="10"/>
        <v>7</v>
      </c>
      <c r="X121" s="12">
        <f t="shared" si="11"/>
        <v>8.9</v>
      </c>
      <c r="Y121" s="12">
        <f t="shared" si="12"/>
        <v>273.60000000000002</v>
      </c>
      <c r="Z121" s="12" cm="1">
        <f t="array" ref="Z121">INDEX(municipality_wind_potential!$X:$X,MATCH(municipalities!$F121,municipality_wind_potential!$E:$E,0),0)</f>
        <v>3</v>
      </c>
      <c r="AA121" s="12">
        <f t="shared" si="13"/>
        <v>16.799999999999997</v>
      </c>
      <c r="AB121" s="12" cm="1">
        <f t="array" ref="AB121">INDEX(municipality_wind_potential!$Y:$Y,MATCH(municipalities!$F121,municipality_wind_potential!$E:$E,0),0) / 3.6</f>
        <v>58.8</v>
      </c>
      <c r="AC121" s="12">
        <f t="shared" si="14"/>
        <v>30.578353731701466</v>
      </c>
      <c r="AD121" s="12" cm="1">
        <f t="array" ref="AD121">INDEX(municipality_pv_potential!$G:$G,MATCH(municipalities!$A121,municipality_pv_potential!$E:$E,0),0)/3.6*$AH$4</f>
        <v>28.315555555555559</v>
      </c>
      <c r="AE121" s="12">
        <f t="shared" si="15"/>
        <v>40.805735541156707</v>
      </c>
      <c r="AF121" s="12" cm="1">
        <f t="array" ref="AF121">INDEX(municipality_pv_potential!$H:$H,MATCH(municipalities!$A121,municipality_pv_potential!$E:$E,0),0)/3.6</f>
        <v>37.786111111111111</v>
      </c>
      <c r="AG121" s="12"/>
      <c r="AJ121">
        <v>38.700000000000003</v>
      </c>
      <c r="AK121">
        <v>4.0999999999999996</v>
      </c>
      <c r="AL121">
        <v>7</v>
      </c>
      <c r="AM121">
        <v>8.9</v>
      </c>
      <c r="AN121">
        <v>273.60000000000002</v>
      </c>
    </row>
    <row r="122" spans="1:40" x14ac:dyDescent="0.25">
      <c r="A122" s="5" t="s">
        <v>380</v>
      </c>
      <c r="B122" s="6" t="s">
        <v>381</v>
      </c>
      <c r="C122" s="7" t="s">
        <v>382</v>
      </c>
      <c r="D122" s="7" t="s">
        <v>382</v>
      </c>
      <c r="E122" s="7" t="s">
        <v>22</v>
      </c>
      <c r="F122" s="7" t="s">
        <v>380</v>
      </c>
      <c r="G122" s="7" t="str" cm="1">
        <f t="array" ref="G122">INDEX('municipalities per province'!F:F,MATCH(municipalities!A122,'municipalities per province'!B:B,0),0)</f>
        <v>Noord-Holland</v>
      </c>
      <c r="H122" s="7" t="str" cm="1">
        <f t="array" ref="H122">INDEX('municipalities per province'!E:E,MATCH(municipalities!$A122,'municipalities per province'!$B:$B,0),0)</f>
        <v>PV27</v>
      </c>
      <c r="I122" s="7" t="str" cm="1">
        <f t="array" ref="I122">INDEX('municipalities per province'!G:G,MATCH(municipalities!$A122,'municipalities per province'!$B:$B,0),0)</f>
        <v>Noord-HollandNoord</v>
      </c>
      <c r="J122" s="7" t="str" cm="1">
        <f t="array" ref="J122">INDEX('municipalities per province'!H:H,MATCH(municipalities!$A122,'municipalities per province'!$B:$B,0),0)</f>
        <v>ES15</v>
      </c>
      <c r="K122" s="7" cm="1">
        <f t="array" ref="K122">INDEX(coordinates!C:C,MATCH(municipalities!$A122,coordinates!$A:$A,0),0)</f>
        <v>4.796538849324766</v>
      </c>
      <c r="L122" s="7" cm="1">
        <f t="array" ref="L122">INDEX(coordinates!D:D,MATCH(municipalities!$A122,coordinates!$A:$A,0),0)</f>
        <v>52.946217316162439</v>
      </c>
      <c r="M122" s="8">
        <v>1</v>
      </c>
      <c r="N122" s="9">
        <v>56539</v>
      </c>
      <c r="O122" s="9">
        <v>27996</v>
      </c>
      <c r="P122" s="9">
        <v>28543</v>
      </c>
      <c r="Q122" s="9">
        <v>2</v>
      </c>
      <c r="R122" s="10">
        <v>1687</v>
      </c>
      <c r="S122" s="11">
        <v>55</v>
      </c>
      <c r="T122" s="11">
        <v>45</v>
      </c>
      <c r="U122" s="12">
        <f t="shared" si="8"/>
        <v>30.1</v>
      </c>
      <c r="V122" s="12">
        <f t="shared" si="9"/>
        <v>6.9</v>
      </c>
      <c r="W122" s="12">
        <f t="shared" si="10"/>
        <v>10.9</v>
      </c>
      <c r="X122" s="12">
        <f t="shared" si="11"/>
        <v>13.7</v>
      </c>
      <c r="Y122" s="12">
        <f t="shared" si="12"/>
        <v>34.1</v>
      </c>
      <c r="Z122" s="12" cm="1">
        <f t="array" ref="Z122">INDEX(municipality_wind_potential!$X:$X,MATCH(municipalities!$F122,municipality_wind_potential!$E:$E,0),0)</f>
        <v>2</v>
      </c>
      <c r="AA122" s="12">
        <f t="shared" si="13"/>
        <v>11.2</v>
      </c>
      <c r="AB122" s="12" cm="1">
        <f t="array" ref="AB122">INDEX(municipality_wind_potential!$Y:$Y,MATCH(municipalities!$F122,municipality_wind_potential!$E:$E,0),0) / 3.6</f>
        <v>32.338888888888889</v>
      </c>
      <c r="AC122" s="12">
        <f t="shared" si="14"/>
        <v>81.717662586993029</v>
      </c>
      <c r="AD122" s="12" cm="1">
        <f t="array" ref="AD122">INDEX(municipality_pv_potential!$G:$G,MATCH(municipalities!$A122,municipality_pv_potential!$E:$E,0),0)/3.6*$AH$4</f>
        <v>75.670555555555552</v>
      </c>
      <c r="AE122" s="12">
        <f t="shared" si="15"/>
        <v>76.946844252459798</v>
      </c>
      <c r="AF122" s="12" cm="1">
        <f t="array" ref="AF122">INDEX(municipality_pv_potential!$H:$H,MATCH(municipalities!$A122,municipality_pv_potential!$E:$E,0),0)/3.6</f>
        <v>71.25277777777778</v>
      </c>
      <c r="AG122" s="12"/>
      <c r="AJ122">
        <v>30.1</v>
      </c>
      <c r="AK122">
        <v>6.9</v>
      </c>
      <c r="AL122">
        <v>10.9</v>
      </c>
      <c r="AM122">
        <v>13.7</v>
      </c>
      <c r="AN122">
        <v>34.1</v>
      </c>
    </row>
    <row r="123" spans="1:40" x14ac:dyDescent="0.25">
      <c r="A123" s="5" t="s">
        <v>383</v>
      </c>
      <c r="B123" s="6" t="s">
        <v>384</v>
      </c>
      <c r="C123" s="7" t="s">
        <v>385</v>
      </c>
      <c r="D123" s="7" t="s">
        <v>385</v>
      </c>
      <c r="E123" s="7" t="s">
        <v>22</v>
      </c>
      <c r="F123" s="7" t="s">
        <v>383</v>
      </c>
      <c r="G123" s="7" t="str" cm="1">
        <f t="array" ref="G123">INDEX('municipalities per province'!F:F,MATCH(municipalities!A123,'municipalities per province'!B:B,0),0)</f>
        <v>Noord-Holland</v>
      </c>
      <c r="H123" s="7" t="str" cm="1">
        <f t="array" ref="H123">INDEX('municipalities per province'!E:E,MATCH(municipalities!$A123,'municipalities per province'!$B:$B,0),0)</f>
        <v>PV27</v>
      </c>
      <c r="I123" s="7" t="str" cm="1">
        <f t="array" ref="I123">INDEX('municipalities per province'!G:G,MATCH(municipalities!$A123,'municipalities per province'!$B:$B,0),0)</f>
        <v>Noord-HollandZuid</v>
      </c>
      <c r="J123" s="7" t="str" cm="1">
        <f t="array" ref="J123">INDEX('municipalities per province'!H:H,MATCH(municipalities!$A123,'municipalities per province'!$B:$B,0),0)</f>
        <v>ES16</v>
      </c>
      <c r="K123" s="7" cm="1">
        <f t="array" ref="K123">INDEX(coordinates!C:C,MATCH(municipalities!$A123,coordinates!$A:$A,0),0)</f>
        <v>5.1680279628960379</v>
      </c>
      <c r="L123" s="7" cm="1">
        <f t="array" ref="L123">INDEX(coordinates!D:D,MATCH(municipalities!$A123,coordinates!$A:$A,0),0)</f>
        <v>52.223122772724523</v>
      </c>
      <c r="M123" s="8">
        <v>3</v>
      </c>
      <c r="N123" s="9">
        <v>93327</v>
      </c>
      <c r="O123" s="9">
        <v>45960</v>
      </c>
      <c r="P123" s="9">
        <v>47367</v>
      </c>
      <c r="Q123" s="9">
        <v>1</v>
      </c>
      <c r="R123" s="10">
        <v>2787</v>
      </c>
      <c r="S123" s="11">
        <v>54</v>
      </c>
      <c r="T123" s="11">
        <v>46</v>
      </c>
      <c r="U123" s="12">
        <f t="shared" si="8"/>
        <v>36.4</v>
      </c>
      <c r="V123" s="12">
        <f t="shared" si="9"/>
        <v>6.8</v>
      </c>
      <c r="W123" s="12">
        <f t="shared" si="10"/>
        <v>9.9</v>
      </c>
      <c r="X123" s="12">
        <f t="shared" si="11"/>
        <v>12.5</v>
      </c>
      <c r="Y123" s="12">
        <f t="shared" si="12"/>
        <v>107</v>
      </c>
      <c r="Z123" s="12" cm="1">
        <f t="array" ref="Z123">INDEX(municipality_wind_potential!$X:$X,MATCH(municipalities!$F123,municipality_wind_potential!$E:$E,0),0)</f>
        <v>11</v>
      </c>
      <c r="AA123" s="12">
        <f t="shared" si="13"/>
        <v>61.599999999999994</v>
      </c>
      <c r="AB123" s="12" cm="1">
        <f t="array" ref="AB123">INDEX(municipality_wind_potential!$Y:$Y,MATCH(municipalities!$F123,municipality_wind_potential!$E:$E,0),0) / 3.6</f>
        <v>163.23888888888888</v>
      </c>
      <c r="AC123" s="12">
        <f t="shared" si="14"/>
        <v>87.546796256299487</v>
      </c>
      <c r="AD123" s="12" cm="1">
        <f t="array" ref="AD123">INDEX(municipality_pv_potential!$G:$G,MATCH(municipalities!$A123,municipality_pv_potential!$E:$E,0),0)/3.6*$AH$4</f>
        <v>81.068333333333328</v>
      </c>
      <c r="AE123" s="12">
        <f t="shared" si="15"/>
        <v>21.799256059515237</v>
      </c>
      <c r="AF123" s="12" cm="1">
        <f t="array" ref="AF123">INDEX(municipality_pv_potential!$H:$H,MATCH(municipalities!$A123,municipality_pv_potential!$E:$E,0),0)/3.6</f>
        <v>20.18611111111111</v>
      </c>
      <c r="AG123" s="12"/>
      <c r="AJ123">
        <v>36.4</v>
      </c>
      <c r="AK123">
        <v>6.8</v>
      </c>
      <c r="AL123">
        <v>9.9</v>
      </c>
      <c r="AM123">
        <v>12.5</v>
      </c>
      <c r="AN123">
        <v>107</v>
      </c>
    </row>
    <row r="124" spans="1:40" x14ac:dyDescent="0.25">
      <c r="A124" s="5" t="s">
        <v>386</v>
      </c>
      <c r="B124" s="6" t="s">
        <v>387</v>
      </c>
      <c r="C124" s="7" t="s">
        <v>388</v>
      </c>
      <c r="D124" s="7" t="s">
        <v>388</v>
      </c>
      <c r="E124" s="7" t="s">
        <v>22</v>
      </c>
      <c r="F124" s="7" t="s">
        <v>386</v>
      </c>
      <c r="G124" s="7" t="str" cm="1">
        <f t="array" ref="G124">INDEX('municipalities per province'!F:F,MATCH(municipalities!A124,'municipalities per province'!B:B,0),0)</f>
        <v>Noord-Holland</v>
      </c>
      <c r="H124" s="7" t="str" cm="1">
        <f t="array" ref="H124">INDEX('municipalities per province'!E:E,MATCH(municipalities!$A124,'municipalities per province'!$B:$B,0),0)</f>
        <v>PV27</v>
      </c>
      <c r="I124" s="7" t="str" cm="1">
        <f t="array" ref="I124">INDEX('municipalities per province'!G:G,MATCH(municipalities!$A124,'municipalities per province'!$B:$B,0),0)</f>
        <v>Noord-HollandNoord</v>
      </c>
      <c r="J124" s="7" t="str" cm="1">
        <f t="array" ref="J124">INDEX('municipalities per province'!H:H,MATCH(municipalities!$A124,'municipalities per province'!$B:$B,0),0)</f>
        <v>ES15</v>
      </c>
      <c r="K124" s="7" cm="1">
        <f t="array" ref="K124">INDEX(coordinates!C:C,MATCH(municipalities!$A124,coordinates!$A:$A,0),0)</f>
        <v>5.0731402166658484</v>
      </c>
      <c r="L124" s="7" cm="1">
        <f t="array" ref="L124">INDEX(coordinates!D:D,MATCH(municipalities!$A124,coordinates!$A:$A,0),0)</f>
        <v>52.613107803077789</v>
      </c>
      <c r="M124" s="8">
        <v>1</v>
      </c>
      <c r="N124" s="9">
        <v>75216</v>
      </c>
      <c r="O124" s="9">
        <v>37063</v>
      </c>
      <c r="P124" s="9">
        <v>38153</v>
      </c>
      <c r="Q124" s="9">
        <v>2</v>
      </c>
      <c r="R124" s="10">
        <v>1723</v>
      </c>
      <c r="S124" s="11">
        <v>60</v>
      </c>
      <c r="T124" s="11">
        <v>40</v>
      </c>
      <c r="U124" s="12">
        <f t="shared" si="8"/>
        <v>32.799999999999997</v>
      </c>
      <c r="V124" s="12">
        <f t="shared" si="9"/>
        <v>5.8</v>
      </c>
      <c r="W124" s="12">
        <f t="shared" si="10"/>
        <v>9.8000000000000007</v>
      </c>
      <c r="X124" s="12">
        <f t="shared" si="11"/>
        <v>12.6</v>
      </c>
      <c r="Y124" s="12">
        <f t="shared" si="12"/>
        <v>95.3</v>
      </c>
      <c r="Z124" s="12" cm="1">
        <f t="array" ref="Z124">INDEX(municipality_wind_potential!$X:$X,MATCH(municipalities!$F124,municipality_wind_potential!$E:$E,0),0)</f>
        <v>1</v>
      </c>
      <c r="AA124" s="12">
        <f t="shared" si="13"/>
        <v>5.6</v>
      </c>
      <c r="AB124" s="12" cm="1">
        <f t="array" ref="AB124">INDEX(municipality_wind_potential!$Y:$Y,MATCH(municipalities!$F124,municipality_wind_potential!$E:$E,0),0) / 3.6</f>
        <v>9.8000000000000007</v>
      </c>
      <c r="AC124" s="12">
        <f t="shared" si="14"/>
        <v>83.89068874490043</v>
      </c>
      <c r="AD124" s="12" cm="1">
        <f t="array" ref="AD124">INDEX(municipality_pv_potential!$G:$G,MATCH(municipalities!$A124,municipality_pv_potential!$E:$E,0),0)/3.6*$AH$4</f>
        <v>77.682777777777787</v>
      </c>
      <c r="AE124" s="12">
        <f t="shared" si="15"/>
        <v>6.1615070794336448</v>
      </c>
      <c r="AF124" s="12" cm="1">
        <f t="array" ref="AF124">INDEX(municipality_pv_potential!$H:$H,MATCH(municipalities!$A124,municipality_pv_potential!$E:$E,0),0)/3.6</f>
        <v>5.7055555555555548</v>
      </c>
      <c r="AG124" s="12"/>
      <c r="AJ124">
        <v>32.799999999999997</v>
      </c>
      <c r="AK124">
        <v>5.8</v>
      </c>
      <c r="AL124">
        <v>9.8000000000000007</v>
      </c>
      <c r="AM124">
        <v>12.6</v>
      </c>
      <c r="AN124">
        <v>95.3</v>
      </c>
    </row>
    <row r="125" spans="1:40" x14ac:dyDescent="0.25">
      <c r="A125" s="5" t="s">
        <v>389</v>
      </c>
      <c r="B125" s="6" t="s">
        <v>390</v>
      </c>
      <c r="C125" s="7" t="s">
        <v>391</v>
      </c>
      <c r="D125" s="7" t="s">
        <v>391</v>
      </c>
      <c r="E125" s="7" t="s">
        <v>22</v>
      </c>
      <c r="F125" s="7" t="s">
        <v>389</v>
      </c>
      <c r="G125" s="7" t="str" cm="1">
        <f t="array" ref="G125">INDEX('municipalities per province'!F:F,MATCH(municipalities!A125,'municipalities per province'!B:B,0),0)</f>
        <v>Noord-Holland</v>
      </c>
      <c r="H125" s="7" t="str" cm="1">
        <f t="array" ref="H125">INDEX('municipalities per province'!E:E,MATCH(municipalities!$A125,'municipalities per province'!$B:$B,0),0)</f>
        <v>PV27</v>
      </c>
      <c r="I125" s="7" t="str" cm="1">
        <f t="array" ref="I125">INDEX('municipalities per province'!G:G,MATCH(municipalities!$A125,'municipalities per province'!$B:$B,0),0)</f>
        <v>Noord-HollandZuid</v>
      </c>
      <c r="J125" s="7" t="str" cm="1">
        <f t="array" ref="J125">INDEX('municipalities per province'!H:H,MATCH(municipalities!$A125,'municipalities per province'!$B:$B,0),0)</f>
        <v>ES16</v>
      </c>
      <c r="K125" s="7" cm="1">
        <f t="array" ref="K125">INDEX(coordinates!C:C,MATCH(municipalities!$A125,coordinates!$A:$A,0),0)</f>
        <v>5.2641208046985</v>
      </c>
      <c r="L125" s="7" cm="1">
        <f t="array" ref="L125">INDEX(coordinates!D:D,MATCH(municipalities!$A125,coordinates!$A:$A,0),0)</f>
        <v>52.312533086289527</v>
      </c>
      <c r="M125" s="8">
        <v>1</v>
      </c>
      <c r="N125" s="9">
        <v>41252</v>
      </c>
      <c r="O125" s="9">
        <v>19889</v>
      </c>
      <c r="P125" s="9">
        <v>21363</v>
      </c>
      <c r="Q125" s="9">
        <v>2</v>
      </c>
      <c r="R125" s="10">
        <v>2054</v>
      </c>
      <c r="S125" s="11">
        <v>58</v>
      </c>
      <c r="T125" s="11">
        <v>41</v>
      </c>
      <c r="U125" s="12">
        <f t="shared" si="8"/>
        <v>37.700000000000003</v>
      </c>
      <c r="V125" s="12">
        <f t="shared" si="9"/>
        <v>5.9</v>
      </c>
      <c r="W125" s="12">
        <f t="shared" si="10"/>
        <v>8.8000000000000007</v>
      </c>
      <c r="X125" s="12">
        <f t="shared" si="11"/>
        <v>11.4</v>
      </c>
      <c r="Y125" s="12">
        <f t="shared" si="12"/>
        <v>142.30000000000001</v>
      </c>
      <c r="Z125" s="12" cm="1">
        <f t="array" ref="Z125">INDEX(municipality_wind_potential!$X:$X,MATCH(municipalities!$F125,municipality_wind_potential!$E:$E,0),0)</f>
        <v>2</v>
      </c>
      <c r="AA125" s="12">
        <f t="shared" si="13"/>
        <v>11.2</v>
      </c>
      <c r="AB125" s="12" cm="1">
        <f t="array" ref="AB125">INDEX(municipality_wind_potential!$Y:$Y,MATCH(municipalities!$F125,municipality_wind_potential!$E:$E,0),0) / 3.6</f>
        <v>22.261111111111109</v>
      </c>
      <c r="AC125" s="12">
        <f t="shared" si="14"/>
        <v>43.014158867290618</v>
      </c>
      <c r="AD125" s="12" cm="1">
        <f t="array" ref="AD125">INDEX(municipality_pv_potential!$G:$G,MATCH(municipalities!$A125,municipality_pv_potential!$E:$E,0),0)/3.6*$AH$4</f>
        <v>39.831111111111113</v>
      </c>
      <c r="AE125" s="12">
        <f t="shared" si="15"/>
        <v>2.3368130549556034</v>
      </c>
      <c r="AF125" s="12" cm="1">
        <f t="array" ref="AF125">INDEX(municipality_pv_potential!$H:$H,MATCH(municipalities!$A125,municipality_pv_potential!$E:$E,0),0)/3.6</f>
        <v>2.1638888888888888</v>
      </c>
      <c r="AG125" s="12"/>
      <c r="AJ125">
        <v>37.700000000000003</v>
      </c>
      <c r="AK125">
        <v>5.9</v>
      </c>
      <c r="AL125">
        <v>8.8000000000000007</v>
      </c>
      <c r="AM125">
        <v>11.4</v>
      </c>
      <c r="AN125">
        <v>142.30000000000001</v>
      </c>
    </row>
    <row r="126" spans="1:40" x14ac:dyDescent="0.25">
      <c r="A126" s="5" t="s">
        <v>392</v>
      </c>
      <c r="B126" s="6" t="s">
        <v>393</v>
      </c>
      <c r="C126" s="7" t="s">
        <v>394</v>
      </c>
      <c r="D126" s="7" t="s">
        <v>394</v>
      </c>
      <c r="E126" s="7" t="s">
        <v>22</v>
      </c>
      <c r="F126" s="7" t="s">
        <v>392</v>
      </c>
      <c r="G126" s="7" t="str" cm="1">
        <f t="array" ref="G126">INDEX('municipalities per province'!F:F,MATCH(municipalities!A126,'municipalities per province'!B:B,0),0)</f>
        <v>Noord-Holland</v>
      </c>
      <c r="H126" s="7" t="str" cm="1">
        <f t="array" ref="H126">INDEX('municipalities per province'!E:E,MATCH(municipalities!$A126,'municipalities per province'!$B:$B,0),0)</f>
        <v>PV27</v>
      </c>
      <c r="I126" s="7" t="str" cm="1">
        <f t="array" ref="I126">INDEX('municipalities per province'!G:G,MATCH(municipalities!$A126,'municipalities per province'!$B:$B,0),0)</f>
        <v>Noord-HollandZuid</v>
      </c>
      <c r="J126" s="7" t="str" cm="1">
        <f t="array" ref="J126">INDEX('municipalities per province'!H:H,MATCH(municipalities!$A126,'municipalities per province'!$B:$B,0),0)</f>
        <v>ES16</v>
      </c>
      <c r="K126" s="7" cm="1">
        <f t="array" ref="K126">INDEX(coordinates!C:C,MATCH(municipalities!$A126,coordinates!$A:$A,0),0)</f>
        <v>4.9245553258570984</v>
      </c>
      <c r="L126" s="7" cm="1">
        <f t="array" ref="L126">INDEX(coordinates!D:D,MATCH(municipalities!$A126,coordinates!$A:$A,0),0)</f>
        <v>52.450590997270602</v>
      </c>
      <c r="M126" s="8">
        <v>1</v>
      </c>
      <c r="N126" s="9">
        <v>11705</v>
      </c>
      <c r="O126" s="9">
        <v>5650</v>
      </c>
      <c r="P126" s="9">
        <v>6055</v>
      </c>
      <c r="Q126" s="9">
        <v>3</v>
      </c>
      <c r="R126" s="10">
        <v>1041</v>
      </c>
      <c r="S126" s="11">
        <v>66</v>
      </c>
      <c r="T126" s="11">
        <v>34</v>
      </c>
      <c r="U126" s="12">
        <f t="shared" si="8"/>
        <v>39.799999999999997</v>
      </c>
      <c r="V126" s="12">
        <f t="shared" si="9"/>
        <v>4.2</v>
      </c>
      <c r="W126" s="12">
        <f t="shared" si="10"/>
        <v>6</v>
      </c>
      <c r="X126" s="12">
        <f t="shared" si="11"/>
        <v>7.9</v>
      </c>
      <c r="Y126" s="12">
        <f t="shared" si="12"/>
        <v>288.5</v>
      </c>
      <c r="Z126" s="12" cm="1">
        <f t="array" ref="Z126">INDEX(municipality_wind_potential!$X:$X,MATCH(municipalities!$F126,municipality_wind_potential!$E:$E,0),0)</f>
        <v>19</v>
      </c>
      <c r="AA126" s="12">
        <f t="shared" si="13"/>
        <v>106.39999999999999</v>
      </c>
      <c r="AB126" s="12" cm="1">
        <f t="array" ref="AB126">INDEX(municipality_wind_potential!$Y:$Y,MATCH(municipalities!$F126,municipality_wind_potential!$E:$E,0),0) / 3.6</f>
        <v>328.4111111111111</v>
      </c>
      <c r="AC126" s="12">
        <f t="shared" si="14"/>
        <v>15.389368850491962</v>
      </c>
      <c r="AD126" s="12" cm="1">
        <f t="array" ref="AD126">INDEX(municipality_pv_potential!$G:$G,MATCH(municipalities!$A126,municipality_pv_potential!$E:$E,0),0)/3.6*$AH$4</f>
        <v>14.250555555555557</v>
      </c>
      <c r="AE126" s="12">
        <f t="shared" si="15"/>
        <v>67.995560355171577</v>
      </c>
      <c r="AF126" s="12" cm="1">
        <f t="array" ref="AF126">INDEX(municipality_pv_potential!$H:$H,MATCH(municipalities!$A126,municipality_pv_potential!$E:$E,0),0)/3.6</f>
        <v>62.963888888888881</v>
      </c>
      <c r="AG126" s="12"/>
      <c r="AJ126">
        <v>39.799999999999997</v>
      </c>
      <c r="AK126">
        <v>4.2</v>
      </c>
      <c r="AL126">
        <v>6</v>
      </c>
      <c r="AM126">
        <v>7.9</v>
      </c>
      <c r="AN126">
        <v>288.5</v>
      </c>
    </row>
    <row r="127" spans="1:40" x14ac:dyDescent="0.25">
      <c r="A127" s="5" t="s">
        <v>395</v>
      </c>
      <c r="B127" s="6" t="s">
        <v>396</v>
      </c>
      <c r="C127" s="7" t="s">
        <v>397</v>
      </c>
      <c r="D127" s="7" t="s">
        <v>397</v>
      </c>
      <c r="E127" s="7" t="s">
        <v>22</v>
      </c>
      <c r="F127" s="7" t="s">
        <v>395</v>
      </c>
      <c r="G127" s="7" t="str" cm="1">
        <f t="array" ref="G127">INDEX('municipalities per province'!F:F,MATCH(municipalities!A127,'municipalities per province'!B:B,0),0)</f>
        <v>Noord-Holland</v>
      </c>
      <c r="H127" s="7" t="str" cm="1">
        <f t="array" ref="H127">INDEX('municipalities per province'!E:E,MATCH(municipalities!$A127,'municipalities per province'!$B:$B,0),0)</f>
        <v>PV27</v>
      </c>
      <c r="I127" s="7" t="str" cm="1">
        <f t="array" ref="I127">INDEX('municipalities per province'!G:G,MATCH(municipalities!$A127,'municipalities per province'!$B:$B,0),0)</f>
        <v>Noord-HollandZuid</v>
      </c>
      <c r="J127" s="7" t="str" cm="1">
        <f t="array" ref="J127">INDEX('municipalities per province'!H:H,MATCH(municipalities!$A127,'municipalities per province'!$B:$B,0),0)</f>
        <v>ES16</v>
      </c>
      <c r="K127" s="7" cm="1">
        <f t="array" ref="K127">INDEX(coordinates!C:C,MATCH(municipalities!$A127,coordinates!$A:$A,0),0)</f>
        <v>5.2170743780993138</v>
      </c>
      <c r="L127" s="7" cm="1">
        <f t="array" ref="L127">INDEX(coordinates!D:D,MATCH(municipalities!$A127,coordinates!$A:$A,0),0)</f>
        <v>52.247183334034958</v>
      </c>
      <c r="M127" s="8">
        <v>1</v>
      </c>
      <c r="N127" s="9">
        <v>11712</v>
      </c>
      <c r="O127" s="9">
        <v>5519</v>
      </c>
      <c r="P127" s="9">
        <v>6193</v>
      </c>
      <c r="Q127" s="9">
        <v>3</v>
      </c>
      <c r="R127" s="10">
        <v>1112</v>
      </c>
      <c r="S127" s="11">
        <v>68</v>
      </c>
      <c r="T127" s="11">
        <v>32</v>
      </c>
      <c r="U127" s="12">
        <f t="shared" si="8"/>
        <v>55.5</v>
      </c>
      <c r="V127" s="12">
        <f t="shared" si="9"/>
        <v>5.3</v>
      </c>
      <c r="W127" s="12">
        <f t="shared" si="10"/>
        <v>7.8</v>
      </c>
      <c r="X127" s="12">
        <f t="shared" si="11"/>
        <v>9.6</v>
      </c>
      <c r="Y127" s="12">
        <f t="shared" si="12"/>
        <v>491.5</v>
      </c>
      <c r="Z127" s="12" cm="1">
        <f t="array" ref="Z127">INDEX(municipality_wind_potential!$X:$X,MATCH(municipalities!$F127,municipality_wind_potential!$E:$E,0),0)</f>
        <v>4</v>
      </c>
      <c r="AA127" s="12">
        <f t="shared" si="13"/>
        <v>22.4</v>
      </c>
      <c r="AB127" s="12" cm="1">
        <f t="array" ref="AB127">INDEX(municipality_wind_potential!$Y:$Y,MATCH(municipalities!$F127,municipality_wind_potential!$E:$E,0),0) / 3.6</f>
        <v>59.361111111111107</v>
      </c>
      <c r="AC127" s="12">
        <f t="shared" si="14"/>
        <v>16.997840172786177</v>
      </c>
      <c r="AD127" s="12" cm="1">
        <f t="array" ref="AD127">INDEX(municipality_pv_potential!$G:$G,MATCH(municipalities!$A127,municipality_pv_potential!$E:$E,0),0)/3.6*$AH$4</f>
        <v>15.740000000000002</v>
      </c>
      <c r="AE127" s="12">
        <f t="shared" si="15"/>
        <v>0.78893688504919601</v>
      </c>
      <c r="AF127" s="12" cm="1">
        <f t="array" ref="AF127">INDEX(municipality_pv_potential!$H:$H,MATCH(municipalities!$A127,municipality_pv_potential!$E:$E,0),0)/3.6</f>
        <v>0.73055555555555551</v>
      </c>
      <c r="AG127" s="12"/>
      <c r="AJ127">
        <v>55.5</v>
      </c>
      <c r="AK127">
        <v>5.3</v>
      </c>
      <c r="AL127">
        <v>7.8</v>
      </c>
      <c r="AM127">
        <v>9.6</v>
      </c>
      <c r="AN127">
        <v>491.5</v>
      </c>
    </row>
    <row r="128" spans="1:40" x14ac:dyDescent="0.25">
      <c r="A128" s="5" t="s">
        <v>398</v>
      </c>
      <c r="B128" s="6" t="s">
        <v>399</v>
      </c>
      <c r="C128" s="7" t="s">
        <v>400</v>
      </c>
      <c r="D128" s="7" t="s">
        <v>400</v>
      </c>
      <c r="E128" s="7" t="s">
        <v>22</v>
      </c>
      <c r="F128" s="7" t="s">
        <v>398</v>
      </c>
      <c r="G128" s="7" t="str" cm="1">
        <f t="array" ref="G128">INDEX('municipalities per province'!F:F,MATCH(municipalities!A128,'municipalities per province'!B:B,0),0)</f>
        <v>Noord-Holland</v>
      </c>
      <c r="H128" s="7" t="str" cm="1">
        <f t="array" ref="H128">INDEX('municipalities per province'!E:E,MATCH(municipalities!$A128,'municipalities per province'!$B:$B,0),0)</f>
        <v>PV27</v>
      </c>
      <c r="I128" s="7" t="str" cm="1">
        <f t="array" ref="I128">INDEX('municipalities per province'!G:G,MATCH(municipalities!$A128,'municipalities per province'!$B:$B,0),0)</f>
        <v>Noord-HollandNoord</v>
      </c>
      <c r="J128" s="7" t="str" cm="1">
        <f t="array" ref="J128">INDEX('municipalities per province'!H:H,MATCH(municipalities!$A128,'municipalities per province'!$B:$B,0),0)</f>
        <v>ES15</v>
      </c>
      <c r="K128" s="7" cm="1">
        <f t="array" ref="K128">INDEX(coordinates!C:C,MATCH(municipalities!$A128,coordinates!$A:$A,0),0)</f>
        <v>5.1872279321587982</v>
      </c>
      <c r="L128" s="7" cm="1">
        <f t="array" ref="L128">INDEX(coordinates!D:D,MATCH(municipalities!$A128,coordinates!$A:$A,0),0)</f>
        <v>52.817632209045613</v>
      </c>
      <c r="M128" s="8">
        <v>1</v>
      </c>
      <c r="N128" s="9">
        <v>46031</v>
      </c>
      <c r="O128" s="9">
        <v>23337</v>
      </c>
      <c r="P128" s="9">
        <v>22694</v>
      </c>
      <c r="Q128" s="9">
        <v>4</v>
      </c>
      <c r="R128" s="10">
        <v>526</v>
      </c>
      <c r="S128" s="11">
        <v>70</v>
      </c>
      <c r="T128" s="11">
        <v>30</v>
      </c>
      <c r="U128" s="12">
        <f t="shared" si="8"/>
        <v>34.5</v>
      </c>
      <c r="V128" s="12">
        <f t="shared" si="9"/>
        <v>4.4000000000000004</v>
      </c>
      <c r="W128" s="12">
        <f t="shared" si="10"/>
        <v>7.2</v>
      </c>
      <c r="X128" s="12">
        <f t="shared" si="11"/>
        <v>9.6999999999999993</v>
      </c>
      <c r="Y128" s="12">
        <f t="shared" si="12"/>
        <v>165.9</v>
      </c>
      <c r="Z128" s="12" cm="1">
        <f t="array" ref="Z128">INDEX(municipality_wind_potential!$X:$X,MATCH(municipalities!$F128,municipality_wind_potential!$E:$E,0),0)</f>
        <v>55</v>
      </c>
      <c r="AA128" s="12">
        <f t="shared" si="13"/>
        <v>308</v>
      </c>
      <c r="AB128" s="12" cm="1">
        <f t="array" ref="AB128">INDEX(municipality_wind_potential!$Y:$Y,MATCH(municipalities!$F128,municipality_wind_potential!$E:$E,0),0) / 3.6</f>
        <v>1078</v>
      </c>
      <c r="AC128" s="12">
        <f t="shared" si="14"/>
        <v>104.33045356371491</v>
      </c>
      <c r="AD128" s="12" cm="1">
        <f t="array" ref="AD128">INDEX(municipality_pv_potential!$G:$G,MATCH(municipalities!$A128,municipality_pv_potential!$E:$E,0),0)/3.6*$AH$4</f>
        <v>96.610000000000014</v>
      </c>
      <c r="AE128" s="12">
        <f t="shared" si="15"/>
        <v>414.32385409167267</v>
      </c>
      <c r="AF128" s="12" cm="1">
        <f t="array" ref="AF128">INDEX(municipality_pv_potential!$H:$H,MATCH(municipalities!$A128,municipality_pv_potential!$E:$E,0),0)/3.6</f>
        <v>383.66388888888889</v>
      </c>
      <c r="AG128" s="12"/>
      <c r="AJ128">
        <v>34.5</v>
      </c>
      <c r="AK128">
        <v>4.4000000000000004</v>
      </c>
      <c r="AL128">
        <v>7.2</v>
      </c>
      <c r="AM128">
        <v>9.6999999999999993</v>
      </c>
      <c r="AN128">
        <v>165.9</v>
      </c>
    </row>
    <row r="129" spans="1:40" x14ac:dyDescent="0.25">
      <c r="A129" s="5" t="s">
        <v>401</v>
      </c>
      <c r="B129" s="6" t="s">
        <v>402</v>
      </c>
      <c r="C129" s="7" t="s">
        <v>403</v>
      </c>
      <c r="D129" s="7" t="s">
        <v>403</v>
      </c>
      <c r="E129" s="7" t="s">
        <v>22</v>
      </c>
      <c r="F129" s="7" t="s">
        <v>401</v>
      </c>
      <c r="G129" s="7" t="str" cm="1">
        <f t="array" ref="G129">INDEX('municipalities per province'!F:F,MATCH(municipalities!A129,'municipalities per province'!B:B,0),0)</f>
        <v>Noord-Holland</v>
      </c>
      <c r="H129" s="7" t="str" cm="1">
        <f t="array" ref="H129">INDEX('municipalities per province'!E:E,MATCH(municipalities!$A129,'municipalities per province'!$B:$B,0),0)</f>
        <v>PV27</v>
      </c>
      <c r="I129" s="7" t="str" cm="1">
        <f t="array" ref="I129">INDEX('municipalities per province'!G:G,MATCH(municipalities!$A129,'municipalities per province'!$B:$B,0),0)</f>
        <v>Noord-HollandZuid</v>
      </c>
      <c r="J129" s="7" t="str" cm="1">
        <f t="array" ref="J129">INDEX('municipalities per province'!H:H,MATCH(municipalities!$A129,'municipalities per province'!$B:$B,0),0)</f>
        <v>ES16</v>
      </c>
      <c r="K129" s="7" cm="1">
        <f t="array" ref="K129">INDEX(coordinates!C:C,MATCH(municipalities!$A129,coordinates!$A:$A,0),0)</f>
        <v>4.8761101728555483</v>
      </c>
      <c r="L129" s="7" cm="1">
        <f t="array" ref="L129">INDEX(coordinates!D:D,MATCH(municipalities!$A129,coordinates!$A:$A,0),0)</f>
        <v>52.451966867093432</v>
      </c>
      <c r="M129" s="8">
        <v>1</v>
      </c>
      <c r="N129" s="9">
        <v>9720</v>
      </c>
      <c r="O129" s="9">
        <v>4767</v>
      </c>
      <c r="P129" s="9">
        <v>4953</v>
      </c>
      <c r="Q129" s="9">
        <v>3</v>
      </c>
      <c r="R129" s="10">
        <v>1067</v>
      </c>
      <c r="S129" s="11">
        <v>67</v>
      </c>
      <c r="T129" s="11">
        <v>33</v>
      </c>
      <c r="U129" s="12">
        <f t="shared" si="8"/>
        <v>37.200000000000003</v>
      </c>
      <c r="V129" s="12">
        <f t="shared" si="9"/>
        <v>3.7</v>
      </c>
      <c r="W129" s="12">
        <f t="shared" si="10"/>
        <v>5.4</v>
      </c>
      <c r="X129" s="12">
        <f t="shared" si="11"/>
        <v>7.7</v>
      </c>
      <c r="Y129" s="12">
        <f t="shared" si="12"/>
        <v>270.3</v>
      </c>
      <c r="Z129" s="12" cm="1">
        <f t="array" ref="Z129">INDEX(municipality_wind_potential!$X:$X,MATCH(municipalities!$F129,municipality_wind_potential!$E:$E,0),0)</f>
        <v>8</v>
      </c>
      <c r="AA129" s="12">
        <f t="shared" si="13"/>
        <v>44.8</v>
      </c>
      <c r="AB129" s="12" cm="1">
        <f t="array" ref="AB129">INDEX(municipality_wind_potential!$Y:$Y,MATCH(municipalities!$F129,municipality_wind_potential!$E:$E,0),0) / 3.6</f>
        <v>142.01666666666665</v>
      </c>
      <c r="AC129" s="12">
        <f t="shared" si="14"/>
        <v>12.251619870410368</v>
      </c>
      <c r="AD129" s="12" cm="1">
        <f t="array" ref="AD129">INDEX(municipality_pv_potential!$G:$G,MATCH(municipalities!$A129,municipality_pv_potential!$E:$E,0),0)/3.6*$AH$4</f>
        <v>11.345000000000001</v>
      </c>
      <c r="AE129" s="12">
        <f t="shared" si="15"/>
        <v>23.290136789056874</v>
      </c>
      <c r="AF129" s="12" cm="1">
        <f t="array" ref="AF129">INDEX(municipality_pv_potential!$H:$H,MATCH(municipalities!$A129,municipality_pv_potential!$E:$E,0),0)/3.6</f>
        <v>21.566666666666666</v>
      </c>
      <c r="AG129" s="12"/>
      <c r="AJ129">
        <v>37.200000000000003</v>
      </c>
      <c r="AK129">
        <v>3.7</v>
      </c>
      <c r="AL129">
        <v>5.4</v>
      </c>
      <c r="AM129">
        <v>7.7</v>
      </c>
      <c r="AN129">
        <v>270.3</v>
      </c>
    </row>
    <row r="130" spans="1:40" x14ac:dyDescent="0.25">
      <c r="A130" s="5" t="s">
        <v>404</v>
      </c>
      <c r="B130" s="6" t="s">
        <v>405</v>
      </c>
      <c r="C130" s="7" t="s">
        <v>406</v>
      </c>
      <c r="D130" s="7" t="s">
        <v>406</v>
      </c>
      <c r="E130" s="7" t="s">
        <v>22</v>
      </c>
      <c r="F130" s="7" t="s">
        <v>404</v>
      </c>
      <c r="G130" s="7" t="str" cm="1">
        <f t="array" ref="G130">INDEX('municipalities per province'!F:F,MATCH(municipalities!A130,'municipalities per province'!B:B,0),0)</f>
        <v>Noord-Holland</v>
      </c>
      <c r="H130" s="7" t="str" cm="1">
        <f t="array" ref="H130">INDEX('municipalities per province'!E:E,MATCH(municipalities!$A130,'municipalities per province'!$B:$B,0),0)</f>
        <v>PV27</v>
      </c>
      <c r="I130" s="7" t="str" cm="1">
        <f t="array" ref="I130">INDEX('municipalities per province'!G:G,MATCH(municipalities!$A130,'municipalities per province'!$B:$B,0),0)</f>
        <v>Noord-HollandNoord</v>
      </c>
      <c r="J130" s="7" t="str" cm="1">
        <f t="array" ref="J130">INDEX('municipalities per province'!H:H,MATCH(municipalities!$A130,'municipalities per province'!$B:$B,0),0)</f>
        <v>ES15</v>
      </c>
      <c r="K130" s="7" cm="1">
        <f t="array" ref="K130">INDEX(coordinates!C:C,MATCH(municipalities!$A130,coordinates!$A:$A,0),0)</f>
        <v>4.9534804011573641</v>
      </c>
      <c r="L130" s="7" cm="1">
        <f t="array" ref="L130">INDEX(coordinates!D:D,MATCH(municipalities!$A130,coordinates!$A:$A,0),0)</f>
        <v>52.71528750769783</v>
      </c>
      <c r="M130" s="8">
        <v>1</v>
      </c>
      <c r="N130" s="9">
        <v>12180</v>
      </c>
      <c r="O130" s="9">
        <v>6185</v>
      </c>
      <c r="P130" s="9">
        <v>5995</v>
      </c>
      <c r="Q130" s="9">
        <v>4</v>
      </c>
      <c r="R130" s="10">
        <v>544</v>
      </c>
      <c r="S130" s="11">
        <v>75</v>
      </c>
      <c r="T130" s="11">
        <v>25</v>
      </c>
      <c r="U130" s="12">
        <f t="shared" ref="U130:U193" si="16">IF(AJ130&lt;0,AVERAGEIF(AJ:AJ,"&gt;0"),AJ130)</f>
        <v>35</v>
      </c>
      <c r="V130" s="12">
        <f t="shared" ref="V130:V193" si="17">IF(AK130&lt;0,AVERAGEIF(AK:AK,"&gt;0"),AK130)</f>
        <v>3.5</v>
      </c>
      <c r="W130" s="12">
        <f t="shared" ref="W130:W193" si="18">IF(AL130&lt;0,AVERAGEIF(AL:AL,"&gt;0"),AL130)</f>
        <v>5.5</v>
      </c>
      <c r="X130" s="12">
        <f t="shared" ref="X130:X193" si="19">IF(AM130&lt;0,AVERAGEIF(AM:AM,"&gt;0"),AM130)</f>
        <v>7.6</v>
      </c>
      <c r="Y130" s="12">
        <f t="shared" ref="Y130:Y193" si="20">IF(AN130&lt;0,AVERAGEIF(AN:AN,"&gt;0"),AN130)</f>
        <v>182.4</v>
      </c>
      <c r="Z130" s="12" cm="1">
        <f t="array" ref="Z130">INDEX(municipality_wind_potential!$X:$X,MATCH(municipalities!$F130,municipality_wind_potential!$E:$E,0),0)</f>
        <v>23</v>
      </c>
      <c r="AA130" s="12">
        <f t="shared" si="13"/>
        <v>128.79999999999998</v>
      </c>
      <c r="AB130" s="12" cm="1">
        <f t="array" ref="AB130">INDEX(municipality_wind_potential!$Y:$Y,MATCH(municipalities!$F130,municipality_wind_potential!$E:$E,0),0) / 3.6</f>
        <v>440.99999999999994</v>
      </c>
      <c r="AC130" s="12">
        <f t="shared" si="14"/>
        <v>29.64902807775378</v>
      </c>
      <c r="AD130" s="12" cm="1">
        <f t="array" ref="AD130">INDEX(municipality_pv_potential!$G:$G,MATCH(municipalities!$A130,municipality_pv_potential!$E:$E,0),0)/3.6*$AH$4</f>
        <v>27.455000000000002</v>
      </c>
      <c r="AE130" s="12">
        <f t="shared" si="15"/>
        <v>169.42644588432927</v>
      </c>
      <c r="AF130" s="12" cm="1">
        <f t="array" ref="AF130">INDEX(municipality_pv_potential!$H:$H,MATCH(municipalities!$A130,municipality_pv_potential!$E:$E,0),0)/3.6</f>
        <v>156.88888888888889</v>
      </c>
      <c r="AG130" s="12"/>
      <c r="AJ130">
        <v>35</v>
      </c>
      <c r="AK130">
        <v>3.5</v>
      </c>
      <c r="AL130">
        <v>5.5</v>
      </c>
      <c r="AM130">
        <v>7.6</v>
      </c>
      <c r="AN130">
        <v>182.4</v>
      </c>
    </row>
    <row r="131" spans="1:40" x14ac:dyDescent="0.25">
      <c r="A131" s="5" t="s">
        <v>407</v>
      </c>
      <c r="B131" s="6" t="s">
        <v>408</v>
      </c>
      <c r="C131" s="7" t="s">
        <v>409</v>
      </c>
      <c r="D131" s="7" t="s">
        <v>409</v>
      </c>
      <c r="E131" s="7" t="s">
        <v>22</v>
      </c>
      <c r="F131" s="7" t="s">
        <v>407</v>
      </c>
      <c r="G131" s="7" t="str" cm="1">
        <f t="array" ref="G131">INDEX('municipalities per province'!F:F,MATCH(municipalities!A131,'municipalities per province'!B:B,0),0)</f>
        <v>Noord-Holland</v>
      </c>
      <c r="H131" s="7" t="str" cm="1">
        <f t="array" ref="H131">INDEX('municipalities per province'!E:E,MATCH(municipalities!$A131,'municipalities per province'!$B:$B,0),0)</f>
        <v>PV27</v>
      </c>
      <c r="I131" s="7" t="str" cm="1">
        <f t="array" ref="I131">INDEX('municipalities per province'!G:G,MATCH(municipalities!$A131,'municipalities per province'!$B:$B,0),0)</f>
        <v>Noord-HollandZuid</v>
      </c>
      <c r="J131" s="7" t="str" cm="1">
        <f t="array" ref="J131">INDEX('municipalities per province'!H:H,MATCH(municipalities!$A131,'municipalities per province'!$B:$B,0),0)</f>
        <v>ES16</v>
      </c>
      <c r="K131" s="7" cm="1">
        <f t="array" ref="K131">INDEX(coordinates!C:C,MATCH(municipalities!$A131,coordinates!$A:$A,0),0)</f>
        <v>4.9135259213311384</v>
      </c>
      <c r="L131" s="7" cm="1">
        <f t="array" ref="L131">INDEX(coordinates!D:D,MATCH(municipalities!$A131,coordinates!$A:$A,0),0)</f>
        <v>52.28938599832891</v>
      </c>
      <c r="M131" s="8">
        <v>1</v>
      </c>
      <c r="N131" s="9">
        <v>14276</v>
      </c>
      <c r="O131" s="9">
        <v>6967</v>
      </c>
      <c r="P131" s="9">
        <v>7309</v>
      </c>
      <c r="Q131" s="9">
        <v>3</v>
      </c>
      <c r="R131" s="10">
        <v>1289</v>
      </c>
      <c r="S131" s="11">
        <v>55</v>
      </c>
      <c r="T131" s="11">
        <v>45</v>
      </c>
      <c r="U131" s="12">
        <f t="shared" si="16"/>
        <v>41.2</v>
      </c>
      <c r="V131" s="12">
        <f t="shared" si="17"/>
        <v>4.8</v>
      </c>
      <c r="W131" s="12">
        <f t="shared" si="18"/>
        <v>6.8</v>
      </c>
      <c r="X131" s="12">
        <f t="shared" si="19"/>
        <v>9</v>
      </c>
      <c r="Y131" s="12">
        <f t="shared" si="20"/>
        <v>226</v>
      </c>
      <c r="Z131" s="12" cm="1">
        <f t="array" ref="Z131">INDEX(municipality_wind_potential!$X:$X,MATCH(municipalities!$F131,municipality_wind_potential!$E:$E,0),0)</f>
        <v>16</v>
      </c>
      <c r="AA131" s="12">
        <f t="shared" ref="AA131:AA194" si="21">Z131*$AH$2</f>
        <v>89.6</v>
      </c>
      <c r="AB131" s="12" cm="1">
        <f t="array" ref="AB131">INDEX(municipality_wind_potential!$Y:$Y,MATCH(municipalities!$F131,municipality_wind_potential!$E:$E,0),0) / 3.6</f>
        <v>275.15555555555551</v>
      </c>
      <c r="AC131" s="12">
        <f t="shared" ref="AC131:AC194" si="22">AD131/$AH$3*1000</f>
        <v>25.373170146388286</v>
      </c>
      <c r="AD131" s="12" cm="1">
        <f t="array" ref="AD131">INDEX(municipality_pv_potential!$G:$G,MATCH(municipalities!$A131,municipality_pv_potential!$E:$E,0),0)/3.6*$AH$4</f>
        <v>23.495555555555555</v>
      </c>
      <c r="AE131" s="12">
        <f t="shared" ref="AE131:AE194" si="23">AF131/$AH$3*1000</f>
        <v>69.864410847132234</v>
      </c>
      <c r="AF131" s="12" cm="1">
        <f t="array" ref="AF131">INDEX(municipality_pv_potential!$H:$H,MATCH(municipalities!$A131,municipality_pv_potential!$E:$E,0),0)/3.6</f>
        <v>64.694444444444443</v>
      </c>
      <c r="AG131" s="12"/>
      <c r="AJ131">
        <v>41.2</v>
      </c>
      <c r="AK131">
        <v>4.8</v>
      </c>
      <c r="AL131">
        <v>6.8</v>
      </c>
      <c r="AM131">
        <v>9</v>
      </c>
      <c r="AN131">
        <v>226</v>
      </c>
    </row>
    <row r="132" spans="1:40" x14ac:dyDescent="0.25">
      <c r="A132" s="5" t="s">
        <v>410</v>
      </c>
      <c r="B132" s="6" t="s">
        <v>411</v>
      </c>
      <c r="C132" s="7" t="s">
        <v>412</v>
      </c>
      <c r="D132" s="7" t="s">
        <v>412</v>
      </c>
      <c r="E132" s="7" t="s">
        <v>22</v>
      </c>
      <c r="F132" s="7" t="s">
        <v>410</v>
      </c>
      <c r="G132" s="7" t="str" cm="1">
        <f t="array" ref="G132">INDEX('municipalities per province'!F:F,MATCH(municipalities!A132,'municipalities per province'!B:B,0),0)</f>
        <v>Noord-Holland</v>
      </c>
      <c r="H132" s="7" t="str" cm="1">
        <f t="array" ref="H132">INDEX('municipalities per province'!E:E,MATCH(municipalities!$A132,'municipalities per province'!$B:$B,0),0)</f>
        <v>PV27</v>
      </c>
      <c r="I132" s="7" t="str" cm="1">
        <f t="array" ref="I132">INDEX('municipalities per province'!G:G,MATCH(municipalities!$A132,'municipalities per province'!$B:$B,0),0)</f>
        <v>Noord-HollandZuid</v>
      </c>
      <c r="J132" s="7" t="str" cm="1">
        <f t="array" ref="J132">INDEX('municipalities per province'!H:H,MATCH(municipalities!$A132,'municipalities per province'!$B:$B,0),0)</f>
        <v>ES16</v>
      </c>
      <c r="K132" s="7" cm="1">
        <f t="array" ref="K132">INDEX(coordinates!C:C,MATCH(municipalities!$A132,coordinates!$A:$A,0),0)</f>
        <v>4.9306685502986038</v>
      </c>
      <c r="L132" s="7" cm="1">
        <f t="array" ref="L132">INDEX(coordinates!D:D,MATCH(municipalities!$A132,coordinates!$A:$A,0),0)</f>
        <v>52.54359982587129</v>
      </c>
      <c r="M132" s="8">
        <v>1</v>
      </c>
      <c r="N132" s="9">
        <v>93992</v>
      </c>
      <c r="O132" s="9">
        <v>46058</v>
      </c>
      <c r="P132" s="9">
        <v>47934</v>
      </c>
      <c r="Q132" s="9">
        <v>2</v>
      </c>
      <c r="R132" s="10">
        <v>2179</v>
      </c>
      <c r="S132" s="11">
        <v>60</v>
      </c>
      <c r="T132" s="11">
        <v>40</v>
      </c>
      <c r="U132" s="12">
        <f t="shared" si="16"/>
        <v>32.6</v>
      </c>
      <c r="V132" s="12">
        <f t="shared" si="17"/>
        <v>6.1</v>
      </c>
      <c r="W132" s="12">
        <f t="shared" si="18"/>
        <v>9.1</v>
      </c>
      <c r="X132" s="12">
        <f t="shared" si="19"/>
        <v>11.8</v>
      </c>
      <c r="Y132" s="12">
        <f t="shared" si="20"/>
        <v>109.3</v>
      </c>
      <c r="Z132" s="12" cm="1">
        <f t="array" ref="Z132">INDEX(municipality_wind_potential!$X:$X,MATCH(municipalities!$F132,municipality_wind_potential!$E:$E,0),0)</f>
        <v>5</v>
      </c>
      <c r="AA132" s="12">
        <f t="shared" si="21"/>
        <v>28</v>
      </c>
      <c r="AB132" s="12" cm="1">
        <f t="array" ref="AB132">INDEX(municipality_wind_potential!$Y:$Y,MATCH(municipalities!$F132,municipality_wind_potential!$E:$E,0),0) / 3.6</f>
        <v>79.883333333333326</v>
      </c>
      <c r="AC132" s="12">
        <f t="shared" si="22"/>
        <v>75.17458603311735</v>
      </c>
      <c r="AD132" s="12" cm="1">
        <f t="array" ref="AD132">INDEX(municipality_pv_potential!$G:$G,MATCH(municipalities!$A132,municipality_pv_potential!$E:$E,0),0)/3.6*$AH$4</f>
        <v>69.611666666666665</v>
      </c>
      <c r="AE132" s="12">
        <f t="shared" si="23"/>
        <v>8.3393328533717312</v>
      </c>
      <c r="AF132" s="12" cm="1">
        <f t="array" ref="AF132">INDEX(municipality_pv_potential!$H:$H,MATCH(municipalities!$A132,municipality_pv_potential!$E:$E,0),0)/3.6</f>
        <v>7.7222222222222223</v>
      </c>
      <c r="AG132" s="12"/>
      <c r="AJ132">
        <v>32.6</v>
      </c>
      <c r="AK132">
        <v>6.1</v>
      </c>
      <c r="AL132">
        <v>9.1</v>
      </c>
      <c r="AM132">
        <v>11.8</v>
      </c>
      <c r="AN132">
        <v>109.3</v>
      </c>
    </row>
    <row r="133" spans="1:40" x14ac:dyDescent="0.25">
      <c r="A133" s="5" t="s">
        <v>413</v>
      </c>
      <c r="B133" s="6" t="s">
        <v>414</v>
      </c>
      <c r="C133" s="7" t="s">
        <v>415</v>
      </c>
      <c r="D133" s="7" t="s">
        <v>415</v>
      </c>
      <c r="E133" s="7" t="s">
        <v>22</v>
      </c>
      <c r="F133" s="7" t="s">
        <v>413</v>
      </c>
      <c r="G133" s="7" t="str" cm="1">
        <f t="array" ref="G133">INDEX('municipalities per province'!F:F,MATCH(municipalities!A133,'municipalities per province'!B:B,0),0)</f>
        <v>Noord-Holland</v>
      </c>
      <c r="H133" s="7" t="str" cm="1">
        <f t="array" ref="H133">INDEX('municipalities per province'!E:E,MATCH(municipalities!$A133,'municipalities per province'!$B:$B,0),0)</f>
        <v>PV27</v>
      </c>
      <c r="I133" s="7" t="str" cm="1">
        <f t="array" ref="I133">INDEX('municipalities per province'!G:G,MATCH(municipalities!$A133,'municipalities per province'!$B:$B,0),0)</f>
        <v>Noord-HollandNoord</v>
      </c>
      <c r="J133" s="7" t="str" cm="1">
        <f t="array" ref="J133">INDEX('municipalities per province'!H:H,MATCH(municipalities!$A133,'municipalities per province'!$B:$B,0),0)</f>
        <v>ES15</v>
      </c>
      <c r="K133" s="7" cm="1">
        <f t="array" ref="K133">INDEX(coordinates!C:C,MATCH(municipalities!$A133,coordinates!$A:$A,0),0)</f>
        <v>4.674555754152518</v>
      </c>
      <c r="L133" s="7" cm="1">
        <f t="array" ref="L133">INDEX(coordinates!D:D,MATCH(municipalities!$A133,coordinates!$A:$A,0),0)</f>
        <v>52.821945431602309</v>
      </c>
      <c r="M133" s="8">
        <v>1</v>
      </c>
      <c r="N133" s="9">
        <v>47450</v>
      </c>
      <c r="O133" s="9">
        <v>23573</v>
      </c>
      <c r="P133" s="9">
        <v>23877</v>
      </c>
      <c r="Q133" s="9">
        <v>4</v>
      </c>
      <c r="R133" s="10">
        <v>758</v>
      </c>
      <c r="S133" s="11">
        <v>69</v>
      </c>
      <c r="T133" s="11">
        <v>30</v>
      </c>
      <c r="U133" s="12">
        <f t="shared" si="16"/>
        <v>34.799999999999997</v>
      </c>
      <c r="V133" s="12">
        <f t="shared" si="17"/>
        <v>4.3</v>
      </c>
      <c r="W133" s="12">
        <f t="shared" si="18"/>
        <v>6.8</v>
      </c>
      <c r="X133" s="12">
        <f t="shared" si="19"/>
        <v>9</v>
      </c>
      <c r="Y133" s="12">
        <f t="shared" si="20"/>
        <v>157.1</v>
      </c>
      <c r="Z133" s="12" cm="1">
        <f t="array" ref="Z133">INDEX(municipality_wind_potential!$X:$X,MATCH(municipalities!$F133,municipality_wind_potential!$E:$E,0),0)</f>
        <v>81</v>
      </c>
      <c r="AA133" s="12">
        <f t="shared" si="21"/>
        <v>453.59999999999997</v>
      </c>
      <c r="AB133" s="12" cm="1">
        <f t="array" ref="AB133">INDEX(municipality_wind_potential!$Y:$Y,MATCH(municipalities!$F133,municipality_wind_potential!$E:$E,0),0) / 3.6</f>
        <v>1735.5805555555555</v>
      </c>
      <c r="AC133" s="12">
        <f t="shared" si="22"/>
        <v>118.44672426205905</v>
      </c>
      <c r="AD133" s="12" cm="1">
        <f t="array" ref="AD133">INDEX(municipality_pv_potential!$G:$G,MATCH(municipalities!$A133,municipality_pv_potential!$E:$E,0),0)/3.6*$AH$4</f>
        <v>109.68166666666667</v>
      </c>
      <c r="AE133" s="12">
        <f t="shared" si="23"/>
        <v>595.46436285097195</v>
      </c>
      <c r="AF133" s="12" cm="1">
        <f t="array" ref="AF133">INDEX(municipality_pv_potential!$H:$H,MATCH(municipalities!$A133,municipality_pv_potential!$E:$E,0),0)/3.6</f>
        <v>551.4</v>
      </c>
      <c r="AG133" s="12"/>
      <c r="AJ133">
        <v>34.799999999999997</v>
      </c>
      <c r="AK133">
        <v>4.3</v>
      </c>
      <c r="AL133">
        <v>6.8</v>
      </c>
      <c r="AM133">
        <v>9</v>
      </c>
      <c r="AN133">
        <v>157.1</v>
      </c>
    </row>
    <row r="134" spans="1:40" x14ac:dyDescent="0.25">
      <c r="A134" s="5" t="s">
        <v>416</v>
      </c>
      <c r="B134" s="6" t="s">
        <v>417</v>
      </c>
      <c r="C134" s="7" t="s">
        <v>418</v>
      </c>
      <c r="D134" s="7" t="s">
        <v>418</v>
      </c>
      <c r="E134" s="7" t="s">
        <v>22</v>
      </c>
      <c r="F134" s="7" t="s">
        <v>416</v>
      </c>
      <c r="G134" s="7" t="str" cm="1">
        <f t="array" ref="G134">INDEX('municipalities per province'!F:F,MATCH(municipalities!A134,'municipalities per province'!B:B,0),0)</f>
        <v>Noord-Holland</v>
      </c>
      <c r="H134" s="7" t="str" cm="1">
        <f t="array" ref="H134">INDEX('municipalities per province'!E:E,MATCH(municipalities!$A134,'municipalities per province'!$B:$B,0),0)</f>
        <v>PV27</v>
      </c>
      <c r="I134" s="7" t="str" cm="1">
        <f t="array" ref="I134">INDEX('municipalities per province'!G:G,MATCH(municipalities!$A134,'municipalities per province'!$B:$B,0),0)</f>
        <v>Noord-HollandNoord</v>
      </c>
      <c r="J134" s="7" t="str" cm="1">
        <f t="array" ref="J134">INDEX('municipalities per province'!H:H,MATCH(municipalities!$A134,'municipalities per province'!$B:$B,0),0)</f>
        <v>ES15</v>
      </c>
      <c r="K134" s="7" cm="1">
        <f t="array" ref="K134">INDEX(coordinates!C:C,MATCH(municipalities!$A134,coordinates!$A:$A,0),0)</f>
        <v>4.9117332279657182</v>
      </c>
      <c r="L134" s="7" cm="1">
        <f t="array" ref="L134">INDEX(coordinates!D:D,MATCH(municipalities!$A134,coordinates!$A:$A,0),0)</f>
        <v>53.07933265543339</v>
      </c>
      <c r="M134" s="8">
        <v>1</v>
      </c>
      <c r="N134" s="9">
        <v>13979</v>
      </c>
      <c r="O134" s="9">
        <v>6912</v>
      </c>
      <c r="P134" s="9">
        <v>7067</v>
      </c>
      <c r="Q134" s="9">
        <v>5</v>
      </c>
      <c r="R134" s="10">
        <v>495</v>
      </c>
      <c r="S134" s="11">
        <v>66</v>
      </c>
      <c r="T134" s="11">
        <v>34</v>
      </c>
      <c r="U134" s="12">
        <f t="shared" si="16"/>
        <v>34.4</v>
      </c>
      <c r="V134" s="12">
        <f t="shared" si="17"/>
        <v>4</v>
      </c>
      <c r="W134" s="12">
        <f t="shared" si="18"/>
        <v>6.8</v>
      </c>
      <c r="X134" s="12">
        <f t="shared" si="19"/>
        <v>9.1</v>
      </c>
      <c r="Y134" s="12">
        <f t="shared" si="20"/>
        <v>228.6</v>
      </c>
      <c r="Z134" s="12" cm="1">
        <f t="array" ref="Z134">INDEX(municipality_wind_potential!$X:$X,MATCH(municipalities!$F134,municipality_wind_potential!$E:$E,0),0)</f>
        <v>81</v>
      </c>
      <c r="AA134" s="12">
        <f t="shared" si="21"/>
        <v>453.59999999999997</v>
      </c>
      <c r="AB134" s="12" cm="1">
        <f t="array" ref="AB134">INDEX(municipality_wind_potential!$Y:$Y,MATCH(municipalities!$F134,municipality_wind_potential!$E:$E,0),0) / 3.6</f>
        <v>1735.5805555555555</v>
      </c>
      <c r="AC134" s="12">
        <f t="shared" si="22"/>
        <v>45.749940004799612</v>
      </c>
      <c r="AD134" s="12" cm="1">
        <f t="array" ref="AD134">INDEX(municipality_pv_potential!$G:$G,MATCH(municipalities!$A134,municipality_pv_potential!$E:$E,0),0)/3.6*$AH$4</f>
        <v>42.364444444444445</v>
      </c>
      <c r="AE134" s="12">
        <f t="shared" si="23"/>
        <v>435.6551475881929</v>
      </c>
      <c r="AF134" s="12" cm="1">
        <f t="array" ref="AF134">INDEX(municipality_pv_potential!$H:$H,MATCH(municipalities!$A134,municipality_pv_potential!$E:$E,0),0)/3.6</f>
        <v>403.41666666666663</v>
      </c>
      <c r="AG134" s="12"/>
      <c r="AJ134">
        <v>34.4</v>
      </c>
      <c r="AK134">
        <v>4</v>
      </c>
      <c r="AL134">
        <v>6.8</v>
      </c>
      <c r="AM134">
        <v>9.1</v>
      </c>
      <c r="AN134">
        <v>228.6</v>
      </c>
    </row>
    <row r="135" spans="1:40" x14ac:dyDescent="0.25">
      <c r="A135" s="5" t="s">
        <v>419</v>
      </c>
      <c r="B135" s="6" t="s">
        <v>420</v>
      </c>
      <c r="C135" s="7" t="s">
        <v>421</v>
      </c>
      <c r="D135" s="7" t="s">
        <v>421</v>
      </c>
      <c r="E135" s="7" t="s">
        <v>22</v>
      </c>
      <c r="F135" s="7" t="s">
        <v>419</v>
      </c>
      <c r="G135" s="7" t="str" cm="1">
        <f t="array" ref="G135">INDEX('municipalities per province'!F:F,MATCH(municipalities!A135,'municipalities per province'!B:B,0),0)</f>
        <v>Noord-Holland</v>
      </c>
      <c r="H135" s="7" t="str" cm="1">
        <f t="array" ref="H135">INDEX('municipalities per province'!E:E,MATCH(municipalities!$A135,'municipalities per province'!$B:$B,0),0)</f>
        <v>PV27</v>
      </c>
      <c r="I135" s="7" t="str" cm="1">
        <f t="array" ref="I135">INDEX('municipalities per province'!G:G,MATCH(municipalities!$A135,'municipalities per province'!$B:$B,0),0)</f>
        <v>Noord-HollandNoord</v>
      </c>
      <c r="J135" s="7" t="str" cm="1">
        <f t="array" ref="J135">INDEX('municipalities per province'!H:H,MATCH(municipalities!$A135,'municipalities per province'!$B:$B,0),0)</f>
        <v>ES15</v>
      </c>
      <c r="K135" s="7" cm="1">
        <f t="array" ref="K135">INDEX(coordinates!C:C,MATCH(municipalities!$A135,coordinates!$A:$A,0),0)</f>
        <v>4.7286085810175464</v>
      </c>
      <c r="L135" s="7" cm="1">
        <f t="array" ref="L135">INDEX(coordinates!D:D,MATCH(municipalities!$A135,coordinates!$A:$A,0),0)</f>
        <v>52.523429726901043</v>
      </c>
      <c r="M135" s="8">
        <v>1</v>
      </c>
      <c r="N135" s="9">
        <v>13472</v>
      </c>
      <c r="O135" s="9">
        <v>6741</v>
      </c>
      <c r="P135" s="9">
        <v>6731</v>
      </c>
      <c r="Q135" s="9">
        <v>3</v>
      </c>
      <c r="R135" s="10">
        <v>1096</v>
      </c>
      <c r="S135" s="11">
        <v>73</v>
      </c>
      <c r="T135" s="11">
        <v>27</v>
      </c>
      <c r="U135" s="12">
        <f t="shared" si="16"/>
        <v>36.799999999999997</v>
      </c>
      <c r="V135" s="12">
        <f t="shared" si="17"/>
        <v>3.1</v>
      </c>
      <c r="W135" s="12">
        <f t="shared" si="18"/>
        <v>4.8</v>
      </c>
      <c r="X135" s="12">
        <f t="shared" si="19"/>
        <v>6.6</v>
      </c>
      <c r="Y135" s="12">
        <f t="shared" si="20"/>
        <v>213.6</v>
      </c>
      <c r="Z135" s="12" cm="1">
        <f t="array" ref="Z135">INDEX(municipality_wind_potential!$X:$X,MATCH(municipalities!$F135,municipality_wind_potential!$E:$E,0),0)</f>
        <v>12</v>
      </c>
      <c r="AA135" s="12">
        <f t="shared" si="21"/>
        <v>67.199999999999989</v>
      </c>
      <c r="AB135" s="12" cm="1">
        <f t="array" ref="AB135">INDEX(municipality_wind_potential!$Y:$Y,MATCH(municipalities!$F135,municipality_wind_potential!$E:$E,0),0) / 3.6</f>
        <v>235.2</v>
      </c>
      <c r="AC135" s="12">
        <f t="shared" si="22"/>
        <v>18.591912646988238</v>
      </c>
      <c r="AD135" s="12" cm="1">
        <f t="array" ref="AD135">INDEX(municipality_pv_potential!$G:$G,MATCH(municipalities!$A135,municipality_pv_potential!$E:$E,0),0)/3.6*$AH$4</f>
        <v>17.216111111111111</v>
      </c>
      <c r="AE135" s="12">
        <f t="shared" si="23"/>
        <v>63.504919606431478</v>
      </c>
      <c r="AF135" s="12" cm="1">
        <f t="array" ref="AF135">INDEX(municipality_pv_potential!$H:$H,MATCH(municipalities!$A135,municipality_pv_potential!$E:$E,0),0)/3.6</f>
        <v>58.80555555555555</v>
      </c>
      <c r="AG135" s="12"/>
      <c r="AJ135">
        <v>36.799999999999997</v>
      </c>
      <c r="AK135">
        <v>3.1</v>
      </c>
      <c r="AL135">
        <v>4.8</v>
      </c>
      <c r="AM135">
        <v>6.6</v>
      </c>
      <c r="AN135">
        <v>213.6</v>
      </c>
    </row>
    <row r="136" spans="1:40" x14ac:dyDescent="0.25">
      <c r="A136" s="5" t="s">
        <v>422</v>
      </c>
      <c r="B136" s="6" t="s">
        <v>423</v>
      </c>
      <c r="C136" s="7" t="s">
        <v>424</v>
      </c>
      <c r="D136" s="7" t="s">
        <v>424</v>
      </c>
      <c r="E136" s="7" t="s">
        <v>22</v>
      </c>
      <c r="F136" s="7" t="s">
        <v>422</v>
      </c>
      <c r="G136" s="7" t="str" cm="1">
        <f t="array" ref="G136">INDEX('municipalities per province'!F:F,MATCH(municipalities!A136,'municipalities per province'!B:B,0),0)</f>
        <v>Noord-Holland</v>
      </c>
      <c r="H136" s="7" t="str" cm="1">
        <f t="array" ref="H136">INDEX('municipalities per province'!E:E,MATCH(municipalities!$A136,'municipalities per province'!$B:$B,0),0)</f>
        <v>PV27</v>
      </c>
      <c r="I136" s="7" t="str" cm="1">
        <f t="array" ref="I136">INDEX('municipalities per province'!G:G,MATCH(municipalities!$A136,'municipalities per province'!$B:$B,0),0)</f>
        <v>Noord-HollandZuid</v>
      </c>
      <c r="J136" s="7" t="str" cm="1">
        <f t="array" ref="J136">INDEX('municipalities per province'!H:H,MATCH(municipalities!$A136,'municipalities per province'!$B:$B,0),0)</f>
        <v>ES16</v>
      </c>
      <c r="K136" s="7" cm="1">
        <f t="array" ref="K136">INDEX(coordinates!C:C,MATCH(municipalities!$A136,coordinates!$A:$A,0),0)</f>
        <v>4.7908557940241403</v>
      </c>
      <c r="L136" s="7" cm="1">
        <f t="array" ref="L136">INDEX(coordinates!D:D,MATCH(municipalities!$A136,coordinates!$A:$A,0),0)</f>
        <v>52.236907680829859</v>
      </c>
      <c r="M136" s="8">
        <v>1</v>
      </c>
      <c r="N136" s="9">
        <v>31442</v>
      </c>
      <c r="O136" s="9">
        <v>15440</v>
      </c>
      <c r="P136" s="9">
        <v>16002</v>
      </c>
      <c r="Q136" s="9">
        <v>3</v>
      </c>
      <c r="R136" s="10">
        <v>1458</v>
      </c>
      <c r="S136" s="11">
        <v>60</v>
      </c>
      <c r="T136" s="11">
        <v>40</v>
      </c>
      <c r="U136" s="12">
        <f t="shared" si="16"/>
        <v>36.200000000000003</v>
      </c>
      <c r="V136" s="12">
        <f t="shared" si="17"/>
        <v>4.0999999999999996</v>
      </c>
      <c r="W136" s="12">
        <f t="shared" si="18"/>
        <v>6.7</v>
      </c>
      <c r="X136" s="12">
        <f t="shared" si="19"/>
        <v>8.8000000000000007</v>
      </c>
      <c r="Y136" s="12">
        <f t="shared" si="20"/>
        <v>141.30000000000001</v>
      </c>
      <c r="Z136" s="12" cm="1">
        <f t="array" ref="Z136">INDEX(municipality_wind_potential!$X:$X,MATCH(municipalities!$F136,municipality_wind_potential!$E:$E,0),0)</f>
        <v>1</v>
      </c>
      <c r="AA136" s="12">
        <f t="shared" si="21"/>
        <v>5.6</v>
      </c>
      <c r="AB136" s="12" cm="1">
        <f t="array" ref="AB136">INDEX(municipality_wind_potential!$Y:$Y,MATCH(municipalities!$F136,municipality_wind_potential!$E:$E,0),0) / 3.6</f>
        <v>8.875</v>
      </c>
      <c r="AC136" s="12">
        <f t="shared" si="22"/>
        <v>45.729541636669076</v>
      </c>
      <c r="AD136" s="12" cm="1">
        <f t="array" ref="AD136">INDEX(municipality_pv_potential!$G:$G,MATCH(municipalities!$A136,municipality_pv_potential!$E:$E,0),0)/3.6*$AH$4</f>
        <v>42.345555555555563</v>
      </c>
      <c r="AE136" s="12">
        <f t="shared" si="23"/>
        <v>26.244900407967364</v>
      </c>
      <c r="AF136" s="12" cm="1">
        <f t="array" ref="AF136">INDEX(municipality_pv_potential!$H:$H,MATCH(municipalities!$A136,municipality_pv_potential!$E:$E,0),0)/3.6</f>
        <v>24.302777777777777</v>
      </c>
      <c r="AG136" s="12"/>
      <c r="AJ136">
        <v>36.200000000000003</v>
      </c>
      <c r="AK136">
        <v>4.0999999999999996</v>
      </c>
      <c r="AL136">
        <v>6.7</v>
      </c>
      <c r="AM136">
        <v>8.8000000000000007</v>
      </c>
      <c r="AN136">
        <v>141.30000000000001</v>
      </c>
    </row>
    <row r="137" spans="1:40" x14ac:dyDescent="0.25">
      <c r="A137" s="5" t="s">
        <v>425</v>
      </c>
      <c r="B137" s="6" t="s">
        <v>426</v>
      </c>
      <c r="C137" s="7" t="s">
        <v>427</v>
      </c>
      <c r="D137" s="7" t="s">
        <v>427</v>
      </c>
      <c r="E137" s="7" t="s">
        <v>22</v>
      </c>
      <c r="F137" s="7" t="s">
        <v>425</v>
      </c>
      <c r="G137" s="7" t="str" cm="1">
        <f t="array" ref="G137">INDEX('municipalities per province'!F:F,MATCH(municipalities!A137,'municipalities per province'!B:B,0),0)</f>
        <v>Noord-Holland</v>
      </c>
      <c r="H137" s="7" t="str" cm="1">
        <f t="array" ref="H137">INDEX('municipalities per province'!E:E,MATCH(municipalities!$A137,'municipalities per province'!$B:$B,0),0)</f>
        <v>PV27</v>
      </c>
      <c r="I137" s="7" t="str" cm="1">
        <f t="array" ref="I137">INDEX('municipalities per province'!G:G,MATCH(municipalities!$A137,'municipalities per province'!$B:$B,0),0)</f>
        <v>Noord-HollandZuid</v>
      </c>
      <c r="J137" s="7" t="str" cm="1">
        <f t="array" ref="J137">INDEX('municipalities per province'!H:H,MATCH(municipalities!$A137,'municipalities per province'!$B:$B,0),0)</f>
        <v>ES16</v>
      </c>
      <c r="K137" s="7" cm="1">
        <f t="array" ref="K137">INDEX(coordinates!C:C,MATCH(municipalities!$A137,coordinates!$A:$A,0),0)</f>
        <v>4.5541424106573123</v>
      </c>
      <c r="L137" s="7" cm="1">
        <f t="array" ref="L137">INDEX(coordinates!D:D,MATCH(municipalities!$A137,coordinates!$A:$A,0),0)</f>
        <v>52.465137261629017</v>
      </c>
      <c r="M137" s="8">
        <v>1</v>
      </c>
      <c r="N137" s="9">
        <v>68790</v>
      </c>
      <c r="O137" s="9">
        <v>34107</v>
      </c>
      <c r="P137" s="9">
        <v>34683</v>
      </c>
      <c r="Q137" s="9">
        <v>2</v>
      </c>
      <c r="R137" s="10">
        <v>1884</v>
      </c>
      <c r="S137" s="11">
        <v>56</v>
      </c>
      <c r="T137" s="11">
        <v>44</v>
      </c>
      <c r="U137" s="12">
        <f t="shared" si="16"/>
        <v>33.9</v>
      </c>
      <c r="V137" s="12">
        <f t="shared" si="17"/>
        <v>6.1</v>
      </c>
      <c r="W137" s="12">
        <f t="shared" si="18"/>
        <v>9.1</v>
      </c>
      <c r="X137" s="12">
        <f t="shared" si="19"/>
        <v>11.6</v>
      </c>
      <c r="Y137" s="12">
        <f t="shared" si="20"/>
        <v>112.3</v>
      </c>
      <c r="Z137" s="12" cm="1">
        <f t="array" ref="Z137">INDEX(municipality_wind_potential!$X:$X,MATCH(municipalities!$F137,municipality_wind_potential!$E:$E,0),0)</f>
        <v>15</v>
      </c>
      <c r="AA137" s="12">
        <f t="shared" si="21"/>
        <v>84</v>
      </c>
      <c r="AB137" s="12" cm="1">
        <f t="array" ref="AB137">INDEX(municipality_wind_potential!$Y:$Y,MATCH(municipalities!$F137,municipality_wind_potential!$E:$E,0),0) / 3.6</f>
        <v>294</v>
      </c>
      <c r="AC137" s="12">
        <f t="shared" si="22"/>
        <v>95.469162467002633</v>
      </c>
      <c r="AD137" s="12" cm="1">
        <f t="array" ref="AD137">INDEX(municipality_pv_potential!$G:$G,MATCH(municipalities!$A137,municipality_pv_potential!$E:$E,0),0)/3.6*$AH$4</f>
        <v>88.404444444444437</v>
      </c>
      <c r="AE137" s="12">
        <f t="shared" si="23"/>
        <v>12.077033837293015</v>
      </c>
      <c r="AF137" s="12" cm="1">
        <f t="array" ref="AF137">INDEX(municipality_pv_potential!$H:$H,MATCH(municipalities!$A137,municipality_pv_potential!$E:$E,0),0)/3.6</f>
        <v>11.183333333333332</v>
      </c>
      <c r="AG137" s="12"/>
      <c r="AJ137">
        <v>33.9</v>
      </c>
      <c r="AK137">
        <v>6.1</v>
      </c>
      <c r="AL137">
        <v>9.1</v>
      </c>
      <c r="AM137">
        <v>11.6</v>
      </c>
      <c r="AN137">
        <v>112.3</v>
      </c>
    </row>
    <row r="138" spans="1:40" x14ac:dyDescent="0.25">
      <c r="A138" s="5" t="s">
        <v>428</v>
      </c>
      <c r="B138" s="6" t="s">
        <v>429</v>
      </c>
      <c r="C138" s="7" t="s">
        <v>430</v>
      </c>
      <c r="D138" s="7" t="s">
        <v>430</v>
      </c>
      <c r="E138" s="7" t="s">
        <v>22</v>
      </c>
      <c r="F138" s="7" t="s">
        <v>428</v>
      </c>
      <c r="G138" s="7" t="str" cm="1">
        <f t="array" ref="G138">INDEX('municipalities per province'!F:F,MATCH(municipalities!A138,'municipalities per province'!B:B,0),0)</f>
        <v>Noord-Holland</v>
      </c>
      <c r="H138" s="7" t="str" cm="1">
        <f t="array" ref="H138">INDEX('municipalities per province'!E:E,MATCH(municipalities!$A138,'municipalities per province'!$B:$B,0),0)</f>
        <v>PV27</v>
      </c>
      <c r="I138" s="7" t="str" cm="1">
        <f t="array" ref="I138">INDEX('municipalities per province'!G:G,MATCH(municipalities!$A138,'municipalities per province'!$B:$B,0),0)</f>
        <v>Noord-HollandZuid</v>
      </c>
      <c r="J138" s="7" t="str" cm="1">
        <f t="array" ref="J138">INDEX('municipalities per province'!H:H,MATCH(municipalities!$A138,'municipalities per province'!$B:$B,0),0)</f>
        <v>ES16</v>
      </c>
      <c r="K138" s="7" cm="1">
        <f t="array" ref="K138">INDEX(coordinates!C:C,MATCH(municipalities!$A138,coordinates!$A:$A,0),0)</f>
        <v>4.5097926216993542</v>
      </c>
      <c r="L138" s="7" cm="1">
        <f t="array" ref="L138">INDEX(coordinates!D:D,MATCH(municipalities!$A138,coordinates!$A:$A,0),0)</f>
        <v>52.36635940538757</v>
      </c>
      <c r="M138" s="8">
        <v>1</v>
      </c>
      <c r="N138" s="9">
        <v>17542</v>
      </c>
      <c r="O138" s="9">
        <v>8524</v>
      </c>
      <c r="P138" s="9">
        <v>9018</v>
      </c>
      <c r="Q138" s="9">
        <v>2</v>
      </c>
      <c r="R138" s="10">
        <v>1842</v>
      </c>
      <c r="S138" s="11">
        <v>54</v>
      </c>
      <c r="T138" s="11">
        <v>45</v>
      </c>
      <c r="U138" s="12">
        <f t="shared" si="16"/>
        <v>36.9</v>
      </c>
      <c r="V138" s="12">
        <f t="shared" si="17"/>
        <v>8</v>
      </c>
      <c r="W138" s="12">
        <f t="shared" si="18"/>
        <v>12.1</v>
      </c>
      <c r="X138" s="12">
        <f t="shared" si="19"/>
        <v>15.4</v>
      </c>
      <c r="Y138" s="12">
        <f t="shared" si="20"/>
        <v>152.1</v>
      </c>
      <c r="Z138" s="12" cm="1">
        <f t="array" ref="Z138">INDEX(municipality_wind_potential!$X:$X,MATCH(municipalities!$F138,municipality_wind_potential!$E:$E,0),0)</f>
        <v>29</v>
      </c>
      <c r="AA138" s="12">
        <f t="shared" si="21"/>
        <v>162.39999999999998</v>
      </c>
      <c r="AB138" s="12" cm="1">
        <f t="array" ref="AB138">INDEX(municipality_wind_potential!$Y:$Y,MATCH(municipalities!$F138,municipality_wind_potential!$E:$E,0),0) / 3.6</f>
        <v>614.46111111111111</v>
      </c>
      <c r="AC138" s="12">
        <f t="shared" si="22"/>
        <v>18.949484041276701</v>
      </c>
      <c r="AD138" s="12" cm="1">
        <f t="array" ref="AD138">INDEX(municipality_pv_potential!$G:$G,MATCH(municipalities!$A138,municipality_pv_potential!$E:$E,0),0)/3.6*$AH$4</f>
        <v>17.547222222222224</v>
      </c>
      <c r="AE138" s="12">
        <f t="shared" si="23"/>
        <v>0</v>
      </c>
      <c r="AF138" s="12" cm="1">
        <f t="array" ref="AF138">INDEX(municipality_pv_potential!$H:$H,MATCH(municipalities!$A138,municipality_pv_potential!$E:$E,0),0)/3.6</f>
        <v>0</v>
      </c>
      <c r="AG138" s="12"/>
      <c r="AJ138">
        <v>36.9</v>
      </c>
      <c r="AK138">
        <v>8</v>
      </c>
      <c r="AL138">
        <v>12.1</v>
      </c>
      <c r="AM138">
        <v>15.4</v>
      </c>
      <c r="AN138">
        <v>152.1</v>
      </c>
    </row>
    <row r="139" spans="1:40" x14ac:dyDescent="0.25">
      <c r="A139" s="5" t="s">
        <v>431</v>
      </c>
      <c r="B139" s="6" t="s">
        <v>432</v>
      </c>
      <c r="C139" s="7" t="s">
        <v>433</v>
      </c>
      <c r="D139" s="7" t="s">
        <v>433</v>
      </c>
      <c r="E139" s="7" t="s">
        <v>22</v>
      </c>
      <c r="F139" s="7" t="s">
        <v>431</v>
      </c>
      <c r="G139" s="7" t="str" cm="1">
        <f t="array" ref="G139">INDEX('municipalities per province'!F:F,MATCH(municipalities!A139,'municipalities per province'!B:B,0),0)</f>
        <v>Noord-Holland</v>
      </c>
      <c r="H139" s="7" t="str" cm="1">
        <f t="array" ref="H139">INDEX('municipalities per province'!E:E,MATCH(municipalities!$A139,'municipalities per province'!$B:$B,0),0)</f>
        <v>PV27</v>
      </c>
      <c r="I139" s="7" t="str" cm="1">
        <f t="array" ref="I139">INDEX('municipalities per province'!G:G,MATCH(municipalities!$A139,'municipalities per province'!$B:$B,0),0)</f>
        <v>Noord-HollandZuid</v>
      </c>
      <c r="J139" s="7" t="str" cm="1">
        <f t="array" ref="J139">INDEX('municipalities per province'!H:H,MATCH(municipalities!$A139,'municipalities per province'!$B:$B,0),0)</f>
        <v>ES16</v>
      </c>
      <c r="K139" s="7" cm="1">
        <f t="array" ref="K139">INDEX(coordinates!C:C,MATCH(municipalities!$A139,coordinates!$A:$A,0),0)</f>
        <v>4.7730017828236644</v>
      </c>
      <c r="L139" s="7" cm="1">
        <f t="array" ref="L139">INDEX(coordinates!D:D,MATCH(municipalities!$A139,coordinates!$A:$A,0),0)</f>
        <v>52.462913419579642</v>
      </c>
      <c r="M139" s="8">
        <v>1</v>
      </c>
      <c r="N139" s="9">
        <v>159618</v>
      </c>
      <c r="O139" s="9">
        <v>79348</v>
      </c>
      <c r="P139" s="9">
        <v>80270</v>
      </c>
      <c r="Q139" s="9">
        <v>2</v>
      </c>
      <c r="R139" s="10">
        <v>2098</v>
      </c>
      <c r="S139" s="11">
        <v>54</v>
      </c>
      <c r="T139" s="11">
        <v>46</v>
      </c>
      <c r="U139" s="12">
        <f t="shared" si="16"/>
        <v>31.9</v>
      </c>
      <c r="V139" s="12">
        <f t="shared" si="17"/>
        <v>6.9</v>
      </c>
      <c r="W139" s="12">
        <f t="shared" si="18"/>
        <v>10.4</v>
      </c>
      <c r="X139" s="12">
        <f t="shared" si="19"/>
        <v>13.3</v>
      </c>
      <c r="Y139" s="12">
        <f t="shared" si="20"/>
        <v>79.599999999999994</v>
      </c>
      <c r="Z139" s="12" cm="1">
        <f t="array" ref="Z139">INDEX(municipality_wind_potential!$X:$X,MATCH(municipalities!$F139,municipality_wind_potential!$E:$E,0),0)</f>
        <v>9</v>
      </c>
      <c r="AA139" s="12">
        <f t="shared" si="21"/>
        <v>50.4</v>
      </c>
      <c r="AB139" s="12" cm="1">
        <f t="array" ref="AB139">INDEX(municipality_wind_potential!$Y:$Y,MATCH(municipalities!$F139,municipality_wind_potential!$E:$E,0),0) / 3.6</f>
        <v>150.89166666666668</v>
      </c>
      <c r="AC139" s="12">
        <f t="shared" si="22"/>
        <v>175.0017998560115</v>
      </c>
      <c r="AD139" s="12" cm="1">
        <f t="array" ref="AD139">INDEX(municipality_pv_potential!$G:$G,MATCH(municipalities!$A139,municipality_pv_potential!$E:$E,0),0)/3.6*$AH$4</f>
        <v>162.05166666666665</v>
      </c>
      <c r="AE139" s="12">
        <f t="shared" si="23"/>
        <v>140.09479241660665</v>
      </c>
      <c r="AF139" s="12" cm="1">
        <f t="array" ref="AF139">INDEX(municipality_pv_potential!$H:$H,MATCH(municipalities!$A139,municipality_pv_potential!$E:$E,0),0)/3.6</f>
        <v>129.72777777777776</v>
      </c>
      <c r="AG139" s="12"/>
      <c r="AJ139">
        <v>31.9</v>
      </c>
      <c r="AK139">
        <v>6.9</v>
      </c>
      <c r="AL139">
        <v>10.4</v>
      </c>
      <c r="AM139">
        <v>13.3</v>
      </c>
      <c r="AN139">
        <v>79.599999999999994</v>
      </c>
    </row>
    <row r="140" spans="1:40" x14ac:dyDescent="0.25">
      <c r="A140" s="5" t="s">
        <v>434</v>
      </c>
      <c r="B140" s="6" t="s">
        <v>435</v>
      </c>
      <c r="C140" s="7" t="s">
        <v>436</v>
      </c>
      <c r="D140" s="7" t="s">
        <v>436</v>
      </c>
      <c r="E140" s="7" t="s">
        <v>22</v>
      </c>
      <c r="F140" s="7" t="s">
        <v>434</v>
      </c>
      <c r="G140" s="7" t="str" cm="1">
        <f t="array" ref="G140">INDEX('municipalities per province'!F:F,MATCH(municipalities!A140,'municipalities per province'!B:B,0),0)</f>
        <v>Zuid-Holland</v>
      </c>
      <c r="H140" s="7" t="str" cm="1">
        <f t="array" ref="H140">INDEX('municipalities per province'!E:E,MATCH(municipalities!$A140,'municipalities per province'!$B:$B,0),0)</f>
        <v>PV28</v>
      </c>
      <c r="I140" s="7" t="str" cm="1">
        <f t="array" ref="I140">INDEX('municipalities per province'!G:G,MATCH(municipalities!$A140,'municipalities per province'!$B:$B,0),0)</f>
        <v>Drechtsteden</v>
      </c>
      <c r="J140" s="7" t="str" cm="1">
        <f t="array" ref="J140">INDEX('municipalities per province'!H:H,MATCH(municipalities!$A140,'municipalities per province'!$B:$B,0),0)</f>
        <v>ES18</v>
      </c>
      <c r="K140" s="7" cm="1">
        <f t="array" ref="K140">INDEX(coordinates!C:C,MATCH(municipalities!$A140,coordinates!$A:$A,0),0)</f>
        <v>4.6657274871273078</v>
      </c>
      <c r="L140" s="7" cm="1">
        <f t="array" ref="L140">INDEX(coordinates!D:D,MATCH(municipalities!$A140,coordinates!$A:$A,0),0)</f>
        <v>51.864655071675088</v>
      </c>
      <c r="M140" s="8">
        <v>1</v>
      </c>
      <c r="N140" s="9">
        <v>20356</v>
      </c>
      <c r="O140" s="9">
        <v>10019</v>
      </c>
      <c r="P140" s="9">
        <v>10337</v>
      </c>
      <c r="Q140" s="9">
        <v>2</v>
      </c>
      <c r="R140" s="10">
        <v>1528</v>
      </c>
      <c r="S140" s="11">
        <v>62</v>
      </c>
      <c r="T140" s="11">
        <v>38</v>
      </c>
      <c r="U140" s="12">
        <f t="shared" si="16"/>
        <v>33.200000000000003</v>
      </c>
      <c r="V140" s="12">
        <f t="shared" si="17"/>
        <v>4.9000000000000004</v>
      </c>
      <c r="W140" s="12">
        <f t="shared" si="18"/>
        <v>7.9</v>
      </c>
      <c r="X140" s="12">
        <f t="shared" si="19"/>
        <v>11.3</v>
      </c>
      <c r="Y140" s="12">
        <f t="shared" si="20"/>
        <v>94.5</v>
      </c>
      <c r="Z140" s="12" cm="1">
        <f t="array" ref="Z140">INDEX(municipality_wind_potential!$X:$X,MATCH(municipalities!$F140,municipality_wind_potential!$E:$E,0),0)</f>
        <v>2</v>
      </c>
      <c r="AA140" s="12">
        <f t="shared" si="21"/>
        <v>11.2</v>
      </c>
      <c r="AB140" s="12" cm="1">
        <f t="array" ref="AB140">INDEX(municipality_wind_potential!$Y:$Y,MATCH(municipalities!$F140,municipality_wind_potential!$E:$E,0),0) / 3.6</f>
        <v>24.191666666666666</v>
      </c>
      <c r="AC140" s="12">
        <f t="shared" si="22"/>
        <v>26.535277177825776</v>
      </c>
      <c r="AD140" s="12" cm="1">
        <f t="array" ref="AD140">INDEX(municipality_pv_potential!$G:$G,MATCH(municipalities!$A140,municipality_pv_potential!$E:$E,0),0)/3.6*$AH$4</f>
        <v>24.571666666666669</v>
      </c>
      <c r="AE140" s="12">
        <f t="shared" si="23"/>
        <v>12.386009119270456</v>
      </c>
      <c r="AF140" s="12" cm="1">
        <f t="array" ref="AF140">INDEX(municipality_pv_potential!$H:$H,MATCH(municipalities!$A140,municipality_pv_potential!$E:$E,0),0)/3.6</f>
        <v>11.469444444444443</v>
      </c>
      <c r="AG140" s="12"/>
      <c r="AJ140">
        <v>33.200000000000003</v>
      </c>
      <c r="AK140">
        <v>4.9000000000000004</v>
      </c>
      <c r="AL140">
        <v>7.9</v>
      </c>
      <c r="AM140">
        <v>11.3</v>
      </c>
      <c r="AN140">
        <v>94.5</v>
      </c>
    </row>
    <row r="141" spans="1:40" x14ac:dyDescent="0.25">
      <c r="A141" s="5" t="s">
        <v>437</v>
      </c>
      <c r="B141" s="6" t="s">
        <v>438</v>
      </c>
      <c r="C141" s="7" t="s">
        <v>439</v>
      </c>
      <c r="D141" s="7" t="s">
        <v>439</v>
      </c>
      <c r="E141" s="7" t="s">
        <v>22</v>
      </c>
      <c r="F141" s="7" t="s">
        <v>437</v>
      </c>
      <c r="G141" s="7" t="str" cm="1">
        <f t="array" ref="G141">INDEX('municipalities per province'!F:F,MATCH(municipalities!A141,'municipalities per province'!B:B,0),0)</f>
        <v>Zuid-Holland</v>
      </c>
      <c r="H141" s="7" t="str" cm="1">
        <f t="array" ref="H141">INDEX('municipalities per province'!E:E,MATCH(municipalities!$A141,'municipalities per province'!$B:$B,0),0)</f>
        <v>PV28</v>
      </c>
      <c r="I141" s="7" t="str" cm="1">
        <f t="array" ref="I141">INDEX('municipalities per province'!G:G,MATCH(municipalities!$A141,'municipalities per province'!$B:$B,0),0)</f>
        <v>HollandRijnland</v>
      </c>
      <c r="J141" s="7" t="str" cm="1">
        <f t="array" ref="J141">INDEX('municipalities per province'!H:H,MATCH(municipalities!$A141,'municipalities per province'!$B:$B,0),0)</f>
        <v>ES21</v>
      </c>
      <c r="K141" s="7" cm="1">
        <f t="array" ref="K141">INDEX(coordinates!C:C,MATCH(municipalities!$A141,coordinates!$A:$A,0),0)</f>
        <v>4.6409793462304183</v>
      </c>
      <c r="L141" s="7" cm="1">
        <f t="array" ref="L141">INDEX(coordinates!D:D,MATCH(municipalities!$A141,coordinates!$A:$A,0),0)</f>
        <v>52.113322822975057</v>
      </c>
      <c r="M141" s="8">
        <v>1</v>
      </c>
      <c r="N141" s="9">
        <v>114182</v>
      </c>
      <c r="O141" s="9">
        <v>56840</v>
      </c>
      <c r="P141" s="9">
        <v>57342</v>
      </c>
      <c r="Q141" s="9">
        <v>2</v>
      </c>
      <c r="R141" s="10">
        <v>1897</v>
      </c>
      <c r="S141" s="11">
        <v>64</v>
      </c>
      <c r="T141" s="11">
        <v>36</v>
      </c>
      <c r="U141" s="12">
        <f t="shared" si="16"/>
        <v>35.6</v>
      </c>
      <c r="V141" s="12">
        <f t="shared" si="17"/>
        <v>4.2</v>
      </c>
      <c r="W141" s="12">
        <f t="shared" si="18"/>
        <v>6.4</v>
      </c>
      <c r="X141" s="12">
        <f t="shared" si="19"/>
        <v>8.5</v>
      </c>
      <c r="Y141" s="12">
        <f t="shared" si="20"/>
        <v>111.2</v>
      </c>
      <c r="Z141" s="12" cm="1">
        <f t="array" ref="Z141">INDEX(municipality_wind_potential!$X:$X,MATCH(municipalities!$F141,municipality_wind_potential!$E:$E,0),0)</f>
        <v>68</v>
      </c>
      <c r="AA141" s="12">
        <f t="shared" si="21"/>
        <v>380.79999999999995</v>
      </c>
      <c r="AB141" s="12" cm="1">
        <f t="array" ref="AB141">INDEX(municipality_wind_potential!$Y:$Y,MATCH(municipalities!$F141,municipality_wind_potential!$E:$E,0),0) / 3.6</f>
        <v>1198.2611111111109</v>
      </c>
      <c r="AC141" s="12">
        <f t="shared" si="22"/>
        <v>155.31497480201585</v>
      </c>
      <c r="AD141" s="12" cm="1">
        <f t="array" ref="AD141">INDEX(municipality_pv_potential!$G:$G,MATCH(municipalities!$A141,municipality_pv_potential!$E:$E,0),0)/3.6*$AH$4</f>
        <v>143.82166666666669</v>
      </c>
      <c r="AE141" s="12">
        <f t="shared" si="23"/>
        <v>349.0130789536837</v>
      </c>
      <c r="AF141" s="12" cm="1">
        <f t="array" ref="AF141">INDEX(municipality_pv_potential!$H:$H,MATCH(municipalities!$A141,municipality_pv_potential!$E:$E,0),0)/3.6</f>
        <v>323.18611111111113</v>
      </c>
      <c r="AG141" s="12"/>
      <c r="AJ141">
        <v>35.6</v>
      </c>
      <c r="AK141">
        <v>4.2</v>
      </c>
      <c r="AL141">
        <v>6.4</v>
      </c>
      <c r="AM141">
        <v>8.5</v>
      </c>
      <c r="AN141">
        <v>111.2</v>
      </c>
    </row>
    <row r="142" spans="1:40" x14ac:dyDescent="0.25">
      <c r="A142" s="5" t="s">
        <v>440</v>
      </c>
      <c r="B142" s="6" t="s">
        <v>441</v>
      </c>
      <c r="C142" s="7" t="s">
        <v>442</v>
      </c>
      <c r="D142" s="7" t="s">
        <v>442</v>
      </c>
      <c r="E142" s="7" t="s">
        <v>22</v>
      </c>
      <c r="F142" s="7" t="s">
        <v>440</v>
      </c>
      <c r="G142" s="7" t="str" cm="1">
        <f t="array" ref="G142">INDEX('municipalities per province'!F:F,MATCH(municipalities!A142,'municipalities per province'!B:B,0),0)</f>
        <v>Zuid-Holland</v>
      </c>
      <c r="H142" s="7" t="str" cm="1">
        <f t="array" ref="H142">INDEX('municipalities per province'!E:E,MATCH(municipalities!$A142,'municipalities per province'!$B:$B,0),0)</f>
        <v>PV28</v>
      </c>
      <c r="I142" s="7" t="str" cm="1">
        <f t="array" ref="I142">INDEX('municipalities per province'!G:G,MATCH(municipalities!$A142,'municipalities per province'!$B:$B,0),0)</f>
        <v>Rotterdam/DenHaag</v>
      </c>
      <c r="J142" s="7" t="str" cm="1">
        <f t="array" ref="J142">INDEX('municipalities per province'!H:H,MATCH(municipalities!$A142,'municipalities per province'!$B:$B,0),0)</f>
        <v>ES23</v>
      </c>
      <c r="K142" s="7" cm="1">
        <f t="array" ref="K142">INDEX(coordinates!C:C,MATCH(municipalities!$A142,coordinates!$A:$A,0),0)</f>
        <v>4.5254367702615204</v>
      </c>
      <c r="L142" s="7" cm="1">
        <f t="array" ref="L142">INDEX(coordinates!D:D,MATCH(municipalities!$A142,coordinates!$A:$A,0),0)</f>
        <v>51.851065909727531</v>
      </c>
      <c r="M142" s="8">
        <v>1</v>
      </c>
      <c r="N142" s="9">
        <v>48812</v>
      </c>
      <c r="O142" s="9">
        <v>23990</v>
      </c>
      <c r="P142" s="9">
        <v>24822</v>
      </c>
      <c r="Q142" s="9">
        <v>2</v>
      </c>
      <c r="R142" s="10">
        <v>1699</v>
      </c>
      <c r="S142" s="11">
        <v>69</v>
      </c>
      <c r="T142" s="11">
        <v>30</v>
      </c>
      <c r="U142" s="12">
        <f t="shared" si="16"/>
        <v>38.6</v>
      </c>
      <c r="V142" s="12">
        <f t="shared" si="17"/>
        <v>3.4</v>
      </c>
      <c r="W142" s="12">
        <f t="shared" si="18"/>
        <v>5.0999999999999996</v>
      </c>
      <c r="X142" s="12">
        <f t="shared" si="19"/>
        <v>7</v>
      </c>
      <c r="Y142" s="12">
        <f t="shared" si="20"/>
        <v>169.5</v>
      </c>
      <c r="Z142" s="12" cm="1">
        <f t="array" ref="Z142">INDEX(municipality_wind_potential!$X:$X,MATCH(municipalities!$F142,municipality_wind_potential!$E:$E,0),0)</f>
        <v>2</v>
      </c>
      <c r="AA142" s="12">
        <f t="shared" si="21"/>
        <v>11.2</v>
      </c>
      <c r="AB142" s="12" cm="1">
        <f t="array" ref="AB142">INDEX(municipality_wind_potential!$Y:$Y,MATCH(municipalities!$F142,municipality_wind_potential!$E:$E,0),0) / 3.6</f>
        <v>32.255555555555553</v>
      </c>
      <c r="AC142" s="12">
        <f t="shared" si="22"/>
        <v>58.236741060715147</v>
      </c>
      <c r="AD142" s="12" cm="1">
        <f t="array" ref="AD142">INDEX(municipality_pv_potential!$G:$G,MATCH(municipalities!$A142,municipality_pv_potential!$E:$E,0),0)/3.6*$AH$4</f>
        <v>53.927222222222227</v>
      </c>
      <c r="AE142" s="12">
        <f t="shared" si="23"/>
        <v>5.7175425965922724</v>
      </c>
      <c r="AF142" s="12" cm="1">
        <f t="array" ref="AF142">INDEX(municipality_pv_potential!$H:$H,MATCH(municipalities!$A142,municipality_pv_potential!$E:$E,0),0)/3.6</f>
        <v>5.2944444444444443</v>
      </c>
      <c r="AG142" s="12"/>
      <c r="AJ142">
        <v>38.6</v>
      </c>
      <c r="AK142">
        <v>3.4</v>
      </c>
      <c r="AL142">
        <v>5.0999999999999996</v>
      </c>
      <c r="AM142">
        <v>7</v>
      </c>
      <c r="AN142">
        <v>169.5</v>
      </c>
    </row>
    <row r="143" spans="1:40" x14ac:dyDescent="0.25">
      <c r="A143" s="5" t="s">
        <v>443</v>
      </c>
      <c r="B143" s="6" t="s">
        <v>444</v>
      </c>
      <c r="C143" s="7" t="s">
        <v>445</v>
      </c>
      <c r="D143" s="7" t="s">
        <v>445</v>
      </c>
      <c r="E143" s="7" t="s">
        <v>22</v>
      </c>
      <c r="F143" s="7" t="s">
        <v>443</v>
      </c>
      <c r="G143" s="7" t="str" cm="1">
        <f t="array" ref="G143">INDEX('municipalities per province'!F:F,MATCH(municipalities!A143,'municipalities per province'!B:B,0),0)</f>
        <v>Noord-Holland</v>
      </c>
      <c r="H143" s="7" t="str" cm="1">
        <f t="array" ref="H143">INDEX('municipalities per province'!E:E,MATCH(municipalities!$A143,'municipalities per province'!$B:$B,0),0)</f>
        <v>PV27</v>
      </c>
      <c r="I143" s="7" t="str" cm="1">
        <f t="array" ref="I143">INDEX('municipalities per province'!G:G,MATCH(municipalities!$A143,'municipalities per province'!$B:$B,0),0)</f>
        <v>Noord-HollandNoord</v>
      </c>
      <c r="J143" s="7" t="str" cm="1">
        <f t="array" ref="J143">INDEX('municipalities per province'!H:H,MATCH(municipalities!$A143,'municipalities per province'!$B:$B,0),0)</f>
        <v>ES15</v>
      </c>
      <c r="K143" s="7" cm="1">
        <f t="array" ref="K143">INDEX(coordinates!C:C,MATCH(municipalities!$A143,coordinates!$A:$A,0),0)</f>
        <v>5.196574641215606</v>
      </c>
      <c r="L143" s="7" cm="1">
        <f t="array" ref="L143">INDEX(coordinates!D:D,MATCH(municipalities!$A143,coordinates!$A:$A,0),0)</f>
        <v>52.637901331873103</v>
      </c>
      <c r="M143" s="8">
        <v>1</v>
      </c>
      <c r="N143" s="9">
        <v>20385</v>
      </c>
      <c r="O143" s="9">
        <v>10292</v>
      </c>
      <c r="P143" s="9">
        <v>10093</v>
      </c>
      <c r="Q143" s="9">
        <v>4</v>
      </c>
      <c r="R143" s="10">
        <v>511</v>
      </c>
      <c r="S143" s="11">
        <v>74</v>
      </c>
      <c r="T143" s="11">
        <v>26</v>
      </c>
      <c r="U143" s="12">
        <f t="shared" si="16"/>
        <v>36.299999999999997</v>
      </c>
      <c r="V143" s="12">
        <f t="shared" si="17"/>
        <v>3.6</v>
      </c>
      <c r="W143" s="12">
        <f t="shared" si="18"/>
        <v>6</v>
      </c>
      <c r="X143" s="12">
        <f t="shared" si="19"/>
        <v>7.9</v>
      </c>
      <c r="Y143" s="12">
        <f t="shared" si="20"/>
        <v>209.9</v>
      </c>
      <c r="Z143" s="12" cm="1">
        <f t="array" ref="Z143">INDEX(municipality_wind_potential!$X:$X,MATCH(municipalities!$F143,municipality_wind_potential!$E:$E,0),0)</f>
        <v>29</v>
      </c>
      <c r="AA143" s="12">
        <f t="shared" si="21"/>
        <v>162.39999999999998</v>
      </c>
      <c r="AB143" s="12" cm="1">
        <f t="array" ref="AB143">INDEX(municipality_wind_potential!$Y:$Y,MATCH(municipalities!$F143,municipality_wind_potential!$E:$E,0),0) / 3.6</f>
        <v>568.4</v>
      </c>
      <c r="AC143" s="12">
        <f t="shared" si="22"/>
        <v>49.043676505879532</v>
      </c>
      <c r="AD143" s="12" cm="1">
        <f t="array" ref="AD143">INDEX(municipality_pv_potential!$G:$G,MATCH(municipalities!$A143,municipality_pv_potential!$E:$E,0),0)/3.6*$AH$4</f>
        <v>45.414444444444449</v>
      </c>
      <c r="AE143" s="12">
        <f t="shared" si="23"/>
        <v>217.99856011519077</v>
      </c>
      <c r="AF143" s="12" cm="1">
        <f t="array" ref="AF143">INDEX(municipality_pv_potential!$H:$H,MATCH(municipalities!$A143,municipality_pv_potential!$E:$E,0),0)/3.6</f>
        <v>201.86666666666667</v>
      </c>
      <c r="AG143" s="12"/>
      <c r="AJ143">
        <v>36.299999999999997</v>
      </c>
      <c r="AK143">
        <v>3.6</v>
      </c>
      <c r="AL143">
        <v>6</v>
      </c>
      <c r="AM143">
        <v>7.9</v>
      </c>
      <c r="AN143">
        <v>209.9</v>
      </c>
    </row>
    <row r="144" spans="1:40" x14ac:dyDescent="0.25">
      <c r="A144" s="5" t="s">
        <v>446</v>
      </c>
      <c r="B144" s="6" t="s">
        <v>447</v>
      </c>
      <c r="C144" s="7" t="s">
        <v>448</v>
      </c>
      <c r="D144" s="7" t="s">
        <v>448</v>
      </c>
      <c r="E144" s="7" t="s">
        <v>22</v>
      </c>
      <c r="F144" s="7" t="s">
        <v>446</v>
      </c>
      <c r="G144" s="7" t="str" cm="1">
        <f t="array" ref="G144">INDEX('municipalities per province'!F:F,MATCH(municipalities!A144,'municipalities per province'!B:B,0),0)</f>
        <v>Zuid-Holland</v>
      </c>
      <c r="H144" s="7" t="str" cm="1">
        <f t="array" ref="H144">INDEX('municipalities per province'!E:E,MATCH(municipalities!$A144,'municipalities per province'!$B:$B,0),0)</f>
        <v>PV28</v>
      </c>
      <c r="I144" s="7" t="str" cm="1">
        <f t="array" ref="I144">INDEX('municipalities per province'!G:G,MATCH(municipalities!$A144,'municipalities per province'!$B:$B,0),0)</f>
        <v>Rotterdam/DenHaag</v>
      </c>
      <c r="J144" s="7" t="str" cm="1">
        <f t="array" ref="J144">INDEX('municipalities per province'!H:H,MATCH(municipalities!$A144,'municipalities per province'!$B:$B,0),0)</f>
        <v>ES23</v>
      </c>
      <c r="K144" s="7" cm="1">
        <f t="array" ref="K144">INDEX(coordinates!C:C,MATCH(municipalities!$A144,coordinates!$A:$A,0),0)</f>
        <v>4.5801419868005979</v>
      </c>
      <c r="L144" s="7" cm="1">
        <f t="array" ref="L144">INDEX(coordinates!D:D,MATCH(municipalities!$A144,coordinates!$A:$A,0),0)</f>
        <v>51.934932189936823</v>
      </c>
      <c r="M144" s="8">
        <v>1</v>
      </c>
      <c r="N144" s="9">
        <v>67552</v>
      </c>
      <c r="O144" s="9">
        <v>32695</v>
      </c>
      <c r="P144" s="9">
        <v>34857</v>
      </c>
      <c r="Q144" s="9">
        <v>2</v>
      </c>
      <c r="R144" s="10">
        <v>2280</v>
      </c>
      <c r="S144" s="11">
        <v>54</v>
      </c>
      <c r="T144" s="11">
        <v>46</v>
      </c>
      <c r="U144" s="12">
        <f t="shared" si="16"/>
        <v>32.6</v>
      </c>
      <c r="V144" s="12">
        <f t="shared" si="17"/>
        <v>7.7</v>
      </c>
      <c r="W144" s="12">
        <f t="shared" si="18"/>
        <v>11.3</v>
      </c>
      <c r="X144" s="12">
        <f t="shared" si="19"/>
        <v>14.2</v>
      </c>
      <c r="Y144" s="12">
        <f t="shared" si="20"/>
        <v>65.900000000000006</v>
      </c>
      <c r="Z144" s="12" cm="1">
        <f t="array" ref="Z144">INDEX(municipality_wind_potential!$X:$X,MATCH(municipalities!$F144,municipality_wind_potential!$E:$E,0),0)</f>
        <v>0</v>
      </c>
      <c r="AA144" s="12">
        <f t="shared" si="21"/>
        <v>0</v>
      </c>
      <c r="AB144" s="12" cm="1">
        <f t="array" ref="AB144">INDEX(municipality_wind_potential!$Y:$Y,MATCH(municipalities!$F144,municipality_wind_potential!$E:$E,0),0) / 3.6</f>
        <v>0</v>
      </c>
      <c r="AC144" s="12">
        <f t="shared" si="22"/>
        <v>58.524118070554344</v>
      </c>
      <c r="AD144" s="12" cm="1">
        <f t="array" ref="AD144">INDEX(municipality_pv_potential!$G:$G,MATCH(municipalities!$A144,municipality_pv_potential!$E:$E,0),0)/3.6*$AH$4</f>
        <v>54.193333333333328</v>
      </c>
      <c r="AE144" s="12">
        <f t="shared" si="23"/>
        <v>5.9995200383969292E-2</v>
      </c>
      <c r="AF144" s="12" cm="1">
        <f t="array" ref="AF144">INDEX(municipality_pv_potential!$H:$H,MATCH(municipalities!$A144,municipality_pv_potential!$E:$E,0),0)/3.6</f>
        <v>5.5555555555555559E-2</v>
      </c>
      <c r="AG144" s="12"/>
      <c r="AJ144">
        <v>32.6</v>
      </c>
      <c r="AK144">
        <v>7.7</v>
      </c>
      <c r="AL144">
        <v>11.3</v>
      </c>
      <c r="AM144">
        <v>14.2</v>
      </c>
      <c r="AN144">
        <v>65.900000000000006</v>
      </c>
    </row>
    <row r="145" spans="1:40" x14ac:dyDescent="0.25">
      <c r="A145" s="5" t="s">
        <v>449</v>
      </c>
      <c r="B145" s="6" t="s">
        <v>450</v>
      </c>
      <c r="C145" s="7" t="s">
        <v>451</v>
      </c>
      <c r="D145" s="7" t="s">
        <v>451</v>
      </c>
      <c r="E145" s="7" t="s">
        <v>22</v>
      </c>
      <c r="F145" s="7" t="s">
        <v>449</v>
      </c>
      <c r="G145" s="7" t="str" cm="1">
        <f t="array" ref="G145">INDEX('municipalities per province'!F:F,MATCH(municipalities!A145,'municipalities per province'!B:B,0),0)</f>
        <v>Zuid-Holland</v>
      </c>
      <c r="H145" s="7" t="str" cm="1">
        <f t="array" ref="H145">INDEX('municipalities per province'!E:E,MATCH(municipalities!$A145,'municipalities per province'!$B:$B,0),0)</f>
        <v>PV28</v>
      </c>
      <c r="I145" s="7" t="str" cm="1">
        <f t="array" ref="I145">INDEX('municipalities per province'!G:G,MATCH(municipalities!$A145,'municipalities per province'!$B:$B,0),0)</f>
        <v>Rotterdam/DenHaag</v>
      </c>
      <c r="J145" s="7" t="str" cm="1">
        <f t="array" ref="J145">INDEX('municipalities per province'!H:H,MATCH(municipalities!$A145,'municipalities per province'!$B:$B,0),0)</f>
        <v>ES23</v>
      </c>
      <c r="K145" s="7" cm="1">
        <f t="array" ref="K145">INDEX(coordinates!C:C,MATCH(municipalities!$A145,coordinates!$A:$A,0),0)</f>
        <v>4.3631045090090748</v>
      </c>
      <c r="L145" s="7" cm="1">
        <f t="array" ref="L145">INDEX(coordinates!D:D,MATCH(municipalities!$A145,coordinates!$A:$A,0),0)</f>
        <v>51.998460711723531</v>
      </c>
      <c r="M145" s="8">
        <v>1</v>
      </c>
      <c r="N145" s="9">
        <v>106086</v>
      </c>
      <c r="O145" s="9">
        <v>56052</v>
      </c>
      <c r="P145" s="9">
        <v>50034</v>
      </c>
      <c r="Q145" s="9">
        <v>1</v>
      </c>
      <c r="R145" s="10">
        <v>3674</v>
      </c>
      <c r="S145" s="11">
        <v>37</v>
      </c>
      <c r="T145" s="11">
        <v>63</v>
      </c>
      <c r="U145" s="12">
        <f t="shared" si="16"/>
        <v>27.9</v>
      </c>
      <c r="V145" s="12">
        <f t="shared" si="17"/>
        <v>8.4</v>
      </c>
      <c r="W145" s="12">
        <f t="shared" si="18"/>
        <v>12</v>
      </c>
      <c r="X145" s="12">
        <f t="shared" si="19"/>
        <v>15</v>
      </c>
      <c r="Y145" s="12">
        <f t="shared" si="20"/>
        <v>15.7</v>
      </c>
      <c r="Z145" s="12" cm="1">
        <f t="array" ref="Z145">INDEX(municipality_wind_potential!$X:$X,MATCH(municipalities!$F145,municipality_wind_potential!$E:$E,0),0)</f>
        <v>1</v>
      </c>
      <c r="AA145" s="12">
        <f t="shared" si="21"/>
        <v>5.6</v>
      </c>
      <c r="AB145" s="12" cm="1">
        <f t="array" ref="AB145">INDEX(municipality_wind_potential!$Y:$Y,MATCH(municipalities!$F145,municipality_wind_potential!$E:$E,0),0) / 3.6</f>
        <v>17.752777777777776</v>
      </c>
      <c r="AC145" s="12">
        <f t="shared" si="22"/>
        <v>82.440604751619873</v>
      </c>
      <c r="AD145" s="12" cm="1">
        <f t="array" ref="AD145">INDEX(municipality_pv_potential!$G:$G,MATCH(municipalities!$A145,municipality_pv_potential!$E:$E,0),0)/3.6*$AH$4</f>
        <v>76.34</v>
      </c>
      <c r="AE145" s="12">
        <f t="shared" si="23"/>
        <v>4.9406047516198699</v>
      </c>
      <c r="AF145" s="12" cm="1">
        <f t="array" ref="AF145">INDEX(municipality_pv_potential!$H:$H,MATCH(municipalities!$A145,municipality_pv_potential!$E:$E,0),0)/3.6</f>
        <v>4.5749999999999993</v>
      </c>
      <c r="AG145" s="12"/>
      <c r="AJ145">
        <v>27.9</v>
      </c>
      <c r="AK145">
        <v>8.4</v>
      </c>
      <c r="AL145">
        <v>12</v>
      </c>
      <c r="AM145">
        <v>15</v>
      </c>
      <c r="AN145">
        <v>15.7</v>
      </c>
    </row>
    <row r="146" spans="1:40" x14ac:dyDescent="0.25">
      <c r="A146" s="5" t="s">
        <v>452</v>
      </c>
      <c r="B146" s="6" t="s">
        <v>453</v>
      </c>
      <c r="C146" s="7" t="s">
        <v>454</v>
      </c>
      <c r="D146" s="7" t="s">
        <v>454</v>
      </c>
      <c r="E146" s="7" t="s">
        <v>22</v>
      </c>
      <c r="F146" s="7" t="s">
        <v>452</v>
      </c>
      <c r="G146" s="7" t="str" cm="1">
        <f t="array" ref="G146">INDEX('municipalities per province'!F:F,MATCH(municipalities!A146,'municipalities per province'!B:B,0),0)</f>
        <v>Zuid-Holland</v>
      </c>
      <c r="H146" s="7" t="str" cm="1">
        <f t="array" ref="H146">INDEX('municipalities per province'!E:E,MATCH(municipalities!$A146,'municipalities per province'!$B:$B,0),0)</f>
        <v>PV28</v>
      </c>
      <c r="I146" s="7" t="str" cm="1">
        <f t="array" ref="I146">INDEX('municipalities per province'!G:G,MATCH(municipalities!$A146,'municipalities per province'!$B:$B,0),0)</f>
        <v>Drechtsteden</v>
      </c>
      <c r="J146" s="7" t="str" cm="1">
        <f t="array" ref="J146">INDEX('municipalities per province'!H:H,MATCH(municipalities!$A146,'municipalities per province'!$B:$B,0),0)</f>
        <v>ES18</v>
      </c>
      <c r="K146" s="7" cm="1">
        <f t="array" ref="K146">INDEX(coordinates!C:C,MATCH(municipalities!$A146,coordinates!$A:$A,0),0)</f>
        <v>4.631794102764176</v>
      </c>
      <c r="L146" s="7" cm="1">
        <f t="array" ref="L146">INDEX(coordinates!D:D,MATCH(municipalities!$A146,coordinates!$A:$A,0),0)</f>
        <v>51.719097492020211</v>
      </c>
      <c r="M146" s="8">
        <v>1</v>
      </c>
      <c r="N146" s="9">
        <v>121434</v>
      </c>
      <c r="O146" s="9">
        <v>60264</v>
      </c>
      <c r="P146" s="9">
        <v>61170</v>
      </c>
      <c r="Q146" s="9">
        <v>1</v>
      </c>
      <c r="R146" s="10">
        <v>2535</v>
      </c>
      <c r="S146" s="11">
        <v>58</v>
      </c>
      <c r="T146" s="11">
        <v>42</v>
      </c>
      <c r="U146" s="12">
        <f t="shared" si="16"/>
        <v>32.4</v>
      </c>
      <c r="V146" s="12">
        <f t="shared" si="17"/>
        <v>8.1</v>
      </c>
      <c r="W146" s="12">
        <f t="shared" si="18"/>
        <v>11.7</v>
      </c>
      <c r="X146" s="12">
        <f t="shared" si="19"/>
        <v>14.6</v>
      </c>
      <c r="Y146" s="12">
        <f t="shared" si="20"/>
        <v>67.2</v>
      </c>
      <c r="Z146" s="12" cm="1">
        <f t="array" ref="Z146">INDEX(municipality_wind_potential!$X:$X,MATCH(municipalities!$F146,municipality_wind_potential!$E:$E,0),0)</f>
        <v>54</v>
      </c>
      <c r="AA146" s="12">
        <f t="shared" si="21"/>
        <v>302.39999999999998</v>
      </c>
      <c r="AB146" s="12" cm="1">
        <f t="array" ref="AB146">INDEX(municipality_wind_potential!$Y:$Y,MATCH(municipalities!$F146,municipality_wind_potential!$E:$E,0),0) / 3.6</f>
        <v>862.84722222222217</v>
      </c>
      <c r="AC146" s="12">
        <f t="shared" si="22"/>
        <v>125.48356131509478</v>
      </c>
      <c r="AD146" s="12" cm="1">
        <f t="array" ref="AD146">INDEX(municipality_pv_potential!$G:$G,MATCH(municipalities!$A146,municipality_pv_potential!$E:$E,0),0)/3.6*$AH$4</f>
        <v>116.19777777777777</v>
      </c>
      <c r="AE146" s="12">
        <f t="shared" si="23"/>
        <v>108.34233261339094</v>
      </c>
      <c r="AF146" s="12" cm="1">
        <f t="array" ref="AF146">INDEX(municipality_pv_potential!$H:$H,MATCH(municipalities!$A146,municipality_pv_potential!$E:$E,0),0)/3.6</f>
        <v>100.325</v>
      </c>
      <c r="AG146" s="12"/>
      <c r="AJ146">
        <v>32.4</v>
      </c>
      <c r="AK146">
        <v>8.1</v>
      </c>
      <c r="AL146">
        <v>11.7</v>
      </c>
      <c r="AM146">
        <v>14.6</v>
      </c>
      <c r="AN146">
        <v>67.2</v>
      </c>
    </row>
    <row r="147" spans="1:40" x14ac:dyDescent="0.25">
      <c r="A147" s="5" t="s">
        <v>455</v>
      </c>
      <c r="B147" s="6" t="s">
        <v>456</v>
      </c>
      <c r="C147" s="7" t="s">
        <v>457</v>
      </c>
      <c r="D147" s="7" t="s">
        <v>457</v>
      </c>
      <c r="E147" s="7" t="s">
        <v>22</v>
      </c>
      <c r="F147" s="7" t="s">
        <v>455</v>
      </c>
      <c r="G147" s="7" t="str" cm="1">
        <f t="array" ref="G147">INDEX('municipalities per province'!F:F,MATCH(municipalities!A147,'municipalities per province'!B:B,0),0)</f>
        <v>Zuid-Holland</v>
      </c>
      <c r="H147" s="7" t="str" cm="1">
        <f t="array" ref="H147">INDEX('municipalities per province'!E:E,MATCH(municipalities!$A147,'municipalities per province'!$B:$B,0),0)</f>
        <v>PV28</v>
      </c>
      <c r="I147" s="7" t="str" cm="1">
        <f t="array" ref="I147">INDEX('municipalities per province'!G:G,MATCH(municipalities!$A147,'municipalities per province'!$B:$B,0),0)</f>
        <v>Alblasserwaard</v>
      </c>
      <c r="J147" s="7" t="str" cm="1">
        <f t="array" ref="J147">INDEX('municipalities per province'!H:H,MATCH(municipalities!$A147,'municipalities per province'!$B:$B,0),0)</f>
        <v>ES17</v>
      </c>
      <c r="K147" s="7" cm="1">
        <f t="array" ref="K147">INDEX(coordinates!C:C,MATCH(municipalities!$A147,coordinates!$A:$A,0),0)</f>
        <v>4.9770784347578942</v>
      </c>
      <c r="L147" s="7" cm="1">
        <f t="array" ref="L147">INDEX(coordinates!D:D,MATCH(municipalities!$A147,coordinates!$A:$A,0),0)</f>
        <v>51.838459430992692</v>
      </c>
      <c r="M147" s="8">
        <v>1</v>
      </c>
      <c r="N147" s="9">
        <v>38461</v>
      </c>
      <c r="O147" s="9">
        <v>19113</v>
      </c>
      <c r="P147" s="9">
        <v>19348</v>
      </c>
      <c r="Q147" s="9">
        <v>2</v>
      </c>
      <c r="R147" s="10">
        <v>1750</v>
      </c>
      <c r="S147" s="11">
        <v>49</v>
      </c>
      <c r="T147" s="11">
        <v>51</v>
      </c>
      <c r="U147" s="12">
        <f t="shared" si="16"/>
        <v>33.1</v>
      </c>
      <c r="V147" s="12">
        <f t="shared" si="17"/>
        <v>7</v>
      </c>
      <c r="W147" s="12">
        <f t="shared" si="18"/>
        <v>10.9</v>
      </c>
      <c r="X147" s="12">
        <f t="shared" si="19"/>
        <v>14.1</v>
      </c>
      <c r="Y147" s="12">
        <f t="shared" si="20"/>
        <v>52.7</v>
      </c>
      <c r="Z147" s="12" cm="1">
        <f t="array" ref="Z147">INDEX(municipality_wind_potential!$X:$X,MATCH(municipalities!$F147,municipality_wind_potential!$E:$E,0),0)</f>
        <v>4</v>
      </c>
      <c r="AA147" s="12">
        <f t="shared" si="21"/>
        <v>22.4</v>
      </c>
      <c r="AB147" s="12" cm="1">
        <f t="array" ref="AB147">INDEX(municipality_wind_potential!$Y:$Y,MATCH(municipalities!$F147,municipality_wind_potential!$E:$E,0),0) / 3.6</f>
        <v>64.511111111111106</v>
      </c>
      <c r="AC147" s="12">
        <f t="shared" si="22"/>
        <v>46.745260379169665</v>
      </c>
      <c r="AD147" s="12" cm="1">
        <f t="array" ref="AD147">INDEX(municipality_pv_potential!$G:$G,MATCH(municipalities!$A147,municipality_pv_potential!$E:$E,0),0)/3.6*$AH$4</f>
        <v>43.286111111111111</v>
      </c>
      <c r="AE147" s="12">
        <f t="shared" si="23"/>
        <v>27.702783777297814</v>
      </c>
      <c r="AF147" s="12" cm="1">
        <f t="array" ref="AF147">INDEX(municipality_pv_potential!$H:$H,MATCH(municipalities!$A147,municipality_pv_potential!$E:$E,0),0)/3.6</f>
        <v>25.652777777777775</v>
      </c>
      <c r="AG147" s="12"/>
      <c r="AJ147">
        <v>33.1</v>
      </c>
      <c r="AK147">
        <v>7</v>
      </c>
      <c r="AL147">
        <v>10.9</v>
      </c>
      <c r="AM147">
        <v>14.1</v>
      </c>
      <c r="AN147">
        <v>52.7</v>
      </c>
    </row>
    <row r="148" spans="1:40" x14ac:dyDescent="0.25">
      <c r="A148" s="5" t="s">
        <v>458</v>
      </c>
      <c r="B148" s="6" t="s">
        <v>459</v>
      </c>
      <c r="C148" s="7" t="s">
        <v>460</v>
      </c>
      <c r="D148" s="7" t="s">
        <v>460</v>
      </c>
      <c r="E148" s="7" t="s">
        <v>22</v>
      </c>
      <c r="F148" s="7" t="s">
        <v>458</v>
      </c>
      <c r="G148" s="7" t="str" cm="1">
        <f t="array" ref="G148">INDEX('municipalities per province'!F:F,MATCH(municipalities!A148,'municipalities per province'!B:B,0),0)</f>
        <v>Zuid-Holland</v>
      </c>
      <c r="H148" s="7" t="str" cm="1">
        <f t="array" ref="H148">INDEX('municipalities per province'!E:E,MATCH(municipalities!$A148,'municipalities per province'!$B:$B,0),0)</f>
        <v>PV28</v>
      </c>
      <c r="I148" s="7" t="str" cm="1">
        <f t="array" ref="I148">INDEX('municipalities per province'!G:G,MATCH(municipalities!$A148,'municipalities per province'!$B:$B,0),0)</f>
        <v>Midden-Holland</v>
      </c>
      <c r="J148" s="7" t="str" cm="1">
        <f t="array" ref="J148">INDEX('municipalities per province'!H:H,MATCH(municipalities!$A148,'municipalities per province'!$B:$B,0),0)</f>
        <v>ES22</v>
      </c>
      <c r="K148" s="7" cm="1">
        <f t="array" ref="K148">INDEX(coordinates!C:C,MATCH(municipalities!$A148,coordinates!$A:$A,0),0)</f>
        <v>4.7062040547802058</v>
      </c>
      <c r="L148" s="7" cm="1">
        <f t="array" ref="L148">INDEX(coordinates!D:D,MATCH(municipalities!$A148,coordinates!$A:$A,0),0)</f>
        <v>52.015301682102709</v>
      </c>
      <c r="M148" s="8">
        <v>1</v>
      </c>
      <c r="N148" s="9">
        <v>75316</v>
      </c>
      <c r="O148" s="9">
        <v>37002</v>
      </c>
      <c r="P148" s="9">
        <v>38314</v>
      </c>
      <c r="Q148" s="9">
        <v>1</v>
      </c>
      <c r="R148" s="10">
        <v>2557</v>
      </c>
      <c r="S148" s="11">
        <v>56</v>
      </c>
      <c r="T148" s="11">
        <v>44</v>
      </c>
      <c r="U148" s="12">
        <f t="shared" si="16"/>
        <v>33</v>
      </c>
      <c r="V148" s="12">
        <f t="shared" si="17"/>
        <v>6.7</v>
      </c>
      <c r="W148" s="12">
        <f t="shared" si="18"/>
        <v>10.3</v>
      </c>
      <c r="X148" s="12">
        <f t="shared" si="19"/>
        <v>13.1</v>
      </c>
      <c r="Y148" s="12">
        <f t="shared" si="20"/>
        <v>77.5</v>
      </c>
      <c r="Z148" s="12" cm="1">
        <f t="array" ref="Z148">INDEX(municipality_wind_potential!$X:$X,MATCH(municipalities!$F148,municipality_wind_potential!$E:$E,0),0)</f>
        <v>2</v>
      </c>
      <c r="AA148" s="12">
        <f t="shared" si="21"/>
        <v>11.2</v>
      </c>
      <c r="AB148" s="12" cm="1">
        <f t="array" ref="AB148">INDEX(municipality_wind_potential!$Y:$Y,MATCH(municipalities!$F148,municipality_wind_potential!$E:$E,0),0) / 3.6</f>
        <v>26.627777777777776</v>
      </c>
      <c r="AC148" s="12">
        <f t="shared" si="22"/>
        <v>66.231101511879061</v>
      </c>
      <c r="AD148" s="12" cm="1">
        <f t="array" ref="AD148">INDEX(municipality_pv_potential!$G:$G,MATCH(municipalities!$A148,municipality_pv_potential!$E:$E,0),0)/3.6*$AH$4</f>
        <v>61.330000000000013</v>
      </c>
      <c r="AE148" s="12">
        <f t="shared" si="23"/>
        <v>8.6213102951763858</v>
      </c>
      <c r="AF148" s="12" cm="1">
        <f t="array" ref="AF148">INDEX(municipality_pv_potential!$H:$H,MATCH(municipalities!$A148,municipality_pv_potential!$E:$E,0),0)/3.6</f>
        <v>7.9833333333333325</v>
      </c>
      <c r="AG148" s="12"/>
      <c r="AJ148">
        <v>33</v>
      </c>
      <c r="AK148">
        <v>6.7</v>
      </c>
      <c r="AL148">
        <v>10.3</v>
      </c>
      <c r="AM148">
        <v>13.1</v>
      </c>
      <c r="AN148">
        <v>77.5</v>
      </c>
    </row>
    <row r="149" spans="1:40" x14ac:dyDescent="0.25">
      <c r="A149" s="5" t="s">
        <v>461</v>
      </c>
      <c r="B149" s="6" t="s">
        <v>462</v>
      </c>
      <c r="C149" s="7" t="s">
        <v>463</v>
      </c>
      <c r="D149" s="7" t="s">
        <v>463</v>
      </c>
      <c r="E149" s="7" t="s">
        <v>22</v>
      </c>
      <c r="F149" s="7" t="s">
        <v>461</v>
      </c>
      <c r="G149" s="7" t="str" cm="1">
        <f t="array" ref="G149">INDEX('municipalities per province'!F:F,MATCH(municipalities!A149,'municipalities per province'!B:B,0),0)</f>
        <v>Zuid-Holland</v>
      </c>
      <c r="H149" s="7" t="str" cm="1">
        <f t="array" ref="H149">INDEX('municipalities per province'!E:E,MATCH(municipalities!$A149,'municipalities per province'!$B:$B,0),0)</f>
        <v>PV28</v>
      </c>
      <c r="I149" s="7" t="str" cm="1">
        <f t="array" ref="I149">INDEX('municipalities per province'!G:G,MATCH(municipalities!$A149,'municipalities per province'!$B:$B,0),0)</f>
        <v>Rotterdam/DenHaag</v>
      </c>
      <c r="J149" s="7" t="str" cm="1">
        <f t="array" ref="J149">INDEX('municipalities per province'!H:H,MATCH(municipalities!$A149,'municipalities per province'!$B:$B,0),0)</f>
        <v>ES23</v>
      </c>
      <c r="K149" s="7" cm="1">
        <f t="array" ref="K149">INDEX(coordinates!C:C,MATCH(municipalities!$A149,coordinates!$A:$A,0),0)</f>
        <v>4.2437674087616069</v>
      </c>
      <c r="L149" s="7" cm="1">
        <f t="array" ref="L149">INDEX(coordinates!D:D,MATCH(municipalities!$A149,coordinates!$A:$A,0),0)</f>
        <v>52.09644597075809</v>
      </c>
      <c r="M149" s="8">
        <v>3</v>
      </c>
      <c r="N149" s="9">
        <v>562839</v>
      </c>
      <c r="O149" s="9">
        <v>280338</v>
      </c>
      <c r="P149" s="9">
        <v>282501</v>
      </c>
      <c r="Q149" s="9">
        <v>1</v>
      </c>
      <c r="R149" s="10">
        <v>5037</v>
      </c>
      <c r="S149" s="11">
        <v>41</v>
      </c>
      <c r="T149" s="11">
        <v>58</v>
      </c>
      <c r="U149" s="12">
        <f t="shared" si="16"/>
        <v>31.8</v>
      </c>
      <c r="V149" s="12">
        <f t="shared" si="17"/>
        <v>11.6</v>
      </c>
      <c r="W149" s="12">
        <f t="shared" si="18"/>
        <v>15.7</v>
      </c>
      <c r="X149" s="12">
        <f t="shared" si="19"/>
        <v>18.7</v>
      </c>
      <c r="Y149" s="12">
        <f t="shared" si="20"/>
        <v>22.1</v>
      </c>
      <c r="Z149" s="12" cm="1">
        <f t="array" ref="Z149">INDEX(municipality_wind_potential!$X:$X,MATCH(municipalities!$F149,municipality_wind_potential!$E:$E,0),0)</f>
        <v>6</v>
      </c>
      <c r="AA149" s="12">
        <f t="shared" si="21"/>
        <v>33.599999999999994</v>
      </c>
      <c r="AB149" s="12" cm="1">
        <f t="array" ref="AB149">INDEX(municipality_wind_potential!$Y:$Y,MATCH(municipalities!$F149,municipality_wind_potential!$E:$E,0),0) / 3.6</f>
        <v>97.636111111111106</v>
      </c>
      <c r="AC149" s="12">
        <f t="shared" si="22"/>
        <v>364.34005279577639</v>
      </c>
      <c r="AD149" s="12" cm="1">
        <f t="array" ref="AD149">INDEX(municipality_pv_potential!$G:$G,MATCH(municipalities!$A149,municipality_pv_potential!$E:$E,0),0)/3.6*$AH$4</f>
        <v>337.37888888888892</v>
      </c>
      <c r="AE149" s="12">
        <f t="shared" si="23"/>
        <v>5.8315334773218144</v>
      </c>
      <c r="AF149" s="12" cm="1">
        <f t="array" ref="AF149">INDEX(municipality_pv_potential!$H:$H,MATCH(municipalities!$A149,municipality_pv_potential!$E:$E,0),0)/3.6</f>
        <v>5.4</v>
      </c>
      <c r="AG149" s="12"/>
      <c r="AJ149">
        <v>31.8</v>
      </c>
      <c r="AK149">
        <v>11.6</v>
      </c>
      <c r="AL149">
        <v>15.7</v>
      </c>
      <c r="AM149">
        <v>18.7</v>
      </c>
      <c r="AN149">
        <v>22.1</v>
      </c>
    </row>
    <row r="150" spans="1:40" x14ac:dyDescent="0.25">
      <c r="A150" s="5" t="s">
        <v>464</v>
      </c>
      <c r="B150" s="6" t="s">
        <v>465</v>
      </c>
      <c r="C150" s="7" t="s">
        <v>466</v>
      </c>
      <c r="D150" s="7" t="s">
        <v>466</v>
      </c>
      <c r="E150" s="7" t="s">
        <v>22</v>
      </c>
      <c r="F150" s="7" t="s">
        <v>464</v>
      </c>
      <c r="G150" s="7" t="str" cm="1">
        <f t="array" ref="G150">INDEX('municipalities per province'!F:F,MATCH(municipalities!A150,'municipalities per province'!B:B,0),0)</f>
        <v>Zuid-Holland</v>
      </c>
      <c r="H150" s="7" t="str" cm="1">
        <f t="array" ref="H150">INDEX('municipalities per province'!E:E,MATCH(municipalities!$A150,'municipalities per province'!$B:$B,0),0)</f>
        <v>PV28</v>
      </c>
      <c r="I150" s="7" t="str" cm="1">
        <f t="array" ref="I150">INDEX('municipalities per province'!G:G,MATCH(municipalities!$A150,'municipalities per province'!$B:$B,0),0)</f>
        <v>Drechtsteden</v>
      </c>
      <c r="J150" s="7" t="str" cm="1">
        <f t="array" ref="J150">INDEX('municipalities per province'!H:H,MATCH(municipalities!$A150,'municipalities per province'!$B:$B,0),0)</f>
        <v>ES18</v>
      </c>
      <c r="K150" s="7" cm="1">
        <f t="array" ref="K150">INDEX(coordinates!C:C,MATCH(municipalities!$A150,coordinates!$A:$A,0),0)</f>
        <v>4.8524199717777803</v>
      </c>
      <c r="L150" s="7" cm="1">
        <f t="array" ref="L150">INDEX(coordinates!D:D,MATCH(municipalities!$A150,coordinates!$A:$A,0),0)</f>
        <v>51.832611647031086</v>
      </c>
      <c r="M150" s="8">
        <v>1</v>
      </c>
      <c r="N150" s="9">
        <v>18681</v>
      </c>
      <c r="O150" s="9">
        <v>9269</v>
      </c>
      <c r="P150" s="9">
        <v>9412</v>
      </c>
      <c r="Q150" s="9">
        <v>4</v>
      </c>
      <c r="R150" s="10">
        <v>992</v>
      </c>
      <c r="S150" s="11">
        <v>65</v>
      </c>
      <c r="T150" s="11">
        <v>35</v>
      </c>
      <c r="U150" s="12">
        <f t="shared" si="16"/>
        <v>34.200000000000003</v>
      </c>
      <c r="V150" s="12">
        <f t="shared" si="17"/>
        <v>3.2</v>
      </c>
      <c r="W150" s="12">
        <f t="shared" si="18"/>
        <v>5.5</v>
      </c>
      <c r="X150" s="12">
        <f t="shared" si="19"/>
        <v>8.1999999999999993</v>
      </c>
      <c r="Y150" s="12">
        <f t="shared" si="20"/>
        <v>142.1</v>
      </c>
      <c r="Z150" s="12" cm="1">
        <f t="array" ref="Z150">INDEX(municipality_wind_potential!$X:$X,MATCH(municipalities!$F150,municipality_wind_potential!$E:$E,0),0)</f>
        <v>7</v>
      </c>
      <c r="AA150" s="12">
        <f t="shared" si="21"/>
        <v>39.199999999999996</v>
      </c>
      <c r="AB150" s="12" cm="1">
        <f t="array" ref="AB150">INDEX(municipality_wind_potential!$Y:$Y,MATCH(municipalities!$F150,municipality_wind_potential!$E:$E,0),0) / 3.6</f>
        <v>115.38888888888889</v>
      </c>
      <c r="AC150" s="12">
        <f t="shared" si="22"/>
        <v>26.786657067434607</v>
      </c>
      <c r="AD150" s="12" cm="1">
        <f t="array" ref="AD150">INDEX(municipality_pv_potential!$G:$G,MATCH(municipalities!$A150,municipality_pv_potential!$E:$E,0),0)/3.6*$AH$4</f>
        <v>24.804444444444446</v>
      </c>
      <c r="AE150" s="12">
        <f t="shared" si="23"/>
        <v>43.46952243820494</v>
      </c>
      <c r="AF150" s="12" cm="1">
        <f t="array" ref="AF150">INDEX(municipality_pv_potential!$H:$H,MATCH(municipalities!$A150,municipality_pv_potential!$E:$E,0),0)/3.6</f>
        <v>40.252777777777773</v>
      </c>
      <c r="AG150" s="12"/>
      <c r="AJ150">
        <v>34.200000000000003</v>
      </c>
      <c r="AK150">
        <v>3.2</v>
      </c>
      <c r="AL150">
        <v>5.5</v>
      </c>
      <c r="AM150">
        <v>8.1999999999999993</v>
      </c>
      <c r="AN150">
        <v>142.1</v>
      </c>
    </row>
    <row r="151" spans="1:40" x14ac:dyDescent="0.25">
      <c r="A151" s="5" t="s">
        <v>467</v>
      </c>
      <c r="B151" s="6" t="s">
        <v>468</v>
      </c>
      <c r="C151" s="7" t="s">
        <v>469</v>
      </c>
      <c r="D151" s="7" t="s">
        <v>469</v>
      </c>
      <c r="E151" s="7" t="s">
        <v>22</v>
      </c>
      <c r="F151" s="7" t="s">
        <v>467</v>
      </c>
      <c r="G151" s="7" t="str" cm="1">
        <f t="array" ref="G151">INDEX('municipalities per province'!F:F,MATCH(municipalities!A151,'municipalities per province'!B:B,0),0)</f>
        <v>Zuid-Holland</v>
      </c>
      <c r="H151" s="7" t="str" cm="1">
        <f t="array" ref="H151">INDEX('municipalities per province'!E:E,MATCH(municipalities!$A151,'municipalities per province'!$B:$B,0),0)</f>
        <v>PV28</v>
      </c>
      <c r="I151" s="7" t="str" cm="1">
        <f t="array" ref="I151">INDEX('municipalities per province'!G:G,MATCH(municipalities!$A151,'municipalities per province'!$B:$B,0),0)</f>
        <v>Drechtsteden</v>
      </c>
      <c r="J151" s="7" t="str" cm="1">
        <f t="array" ref="J151">INDEX('municipalities per province'!H:H,MATCH(municipalities!$A151,'municipalities per province'!$B:$B,0),0)</f>
        <v>ES18</v>
      </c>
      <c r="K151" s="7" cm="1">
        <f t="array" ref="K151">INDEX(coordinates!C:C,MATCH(municipalities!$A151,coordinates!$A:$A,0),0)</f>
        <v>4.6387900751713316</v>
      </c>
      <c r="L151" s="7" cm="1">
        <f t="array" ref="L151">INDEX(coordinates!D:D,MATCH(municipalities!$A151,coordinates!$A:$A,0),0)</f>
        <v>51.841794799277672</v>
      </c>
      <c r="M151" s="8">
        <v>1</v>
      </c>
      <c r="N151" s="9">
        <v>32183</v>
      </c>
      <c r="O151" s="9">
        <v>15834</v>
      </c>
      <c r="P151" s="9">
        <v>16349</v>
      </c>
      <c r="Q151" s="9">
        <v>2</v>
      </c>
      <c r="R151" s="10">
        <v>1867</v>
      </c>
      <c r="S151" s="11">
        <v>72</v>
      </c>
      <c r="T151" s="11">
        <v>28</v>
      </c>
      <c r="U151" s="12">
        <f t="shared" si="16"/>
        <v>37</v>
      </c>
      <c r="V151" s="12">
        <f t="shared" si="17"/>
        <v>3.6</v>
      </c>
      <c r="W151" s="12">
        <f t="shared" si="18"/>
        <v>5.7</v>
      </c>
      <c r="X151" s="12">
        <f t="shared" si="19"/>
        <v>8</v>
      </c>
      <c r="Y151" s="12">
        <f t="shared" si="20"/>
        <v>146.6</v>
      </c>
      <c r="Z151" s="12" cm="1">
        <f t="array" ref="Z151">INDEX(municipality_wind_potential!$X:$X,MATCH(municipalities!$F151,municipality_wind_potential!$E:$E,0),0)</f>
        <v>3</v>
      </c>
      <c r="AA151" s="12">
        <f t="shared" si="21"/>
        <v>16.799999999999997</v>
      </c>
      <c r="AB151" s="12" cm="1">
        <f t="array" ref="AB151">INDEX(municipality_wind_potential!$Y:$Y,MATCH(municipalities!$F151,municipality_wind_potential!$E:$E,0),0) / 3.6</f>
        <v>40.319444444444443</v>
      </c>
      <c r="AC151" s="12">
        <f t="shared" si="22"/>
        <v>28.992680585553156</v>
      </c>
      <c r="AD151" s="12" cm="1">
        <f t="array" ref="AD151">INDEX(municipality_pv_potential!$G:$G,MATCH(municipalities!$A151,municipality_pv_potential!$E:$E,0),0)/3.6*$AH$4</f>
        <v>26.847222222222225</v>
      </c>
      <c r="AE151" s="12">
        <f t="shared" si="23"/>
        <v>3.3177345812335015</v>
      </c>
      <c r="AF151" s="12" cm="1">
        <f t="array" ref="AF151">INDEX(municipality_pv_potential!$H:$H,MATCH(municipalities!$A151,municipality_pv_potential!$E:$E,0),0)/3.6</f>
        <v>3.0722222222222224</v>
      </c>
      <c r="AG151" s="12"/>
      <c r="AJ151">
        <v>37</v>
      </c>
      <c r="AK151">
        <v>3.6</v>
      </c>
      <c r="AL151">
        <v>5.7</v>
      </c>
      <c r="AM151">
        <v>8</v>
      </c>
      <c r="AN151">
        <v>146.6</v>
      </c>
    </row>
    <row r="152" spans="1:40" x14ac:dyDescent="0.25">
      <c r="A152" s="5" t="s">
        <v>470</v>
      </c>
      <c r="B152" s="6" t="s">
        <v>471</v>
      </c>
      <c r="C152" s="7" t="s">
        <v>472</v>
      </c>
      <c r="D152" s="7" t="s">
        <v>472</v>
      </c>
      <c r="E152" s="7" t="s">
        <v>22</v>
      </c>
      <c r="F152" s="7" t="s">
        <v>470</v>
      </c>
      <c r="G152" s="7" t="str" cm="1">
        <f t="array" ref="G152">INDEX('municipalities per province'!F:F,MATCH(municipalities!A152,'municipalities per province'!B:B,0),0)</f>
        <v>Noord-Holland</v>
      </c>
      <c r="H152" s="7" t="str" cm="1">
        <f t="array" ref="H152">INDEX('municipalities per province'!E:E,MATCH(municipalities!$A152,'municipalities per province'!$B:$B,0),0)</f>
        <v>PV27</v>
      </c>
      <c r="I152" s="7" t="str" cm="1">
        <f t="array" ref="I152">INDEX('municipalities per province'!G:G,MATCH(municipalities!$A152,'municipalities per province'!$B:$B,0),0)</f>
        <v>Noord-HollandNoord</v>
      </c>
      <c r="J152" s="7" t="str" cm="1">
        <f t="array" ref="J152">INDEX('municipalities per province'!H:H,MATCH(municipalities!$A152,'municipalities per province'!$B:$B,0),0)</f>
        <v>ES15</v>
      </c>
      <c r="K152" s="7" cm="1">
        <f t="array" ref="K152">INDEX(coordinates!C:C,MATCH(municipalities!$A152,coordinates!$A:$A,0),0)</f>
        <v>5.2583820155180483</v>
      </c>
      <c r="L152" s="7" cm="1">
        <f t="array" ref="L152">INDEX(coordinates!D:D,MATCH(municipalities!$A152,coordinates!$A:$A,0),0)</f>
        <v>52.682450180952571</v>
      </c>
      <c r="M152" s="8">
        <v>1</v>
      </c>
      <c r="N152" s="9">
        <v>22138</v>
      </c>
      <c r="O152" s="9">
        <v>11146</v>
      </c>
      <c r="P152" s="9">
        <v>10992</v>
      </c>
      <c r="Q152" s="9">
        <v>3</v>
      </c>
      <c r="R152" s="10">
        <v>1159</v>
      </c>
      <c r="S152" s="11">
        <v>70</v>
      </c>
      <c r="T152" s="11">
        <v>30</v>
      </c>
      <c r="U152" s="12">
        <f t="shared" si="16"/>
        <v>33.1</v>
      </c>
      <c r="V152" s="12">
        <f t="shared" si="17"/>
        <v>3.3</v>
      </c>
      <c r="W152" s="12">
        <f t="shared" si="18"/>
        <v>6.2</v>
      </c>
      <c r="X152" s="12">
        <f t="shared" si="19"/>
        <v>8.6999999999999993</v>
      </c>
      <c r="Y152" s="12">
        <f t="shared" si="20"/>
        <v>132</v>
      </c>
      <c r="Z152" s="12" cm="1">
        <f t="array" ref="Z152">INDEX(municipality_wind_potential!$X:$X,MATCH(municipalities!$F152,municipality_wind_potential!$E:$E,0),0)</f>
        <v>5</v>
      </c>
      <c r="AA152" s="12">
        <f t="shared" si="21"/>
        <v>28</v>
      </c>
      <c r="AB152" s="12" cm="1">
        <f t="array" ref="AB152">INDEX(municipality_wind_potential!$Y:$Y,MATCH(municipalities!$F152,municipality_wind_potential!$E:$E,0),0) / 3.6</f>
        <v>98</v>
      </c>
      <c r="AC152" s="12">
        <f t="shared" si="22"/>
        <v>30.13678905687545</v>
      </c>
      <c r="AD152" s="12" cm="1">
        <f t="array" ref="AD152">INDEX(municipality_pv_potential!$G:$G,MATCH(municipalities!$A152,municipality_pv_potential!$E:$E,0),0)/3.6*$AH$4</f>
        <v>27.906666666666666</v>
      </c>
      <c r="AE152" s="12">
        <f t="shared" si="23"/>
        <v>25.575953923686104</v>
      </c>
      <c r="AF152" s="12" cm="1">
        <f t="array" ref="AF152">INDEX(municipality_pv_potential!$H:$H,MATCH(municipalities!$A152,municipality_pv_potential!$E:$E,0),0)/3.6</f>
        <v>23.683333333333334</v>
      </c>
      <c r="AG152" s="12"/>
      <c r="AJ152">
        <v>33.1</v>
      </c>
      <c r="AK152">
        <v>3.3</v>
      </c>
      <c r="AL152">
        <v>6.2</v>
      </c>
      <c r="AM152">
        <v>8.6999999999999993</v>
      </c>
      <c r="AN152">
        <v>132</v>
      </c>
    </row>
    <row r="153" spans="1:40" x14ac:dyDescent="0.25">
      <c r="A153" s="5" t="s">
        <v>473</v>
      </c>
      <c r="B153" s="6" t="s">
        <v>474</v>
      </c>
      <c r="C153" s="7" t="s">
        <v>475</v>
      </c>
      <c r="D153" s="7" t="s">
        <v>475</v>
      </c>
      <c r="E153" s="7" t="s">
        <v>22</v>
      </c>
      <c r="F153" s="7" t="s">
        <v>473</v>
      </c>
      <c r="G153" s="7" t="str" cm="1">
        <f t="array" ref="G153">INDEX('municipalities per province'!F:F,MATCH(municipalities!A153,'municipalities per province'!B:B,0),0)</f>
        <v>Zuid-Holland</v>
      </c>
      <c r="H153" s="7" t="str" cm="1">
        <f t="array" ref="H153">INDEX('municipalities per province'!E:E,MATCH(municipalities!$A153,'municipalities per province'!$B:$B,0),0)</f>
        <v>PV28</v>
      </c>
      <c r="I153" s="7" t="str" cm="1">
        <f t="array" ref="I153">INDEX('municipalities per province'!G:G,MATCH(municipalities!$A153,'municipalities per province'!$B:$B,0),0)</f>
        <v>HollandRijnland</v>
      </c>
      <c r="J153" s="7" t="str" cm="1">
        <f t="array" ref="J153">INDEX('municipalities per province'!H:H,MATCH(municipalities!$A153,'municipalities per province'!$B:$B,0),0)</f>
        <v>ES21</v>
      </c>
      <c r="K153" s="7" cm="1">
        <f t="array" ref="K153">INDEX(coordinates!C:C,MATCH(municipalities!$A153,coordinates!$A:$A,0),0)</f>
        <v>4.5769562017891436</v>
      </c>
      <c r="L153" s="7" cm="1">
        <f t="array" ref="L153">INDEX(coordinates!D:D,MATCH(municipalities!$A153,coordinates!$A:$A,0),0)</f>
        <v>52.296774497542422</v>
      </c>
      <c r="M153" s="8">
        <v>1</v>
      </c>
      <c r="N153" s="9">
        <v>22453</v>
      </c>
      <c r="O153" s="9">
        <v>11160</v>
      </c>
      <c r="P153" s="9">
        <v>11293</v>
      </c>
      <c r="Q153" s="9">
        <v>2</v>
      </c>
      <c r="R153" s="10">
        <v>1598</v>
      </c>
      <c r="S153" s="11">
        <v>67</v>
      </c>
      <c r="T153" s="11">
        <v>33</v>
      </c>
      <c r="U153" s="12">
        <f t="shared" si="16"/>
        <v>35</v>
      </c>
      <c r="V153" s="12">
        <f t="shared" si="17"/>
        <v>3.8</v>
      </c>
      <c r="W153" s="12">
        <f t="shared" si="18"/>
        <v>6.1</v>
      </c>
      <c r="X153" s="12">
        <f t="shared" si="19"/>
        <v>8.1999999999999993</v>
      </c>
      <c r="Y153" s="12">
        <f t="shared" si="20"/>
        <v>157.4</v>
      </c>
      <c r="Z153" s="12" cm="1">
        <f t="array" ref="Z153">INDEX(municipality_wind_potential!$X:$X,MATCH(municipalities!$F153,municipality_wind_potential!$E:$E,0),0)</f>
        <v>2</v>
      </c>
      <c r="AA153" s="12">
        <f t="shared" si="21"/>
        <v>11.2</v>
      </c>
      <c r="AB153" s="12" cm="1">
        <f t="array" ref="AB153">INDEX(municipality_wind_potential!$Y:$Y,MATCH(municipalities!$F153,municipality_wind_potential!$E:$E,0),0) / 3.6</f>
        <v>29.4</v>
      </c>
      <c r="AC153" s="12">
        <f t="shared" si="22"/>
        <v>33.477321814254864</v>
      </c>
      <c r="AD153" s="12" cm="1">
        <f t="array" ref="AD153">INDEX(municipality_pv_potential!$G:$G,MATCH(municipalities!$A153,municipality_pv_potential!$E:$E,0),0)/3.6*$AH$4</f>
        <v>31</v>
      </c>
      <c r="AE153" s="12">
        <f t="shared" si="23"/>
        <v>26.865850731941443</v>
      </c>
      <c r="AF153" s="12" cm="1">
        <f t="array" ref="AF153">INDEX(municipality_pv_potential!$H:$H,MATCH(municipalities!$A153,municipality_pv_potential!$E:$E,0),0)/3.6</f>
        <v>24.877777777777776</v>
      </c>
      <c r="AG153" s="12"/>
      <c r="AJ153">
        <v>35</v>
      </c>
      <c r="AK153">
        <v>3.8</v>
      </c>
      <c r="AL153">
        <v>6.1</v>
      </c>
      <c r="AM153">
        <v>8.1999999999999993</v>
      </c>
      <c r="AN153">
        <v>157.4</v>
      </c>
    </row>
    <row r="154" spans="1:40" x14ac:dyDescent="0.25">
      <c r="A154" s="5" t="s">
        <v>476</v>
      </c>
      <c r="B154" s="6" t="s">
        <v>477</v>
      </c>
      <c r="C154" s="7" t="s">
        <v>478</v>
      </c>
      <c r="D154" s="7" t="s">
        <v>478</v>
      </c>
      <c r="E154" s="7" t="s">
        <v>22</v>
      </c>
      <c r="F154" s="7" t="s">
        <v>476</v>
      </c>
      <c r="G154" s="7" t="str" cm="1">
        <f t="array" ref="G154">INDEX('municipalities per province'!F:F,MATCH(municipalities!A154,'municipalities per province'!B:B,0),0)</f>
        <v>Zuid-Holland</v>
      </c>
      <c r="H154" s="7" t="str" cm="1">
        <f t="array" ref="H154">INDEX('municipalities per province'!E:E,MATCH(municipalities!$A154,'municipalities per province'!$B:$B,0),0)</f>
        <v>PV28</v>
      </c>
      <c r="I154" s="7" t="str" cm="1">
        <f t="array" ref="I154">INDEX('municipalities per province'!G:G,MATCH(municipalities!$A154,'municipalities per province'!$B:$B,0),0)</f>
        <v>HollandRijnland</v>
      </c>
      <c r="J154" s="7" t="str" cm="1">
        <f t="array" ref="J154">INDEX('municipalities per province'!H:H,MATCH(municipalities!$A154,'municipalities per province'!$B:$B,0),0)</f>
        <v>ES21</v>
      </c>
      <c r="K154" s="7" cm="1">
        <f t="array" ref="K154">INDEX(coordinates!C:C,MATCH(municipalities!$A154,coordinates!$A:$A,0),0)</f>
        <v>4.382362555741377</v>
      </c>
      <c r="L154" s="7" cm="1">
        <f t="array" ref="L154">INDEX(coordinates!D:D,MATCH(municipalities!$A154,coordinates!$A:$A,0),0)</f>
        <v>52.206033960396162</v>
      </c>
      <c r="M154" s="8">
        <v>1</v>
      </c>
      <c r="N154" s="9">
        <v>66607</v>
      </c>
      <c r="O154" s="9">
        <v>33119</v>
      </c>
      <c r="P154" s="9">
        <v>33488</v>
      </c>
      <c r="Q154" s="9">
        <v>2</v>
      </c>
      <c r="R154" s="10">
        <v>2178</v>
      </c>
      <c r="S154" s="11">
        <v>65</v>
      </c>
      <c r="T154" s="11">
        <v>35</v>
      </c>
      <c r="U154" s="12">
        <f t="shared" si="16"/>
        <v>34.5</v>
      </c>
      <c r="V154" s="12">
        <f t="shared" si="17"/>
        <v>4.4000000000000004</v>
      </c>
      <c r="W154" s="12">
        <f t="shared" si="18"/>
        <v>6.8</v>
      </c>
      <c r="X154" s="12">
        <f t="shared" si="19"/>
        <v>8.9</v>
      </c>
      <c r="Y154" s="12">
        <f t="shared" si="20"/>
        <v>178.6</v>
      </c>
      <c r="Z154" s="12" cm="1">
        <f t="array" ref="Z154">INDEX(municipality_wind_potential!$X:$X,MATCH(municipalities!$F154,municipality_wind_potential!$E:$E,0),0)</f>
        <v>10</v>
      </c>
      <c r="AA154" s="12">
        <f t="shared" si="21"/>
        <v>56</v>
      </c>
      <c r="AB154" s="12" cm="1">
        <f t="array" ref="AB154">INDEX(municipality_wind_potential!$Y:$Y,MATCH(municipalities!$F154,municipality_wind_potential!$E:$E,0),0) / 3.6</f>
        <v>186.20000000000002</v>
      </c>
      <c r="AC154" s="12">
        <f t="shared" si="22"/>
        <v>75.191384689224876</v>
      </c>
      <c r="AD154" s="12" cm="1">
        <f t="array" ref="AD154">INDEX(municipality_pv_potential!$G:$G,MATCH(municipalities!$A154,municipality_pv_potential!$E:$E,0),0)/3.6*$AH$4</f>
        <v>69.62722222222223</v>
      </c>
      <c r="AE154" s="12">
        <f t="shared" si="23"/>
        <v>12.691984641228702</v>
      </c>
      <c r="AF154" s="12" cm="1">
        <f t="array" ref="AF154">INDEX(municipality_pv_potential!$H:$H,MATCH(municipalities!$A154,municipality_pv_potential!$E:$E,0),0)/3.6</f>
        <v>11.752777777777778</v>
      </c>
      <c r="AG154" s="12"/>
      <c r="AJ154">
        <v>34.5</v>
      </c>
      <c r="AK154">
        <v>4.4000000000000004</v>
      </c>
      <c r="AL154">
        <v>6.8</v>
      </c>
      <c r="AM154">
        <v>8.9</v>
      </c>
      <c r="AN154">
        <v>178.6</v>
      </c>
    </row>
    <row r="155" spans="1:40" x14ac:dyDescent="0.25">
      <c r="A155" s="5" t="s">
        <v>479</v>
      </c>
      <c r="B155" s="6" t="s">
        <v>480</v>
      </c>
      <c r="C155" s="7" t="s">
        <v>481</v>
      </c>
      <c r="D155" s="7" t="s">
        <v>481</v>
      </c>
      <c r="E155" s="7" t="s">
        <v>22</v>
      </c>
      <c r="F155" s="7" t="s">
        <v>479</v>
      </c>
      <c r="G155" s="7" t="str" cm="1">
        <f t="array" ref="G155">INDEX('municipalities per province'!F:F,MATCH(municipalities!A155,'municipalities per province'!B:B,0),0)</f>
        <v>Zuid-Holland</v>
      </c>
      <c r="H155" s="7" t="str" cm="1">
        <f t="array" ref="H155">INDEX('municipalities per province'!E:E,MATCH(municipalities!$A155,'municipalities per province'!$B:$B,0),0)</f>
        <v>PV28</v>
      </c>
      <c r="I155" s="7" t="str" cm="1">
        <f t="array" ref="I155">INDEX('municipalities per province'!G:G,MATCH(municipalities!$A155,'municipalities per province'!$B:$B,0),0)</f>
        <v>Rotterdam/DenHaag</v>
      </c>
      <c r="J155" s="7" t="str" cm="1">
        <f t="array" ref="J155">INDEX('municipalities per province'!H:H,MATCH(municipalities!$A155,'municipalities per province'!$B:$B,0),0)</f>
        <v>ES23</v>
      </c>
      <c r="K155" s="7" cm="1">
        <f t="array" ref="K155">INDEX(coordinates!C:C,MATCH(municipalities!$A155,coordinates!$A:$A,0),0)</f>
        <v>4.6021042309480897</v>
      </c>
      <c r="L155" s="7" cm="1">
        <f t="array" ref="L155">INDEX(coordinates!D:D,MATCH(municipalities!$A155,coordinates!$A:$A,0),0)</f>
        <v>51.914696058867158</v>
      </c>
      <c r="M155" s="8">
        <v>1</v>
      </c>
      <c r="N155" s="9">
        <v>29504</v>
      </c>
      <c r="O155" s="9">
        <v>14189</v>
      </c>
      <c r="P155" s="9">
        <v>15315</v>
      </c>
      <c r="Q155" s="9">
        <v>2</v>
      </c>
      <c r="R155" s="10">
        <v>1966</v>
      </c>
      <c r="S155" s="11">
        <v>60</v>
      </c>
      <c r="T155" s="11">
        <v>40</v>
      </c>
      <c r="U155" s="12">
        <f t="shared" si="16"/>
        <v>35</v>
      </c>
      <c r="V155" s="12">
        <f t="shared" si="17"/>
        <v>5.4</v>
      </c>
      <c r="W155" s="12">
        <f t="shared" si="18"/>
        <v>7.8</v>
      </c>
      <c r="X155" s="12">
        <f t="shared" si="19"/>
        <v>10.9</v>
      </c>
      <c r="Y155" s="12">
        <f t="shared" si="20"/>
        <v>114.2</v>
      </c>
      <c r="Z155" s="12" cm="1">
        <f t="array" ref="Z155">INDEX(municipality_wind_potential!$X:$X,MATCH(municipalities!$F155,municipality_wind_potential!$E:$E,0),0)</f>
        <v>0</v>
      </c>
      <c r="AA155" s="12">
        <f t="shared" si="21"/>
        <v>0</v>
      </c>
      <c r="AB155" s="12" cm="1">
        <f t="array" ref="AB155">INDEX(municipality_wind_potential!$Y:$Y,MATCH(municipalities!$F155,municipality_wind_potential!$E:$E,0),0) / 3.6</f>
        <v>0</v>
      </c>
      <c r="AC155" s="12">
        <f t="shared" si="22"/>
        <v>32.234821214302855</v>
      </c>
      <c r="AD155" s="12" cm="1">
        <f t="array" ref="AD155">INDEX(municipality_pv_potential!$G:$G,MATCH(municipalities!$A155,municipality_pv_potential!$E:$E,0),0)/3.6*$AH$4</f>
        <v>29.849444444444444</v>
      </c>
      <c r="AE155" s="12">
        <f t="shared" si="23"/>
        <v>0.61495080393568513</v>
      </c>
      <c r="AF155" s="12" cm="1">
        <f t="array" ref="AF155">INDEX(municipality_pv_potential!$H:$H,MATCH(municipalities!$A155,municipality_pv_potential!$E:$E,0),0)/3.6</f>
        <v>0.56944444444444442</v>
      </c>
      <c r="AG155" s="12"/>
      <c r="AJ155">
        <v>35</v>
      </c>
      <c r="AK155">
        <v>5.4</v>
      </c>
      <c r="AL155">
        <v>7.8</v>
      </c>
      <c r="AM155">
        <v>10.9</v>
      </c>
      <c r="AN155">
        <v>114.2</v>
      </c>
    </row>
    <row r="156" spans="1:40" x14ac:dyDescent="0.25">
      <c r="A156" s="5" t="s">
        <v>482</v>
      </c>
      <c r="B156" s="6" t="s">
        <v>483</v>
      </c>
      <c r="C156" s="7" t="s">
        <v>484</v>
      </c>
      <c r="D156" s="7" t="s">
        <v>484</v>
      </c>
      <c r="E156" s="7" t="s">
        <v>22</v>
      </c>
      <c r="F156" s="7" t="s">
        <v>482</v>
      </c>
      <c r="G156" s="7" t="str" cm="1">
        <f t="array" ref="G156">INDEX('municipalities per province'!F:F,MATCH(municipalities!A156,'municipalities per province'!B:B,0),0)</f>
        <v>Zuid-Holland</v>
      </c>
      <c r="H156" s="7" t="str" cm="1">
        <f t="array" ref="H156">INDEX('municipalities per province'!E:E,MATCH(municipalities!$A156,'municipalities per province'!$B:$B,0),0)</f>
        <v>PV28</v>
      </c>
      <c r="I156" s="7" t="str" cm="1">
        <f t="array" ref="I156">INDEX('municipalities per province'!G:G,MATCH(municipalities!$A156,'municipalities per province'!$B:$B,0),0)</f>
        <v>HollandRijnland</v>
      </c>
      <c r="J156" s="7" t="str" cm="1">
        <f t="array" ref="J156">INDEX('municipalities per province'!H:H,MATCH(municipalities!$A156,'municipalities per province'!$B:$B,0),0)</f>
        <v>ES21</v>
      </c>
      <c r="K156" s="7" cm="1">
        <f t="array" ref="K156">INDEX(coordinates!C:C,MATCH(municipalities!$A156,coordinates!$A:$A,0),0)</f>
        <v>4.4851175987170491</v>
      </c>
      <c r="L156" s="7" cm="1">
        <f t="array" ref="L156">INDEX(coordinates!D:D,MATCH(municipalities!$A156,coordinates!$A:$A,0),0)</f>
        <v>52.154985199549849</v>
      </c>
      <c r="M156" s="8">
        <v>1</v>
      </c>
      <c r="N156" s="9">
        <v>127089</v>
      </c>
      <c r="O156" s="9">
        <v>61437</v>
      </c>
      <c r="P156" s="9">
        <v>65652</v>
      </c>
      <c r="Q156" s="9">
        <v>1</v>
      </c>
      <c r="R156" s="10">
        <v>3891</v>
      </c>
      <c r="S156" s="11">
        <v>41</v>
      </c>
      <c r="T156" s="11">
        <v>59</v>
      </c>
      <c r="U156" s="12">
        <f t="shared" si="16"/>
        <v>30.7</v>
      </c>
      <c r="V156" s="12">
        <f t="shared" si="17"/>
        <v>7.5</v>
      </c>
      <c r="W156" s="12">
        <f t="shared" si="18"/>
        <v>11.3</v>
      </c>
      <c r="X156" s="12">
        <f t="shared" si="19"/>
        <v>14.1</v>
      </c>
      <c r="Y156" s="12">
        <f t="shared" si="20"/>
        <v>24.7</v>
      </c>
      <c r="Z156" s="12" cm="1">
        <f t="array" ref="Z156">INDEX(municipality_wind_potential!$X:$X,MATCH(municipalities!$F156,municipality_wind_potential!$E:$E,0),0)</f>
        <v>2</v>
      </c>
      <c r="AA156" s="12">
        <f t="shared" si="21"/>
        <v>11.2</v>
      </c>
      <c r="AB156" s="12" cm="1">
        <f t="array" ref="AB156">INDEX(municipality_wind_potential!$Y:$Y,MATCH(municipalities!$F156,municipality_wind_potential!$E:$E,0),0) / 3.6</f>
        <v>26.627777777777776</v>
      </c>
      <c r="AC156" s="12">
        <f t="shared" si="22"/>
        <v>93.416126709863207</v>
      </c>
      <c r="AD156" s="12" cm="1">
        <f t="array" ref="AD156">INDEX(municipality_pv_potential!$G:$G,MATCH(municipalities!$A156,municipality_pv_potential!$E:$E,0),0)/3.6*$AH$4</f>
        <v>86.50333333333333</v>
      </c>
      <c r="AE156" s="12">
        <f t="shared" si="23"/>
        <v>8.8462922966162694</v>
      </c>
      <c r="AF156" s="12" cm="1">
        <f t="array" ref="AF156">INDEX(municipality_pv_potential!$H:$H,MATCH(municipalities!$A156,municipality_pv_potential!$E:$E,0),0)/3.6</f>
        <v>8.1916666666666664</v>
      </c>
      <c r="AG156" s="12"/>
      <c r="AJ156">
        <v>30.7</v>
      </c>
      <c r="AK156">
        <v>7.5</v>
      </c>
      <c r="AL156">
        <v>11.3</v>
      </c>
      <c r="AM156">
        <v>14.1</v>
      </c>
      <c r="AN156">
        <v>24.7</v>
      </c>
    </row>
    <row r="157" spans="1:40" x14ac:dyDescent="0.25">
      <c r="A157" s="5" t="s">
        <v>485</v>
      </c>
      <c r="B157" s="6" t="s">
        <v>486</v>
      </c>
      <c r="C157" s="7" t="s">
        <v>487</v>
      </c>
      <c r="D157" s="7" t="s">
        <v>487</v>
      </c>
      <c r="E157" s="7" t="s">
        <v>22</v>
      </c>
      <c r="F157" s="7" t="s">
        <v>485</v>
      </c>
      <c r="G157" s="7" t="str" cm="1">
        <f t="array" ref="G157">INDEX('municipalities per province'!F:F,MATCH(municipalities!A157,'municipalities per province'!B:B,0),0)</f>
        <v>Zuid-Holland</v>
      </c>
      <c r="H157" s="7" t="str" cm="1">
        <f t="array" ref="H157">INDEX('municipalities per province'!E:E,MATCH(municipalities!$A157,'municipalities per province'!$B:$B,0),0)</f>
        <v>PV28</v>
      </c>
      <c r="I157" s="7" t="str" cm="1">
        <f t="array" ref="I157">INDEX('municipalities per province'!G:G,MATCH(municipalities!$A157,'municipalities per province'!$B:$B,0),0)</f>
        <v>HollandRijnland</v>
      </c>
      <c r="J157" s="7" t="str" cm="1">
        <f t="array" ref="J157">INDEX('municipalities per province'!H:H,MATCH(municipalities!$A157,'municipalities per province'!$B:$B,0),0)</f>
        <v>ES21</v>
      </c>
      <c r="K157" s="7" cm="1">
        <f t="array" ref="K157">INDEX(coordinates!C:C,MATCH(municipalities!$A157,coordinates!$A:$A,0),0)</f>
        <v>4.5420080540205383</v>
      </c>
      <c r="L157" s="7" cm="1">
        <f t="array" ref="L157">INDEX(coordinates!D:D,MATCH(municipalities!$A157,coordinates!$A:$A,0),0)</f>
        <v>52.156653710282583</v>
      </c>
      <c r="M157" s="8">
        <v>1</v>
      </c>
      <c r="N157" s="9">
        <v>27657</v>
      </c>
      <c r="O157" s="9">
        <v>13411</v>
      </c>
      <c r="P157" s="9">
        <v>14246</v>
      </c>
      <c r="Q157" s="9">
        <v>1</v>
      </c>
      <c r="R157" s="10">
        <v>2569</v>
      </c>
      <c r="S157" s="11">
        <v>64</v>
      </c>
      <c r="T157" s="11">
        <v>36</v>
      </c>
      <c r="U157" s="12">
        <f t="shared" si="16"/>
        <v>36.4</v>
      </c>
      <c r="V157" s="12">
        <f t="shared" si="17"/>
        <v>4.0999999999999996</v>
      </c>
      <c r="W157" s="12">
        <f t="shared" si="18"/>
        <v>6.3</v>
      </c>
      <c r="X157" s="12">
        <f t="shared" si="19"/>
        <v>8.5</v>
      </c>
      <c r="Y157" s="12">
        <f t="shared" si="20"/>
        <v>173.7</v>
      </c>
      <c r="Z157" s="12" cm="1">
        <f t="array" ref="Z157">INDEX(municipality_wind_potential!$X:$X,MATCH(municipalities!$F157,municipality_wind_potential!$E:$E,0),0)</f>
        <v>5</v>
      </c>
      <c r="AA157" s="12">
        <f t="shared" si="21"/>
        <v>28</v>
      </c>
      <c r="AB157" s="12" cm="1">
        <f t="array" ref="AB157">INDEX(municipality_wind_potential!$Y:$Y,MATCH(municipalities!$F157,municipality_wind_potential!$E:$E,0),0) / 3.6</f>
        <v>79.883333333333326</v>
      </c>
      <c r="AC157" s="12">
        <f t="shared" si="22"/>
        <v>27.078233741300693</v>
      </c>
      <c r="AD157" s="12" cm="1">
        <f t="array" ref="AD157">INDEX(municipality_pv_potential!$G:$G,MATCH(municipalities!$A157,municipality_pv_potential!$E:$E,0),0)/3.6*$AH$4</f>
        <v>25.074444444444442</v>
      </c>
      <c r="AE157" s="12">
        <f t="shared" si="23"/>
        <v>22.957163426925845</v>
      </c>
      <c r="AF157" s="12" cm="1">
        <f t="array" ref="AF157">INDEX(municipality_pv_potential!$H:$H,MATCH(municipalities!$A157,municipality_pv_potential!$E:$E,0),0)/3.6</f>
        <v>21.258333333333333</v>
      </c>
      <c r="AG157" s="12"/>
      <c r="AJ157">
        <v>36.4</v>
      </c>
      <c r="AK157">
        <v>4.0999999999999996</v>
      </c>
      <c r="AL157">
        <v>6.3</v>
      </c>
      <c r="AM157">
        <v>8.5</v>
      </c>
      <c r="AN157">
        <v>173.7</v>
      </c>
    </row>
    <row r="158" spans="1:40" x14ac:dyDescent="0.25">
      <c r="A158" s="5" t="s">
        <v>488</v>
      </c>
      <c r="B158" s="6" t="s">
        <v>489</v>
      </c>
      <c r="C158" s="7" t="s">
        <v>490</v>
      </c>
      <c r="D158" s="7" t="s">
        <v>490</v>
      </c>
      <c r="E158" s="7" t="s">
        <v>22</v>
      </c>
      <c r="F158" s="7" t="s">
        <v>488</v>
      </c>
      <c r="G158" s="7" t="str" cm="1">
        <f t="array" ref="G158">INDEX('municipalities per province'!F:F,MATCH(municipalities!A158,'municipalities per province'!B:B,0),0)</f>
        <v>Zuid-Holland</v>
      </c>
      <c r="H158" s="7" t="str" cm="1">
        <f t="array" ref="H158">INDEX('municipalities per province'!E:E,MATCH(municipalities!$A158,'municipalities per province'!$B:$B,0),0)</f>
        <v>PV28</v>
      </c>
      <c r="I158" s="7" t="str" cm="1">
        <f t="array" ref="I158">INDEX('municipalities per province'!G:G,MATCH(municipalities!$A158,'municipalities per province'!$B:$B,0),0)</f>
        <v>HollandRijnland</v>
      </c>
      <c r="J158" s="7" t="str" cm="1">
        <f t="array" ref="J158">INDEX('municipalities per province'!H:H,MATCH(municipalities!$A158,'municipalities per province'!$B:$B,0),0)</f>
        <v>ES21</v>
      </c>
      <c r="K158" s="7" cm="1">
        <f t="array" ref="K158">INDEX(coordinates!C:C,MATCH(municipalities!$A158,coordinates!$A:$A,0),0)</f>
        <v>4.5458377663423821</v>
      </c>
      <c r="L158" s="7" cm="1">
        <f t="array" ref="L158">INDEX(coordinates!D:D,MATCH(municipalities!$A158,coordinates!$A:$A,0),0)</f>
        <v>52.255555519978657</v>
      </c>
      <c r="M158" s="8">
        <v>1</v>
      </c>
      <c r="N158" s="9">
        <v>23390</v>
      </c>
      <c r="O158" s="9">
        <v>11509</v>
      </c>
      <c r="P158" s="9">
        <v>11881</v>
      </c>
      <c r="Q158" s="9">
        <v>2</v>
      </c>
      <c r="R158" s="10">
        <v>1663</v>
      </c>
      <c r="S158" s="11">
        <v>64</v>
      </c>
      <c r="T158" s="11">
        <v>36</v>
      </c>
      <c r="U158" s="12">
        <f t="shared" si="16"/>
        <v>35.299999999999997</v>
      </c>
      <c r="V158" s="12">
        <f t="shared" si="17"/>
        <v>3.9</v>
      </c>
      <c r="W158" s="12">
        <f t="shared" si="18"/>
        <v>6.3</v>
      </c>
      <c r="X158" s="12">
        <f t="shared" si="19"/>
        <v>8.6</v>
      </c>
      <c r="Y158" s="12">
        <f t="shared" si="20"/>
        <v>153.5</v>
      </c>
      <c r="Z158" s="12" cm="1">
        <f t="array" ref="Z158">INDEX(municipality_wind_potential!$X:$X,MATCH(municipalities!$F158,municipality_wind_potential!$E:$E,0),0)</f>
        <v>4</v>
      </c>
      <c r="AA158" s="12">
        <f t="shared" si="21"/>
        <v>22.4</v>
      </c>
      <c r="AB158" s="12" cm="1">
        <f t="array" ref="AB158">INDEX(municipality_wind_potential!$Y:$Y,MATCH(municipalities!$F158,municipality_wind_potential!$E:$E,0),0) / 3.6</f>
        <v>78.400000000000006</v>
      </c>
      <c r="AC158" s="12">
        <f t="shared" si="22"/>
        <v>32.990760739140867</v>
      </c>
      <c r="AD158" s="12" cm="1">
        <f t="array" ref="AD158">INDEX(municipality_pv_potential!$G:$G,MATCH(municipalities!$A158,municipality_pv_potential!$E:$E,0),0)/3.6*$AH$4</f>
        <v>30.549444444444443</v>
      </c>
      <c r="AE158" s="12">
        <f t="shared" si="23"/>
        <v>33.552315814734818</v>
      </c>
      <c r="AF158" s="12" cm="1">
        <f t="array" ref="AF158">INDEX(municipality_pv_potential!$H:$H,MATCH(municipalities!$A158,municipality_pv_potential!$E:$E,0),0)/3.6</f>
        <v>31.069444444444443</v>
      </c>
      <c r="AG158" s="12"/>
      <c r="AJ158">
        <v>35.299999999999997</v>
      </c>
      <c r="AK158">
        <v>3.9</v>
      </c>
      <c r="AL158">
        <v>6.3</v>
      </c>
      <c r="AM158">
        <v>8.6</v>
      </c>
      <c r="AN158">
        <v>153.5</v>
      </c>
    </row>
    <row r="159" spans="1:40" x14ac:dyDescent="0.25">
      <c r="A159" s="5" t="s">
        <v>491</v>
      </c>
      <c r="B159" s="6" t="s">
        <v>492</v>
      </c>
      <c r="C159" s="7" t="s">
        <v>493</v>
      </c>
      <c r="D159" s="7" t="s">
        <v>493</v>
      </c>
      <c r="E159" s="7" t="s">
        <v>22</v>
      </c>
      <c r="F159" s="7" t="s">
        <v>491</v>
      </c>
      <c r="G159" s="7" t="str" cm="1">
        <f t="array" ref="G159">INDEX('municipalities per province'!F:F,MATCH(municipalities!A159,'municipalities per province'!B:B,0),0)</f>
        <v>Zuid-Holland</v>
      </c>
      <c r="H159" s="7" t="str" cm="1">
        <f t="array" ref="H159">INDEX('municipalities per province'!E:E,MATCH(municipalities!$A159,'municipalities per province'!$B:$B,0),0)</f>
        <v>PV28</v>
      </c>
      <c r="I159" s="7" t="str" cm="1">
        <f t="array" ref="I159">INDEX('municipalities per province'!G:G,MATCH(municipalities!$A159,'municipalities per province'!$B:$B,0),0)</f>
        <v>Rotterdam/DenHaag</v>
      </c>
      <c r="J159" s="7" t="str" cm="1">
        <f t="array" ref="J159">INDEX('municipalities per province'!H:H,MATCH(municipalities!$A159,'municipalities per province'!$B:$B,0),0)</f>
        <v>ES23</v>
      </c>
      <c r="K159" s="7" cm="1">
        <f t="array" ref="K159">INDEX(coordinates!C:C,MATCH(municipalities!$A159,coordinates!$A:$A,0),0)</f>
        <v>4.2488612534708112</v>
      </c>
      <c r="L159" s="7" cm="1">
        <f t="array" ref="L159">INDEX(coordinates!D:D,MATCH(municipalities!$A159,coordinates!$A:$A,0),0)</f>
        <v>51.925199502949127</v>
      </c>
      <c r="M159" s="8">
        <v>1</v>
      </c>
      <c r="N159" s="9">
        <v>35303</v>
      </c>
      <c r="O159" s="9">
        <v>17318</v>
      </c>
      <c r="P159" s="9">
        <v>17985</v>
      </c>
      <c r="Q159" s="9">
        <v>2</v>
      </c>
      <c r="R159" s="10">
        <v>2057</v>
      </c>
      <c r="S159" s="11">
        <v>54</v>
      </c>
      <c r="T159" s="11">
        <v>46</v>
      </c>
      <c r="U159" s="12">
        <f t="shared" si="16"/>
        <v>32.6</v>
      </c>
      <c r="V159" s="12">
        <f t="shared" si="17"/>
        <v>6.1</v>
      </c>
      <c r="W159" s="12">
        <f t="shared" si="18"/>
        <v>9.4</v>
      </c>
      <c r="X159" s="12">
        <f t="shared" si="19"/>
        <v>12.1</v>
      </c>
      <c r="Y159" s="12">
        <f t="shared" si="20"/>
        <v>64.5</v>
      </c>
      <c r="Z159" s="12" cm="1">
        <f t="array" ref="Z159">INDEX(municipality_wind_potential!$X:$X,MATCH(municipalities!$F159,municipality_wind_potential!$E:$E,0),0)</f>
        <v>0</v>
      </c>
      <c r="AA159" s="12">
        <f t="shared" si="21"/>
        <v>0</v>
      </c>
      <c r="AB159" s="12" cm="1">
        <f t="array" ref="AB159">INDEX(municipality_wind_potential!$Y:$Y,MATCH(municipalities!$F159,municipality_wind_potential!$E:$E,0),0) / 3.6</f>
        <v>0</v>
      </c>
      <c r="AC159" s="12">
        <f t="shared" si="22"/>
        <v>27.793376529877612</v>
      </c>
      <c r="AD159" s="12" cm="1">
        <f t="array" ref="AD159">INDEX(municipality_pv_potential!$G:$G,MATCH(municipalities!$A159,municipality_pv_potential!$E:$E,0),0)/3.6*$AH$4</f>
        <v>25.736666666666668</v>
      </c>
      <c r="AE159" s="12">
        <f t="shared" si="23"/>
        <v>4.4726421886249099</v>
      </c>
      <c r="AF159" s="12" cm="1">
        <f t="array" ref="AF159">INDEX(municipality_pv_potential!$H:$H,MATCH(municipalities!$A159,municipality_pv_potential!$E:$E,0),0)/3.6</f>
        <v>4.1416666666666666</v>
      </c>
      <c r="AG159" s="12"/>
      <c r="AJ159">
        <v>32.6</v>
      </c>
      <c r="AK159">
        <v>6.1</v>
      </c>
      <c r="AL159">
        <v>9.4</v>
      </c>
      <c r="AM159">
        <v>12.1</v>
      </c>
      <c r="AN159">
        <v>64.5</v>
      </c>
    </row>
    <row r="160" spans="1:40" x14ac:dyDescent="0.25">
      <c r="A160" s="5" t="s">
        <v>494</v>
      </c>
      <c r="B160" s="6" t="s">
        <v>495</v>
      </c>
      <c r="C160" s="7" t="s">
        <v>496</v>
      </c>
      <c r="D160" s="7" t="s">
        <v>496</v>
      </c>
      <c r="E160" s="7" t="s">
        <v>22</v>
      </c>
      <c r="F160" s="7" t="s">
        <v>494</v>
      </c>
      <c r="G160" s="7" t="str" cm="1">
        <f t="array" ref="G160">INDEX('municipalities per province'!F:F,MATCH(municipalities!A160,'municipalities per province'!B:B,0),0)</f>
        <v>Zuid-Holland</v>
      </c>
      <c r="H160" s="7" t="str" cm="1">
        <f t="array" ref="H160">INDEX('municipalities per province'!E:E,MATCH(municipalities!$A160,'municipalities per province'!$B:$B,0),0)</f>
        <v>PV28</v>
      </c>
      <c r="I160" s="7" t="str" cm="1">
        <f t="array" ref="I160">INDEX('municipalities per province'!G:G,MATCH(municipalities!$A160,'municipalities per province'!$B:$B,0),0)</f>
        <v>HollandRijnland</v>
      </c>
      <c r="J160" s="7" t="str" cm="1">
        <f t="array" ref="J160">INDEX('municipalities per province'!H:H,MATCH(municipalities!$A160,'municipalities per province'!$B:$B,0),0)</f>
        <v>ES21</v>
      </c>
      <c r="K160" s="7" cm="1">
        <f t="array" ref="K160">INDEX(coordinates!C:C,MATCH(municipalities!$A160,coordinates!$A:$A,0),0)</f>
        <v>4.7794580747313216</v>
      </c>
      <c r="L160" s="7" cm="1">
        <f t="array" ref="L160">INDEX(coordinates!D:D,MATCH(municipalities!$A160,coordinates!$A:$A,0),0)</f>
        <v>52.170790811834983</v>
      </c>
      <c r="M160" s="8">
        <v>1</v>
      </c>
      <c r="N160" s="9">
        <v>29463</v>
      </c>
      <c r="O160" s="9">
        <v>14868</v>
      </c>
      <c r="P160" s="9">
        <v>14595</v>
      </c>
      <c r="Q160" s="9">
        <v>4</v>
      </c>
      <c r="R160" s="10">
        <v>505</v>
      </c>
      <c r="S160" s="11">
        <v>72</v>
      </c>
      <c r="T160" s="11">
        <v>27</v>
      </c>
      <c r="U160" s="12">
        <f t="shared" si="16"/>
        <v>38.700000000000003</v>
      </c>
      <c r="V160" s="12">
        <f t="shared" si="17"/>
        <v>3.2</v>
      </c>
      <c r="W160" s="12">
        <f t="shared" si="18"/>
        <v>5</v>
      </c>
      <c r="X160" s="12">
        <f t="shared" si="19"/>
        <v>6.8</v>
      </c>
      <c r="Y160" s="12">
        <f t="shared" si="20"/>
        <v>212.2</v>
      </c>
      <c r="Z160" s="12" cm="1">
        <f t="array" ref="Z160">INDEX(municipality_wind_potential!$X:$X,MATCH(municipalities!$F160,municipality_wind_potential!$E:$E,0),0)</f>
        <v>33</v>
      </c>
      <c r="AA160" s="12">
        <f t="shared" si="21"/>
        <v>184.79999999999998</v>
      </c>
      <c r="AB160" s="12" cm="1">
        <f t="array" ref="AB160">INDEX(municipality_wind_potential!$Y:$Y,MATCH(municipalities!$F160,municipality_wind_potential!$E:$E,0),0) / 3.6</f>
        <v>576.93888888888887</v>
      </c>
      <c r="AC160" s="12">
        <f t="shared" si="22"/>
        <v>58.365130789536842</v>
      </c>
      <c r="AD160" s="12" cm="1">
        <f t="array" ref="AD160">INDEX(municipality_pv_potential!$G:$G,MATCH(municipalities!$A160,municipality_pv_potential!$E:$E,0),0)/3.6*$AH$4</f>
        <v>54.046111111111117</v>
      </c>
      <c r="AE160" s="12">
        <f t="shared" si="23"/>
        <v>251.54487640988719</v>
      </c>
      <c r="AF160" s="12" cm="1">
        <f t="array" ref="AF160">INDEX(municipality_pv_potential!$H:$H,MATCH(municipalities!$A160,municipality_pv_potential!$E:$E,0),0)/3.6</f>
        <v>232.93055555555554</v>
      </c>
      <c r="AG160" s="12"/>
      <c r="AJ160">
        <v>38.700000000000003</v>
      </c>
      <c r="AK160">
        <v>3.2</v>
      </c>
      <c r="AL160">
        <v>5</v>
      </c>
      <c r="AM160">
        <v>6.8</v>
      </c>
      <c r="AN160">
        <v>212.2</v>
      </c>
    </row>
    <row r="161" spans="1:40" x14ac:dyDescent="0.25">
      <c r="A161" s="5" t="s">
        <v>497</v>
      </c>
      <c r="B161" s="6" t="s">
        <v>498</v>
      </c>
      <c r="C161" s="7" t="s">
        <v>499</v>
      </c>
      <c r="D161" s="7" t="s">
        <v>499</v>
      </c>
      <c r="E161" s="7" t="s">
        <v>22</v>
      </c>
      <c r="F161" s="7" t="s">
        <v>497</v>
      </c>
      <c r="G161" s="7" t="str" cm="1">
        <f t="array" ref="G161">INDEX('municipalities per province'!F:F,MATCH(municipalities!A161,'municipalities per province'!B:B,0),0)</f>
        <v>Zuid-Holland</v>
      </c>
      <c r="H161" s="7" t="str" cm="1">
        <f t="array" ref="H161">INDEX('municipalities per province'!E:E,MATCH(municipalities!$A161,'municipalities per province'!$B:$B,0),0)</f>
        <v>PV28</v>
      </c>
      <c r="I161" s="7" t="str" cm="1">
        <f t="array" ref="I161">INDEX('municipalities per province'!G:G,MATCH(municipalities!$A161,'municipalities per province'!$B:$B,0),0)</f>
        <v>HollandRijnland</v>
      </c>
      <c r="J161" s="7" t="str" cm="1">
        <f t="array" ref="J161">INDEX('municipalities per province'!H:H,MATCH(municipalities!$A161,'municipalities per province'!$B:$B,0),0)</f>
        <v>ES21</v>
      </c>
      <c r="K161" s="7" cm="1">
        <f t="array" ref="K161">INDEX(coordinates!C:C,MATCH(municipalities!$A161,coordinates!$A:$A,0),0)</f>
        <v>4.4440131280768389</v>
      </c>
      <c r="L161" s="7" cm="1">
        <f t="array" ref="L161">INDEX(coordinates!D:D,MATCH(municipalities!$A161,coordinates!$A:$A,0),0)</f>
        <v>52.276581887029522</v>
      </c>
      <c r="M161" s="8">
        <v>1</v>
      </c>
      <c r="N161" s="9">
        <v>45179</v>
      </c>
      <c r="O161" s="9">
        <v>22571</v>
      </c>
      <c r="P161" s="9">
        <v>22608</v>
      </c>
      <c r="Q161" s="9">
        <v>3</v>
      </c>
      <c r="R161" s="10">
        <v>1427</v>
      </c>
      <c r="S161" s="11">
        <v>63</v>
      </c>
      <c r="T161" s="11">
        <v>36</v>
      </c>
      <c r="U161" s="12">
        <f t="shared" si="16"/>
        <v>38.5</v>
      </c>
      <c r="V161" s="12">
        <f t="shared" si="17"/>
        <v>4.0999999999999996</v>
      </c>
      <c r="W161" s="12">
        <f t="shared" si="18"/>
        <v>6.4</v>
      </c>
      <c r="X161" s="12">
        <f t="shared" si="19"/>
        <v>8.6999999999999993</v>
      </c>
      <c r="Y161" s="12">
        <f t="shared" si="20"/>
        <v>177.2</v>
      </c>
      <c r="Z161" s="12" cm="1">
        <f t="array" ref="Z161">INDEX(municipality_wind_potential!$X:$X,MATCH(municipalities!$F161,municipality_wind_potential!$E:$E,0),0)</f>
        <v>30</v>
      </c>
      <c r="AA161" s="12">
        <f t="shared" si="21"/>
        <v>168</v>
      </c>
      <c r="AB161" s="12" cm="1">
        <f t="array" ref="AB161">INDEX(municipality_wind_potential!$Y:$Y,MATCH(municipalities!$F161,municipality_wind_potential!$E:$E,0),0) / 3.6</f>
        <v>633.08055555555563</v>
      </c>
      <c r="AC161" s="12">
        <f t="shared" si="22"/>
        <v>69.416246700263969</v>
      </c>
      <c r="AD161" s="12" cm="1">
        <f t="array" ref="AD161">INDEX(municipality_pv_potential!$G:$G,MATCH(municipalities!$A161,municipality_pv_potential!$E:$E,0),0)/3.6*$AH$4</f>
        <v>64.279444444444437</v>
      </c>
      <c r="AE161" s="12">
        <f t="shared" si="23"/>
        <v>79.814614830813539</v>
      </c>
      <c r="AF161" s="12" cm="1">
        <f t="array" ref="AF161">INDEX(municipality_pv_potential!$H:$H,MATCH(municipalities!$A161,municipality_pv_potential!$E:$E,0),0)/3.6</f>
        <v>73.908333333333331</v>
      </c>
      <c r="AG161" s="12"/>
      <c r="AJ161">
        <v>38.5</v>
      </c>
      <c r="AK161">
        <v>4.0999999999999996</v>
      </c>
      <c r="AL161">
        <v>6.4</v>
      </c>
      <c r="AM161">
        <v>8.6999999999999993</v>
      </c>
      <c r="AN161">
        <v>177.2</v>
      </c>
    </row>
    <row r="162" spans="1:40" x14ac:dyDescent="0.25">
      <c r="A162" s="5" t="s">
        <v>500</v>
      </c>
      <c r="B162" s="6" t="s">
        <v>501</v>
      </c>
      <c r="C162" s="7" t="s">
        <v>502</v>
      </c>
      <c r="D162" s="7" t="s">
        <v>502</v>
      </c>
      <c r="E162" s="7" t="s">
        <v>22</v>
      </c>
      <c r="F162" s="7" t="s">
        <v>500</v>
      </c>
      <c r="G162" s="7" t="str" cm="1">
        <f t="array" ref="G162">INDEX('municipalities per province'!F:F,MATCH(municipalities!A162,'municipalities per province'!B:B,0),0)</f>
        <v>Zuid-Holland</v>
      </c>
      <c r="H162" s="7" t="str" cm="1">
        <f t="array" ref="H162">INDEX('municipalities per province'!E:E,MATCH(municipalities!$A162,'municipalities per province'!$B:$B,0),0)</f>
        <v>PV28</v>
      </c>
      <c r="I162" s="7" t="str" cm="1">
        <f t="array" ref="I162">INDEX('municipalities per province'!G:G,MATCH(municipalities!$A162,'municipalities per province'!$B:$B,0),0)</f>
        <v>HollandRijnland</v>
      </c>
      <c r="J162" s="7" t="str" cm="1">
        <f t="array" ref="J162">INDEX('municipalities per province'!H:H,MATCH(municipalities!$A162,'municipalities per province'!$B:$B,0),0)</f>
        <v>ES21</v>
      </c>
      <c r="K162" s="7" cm="1">
        <f t="array" ref="K162">INDEX(coordinates!C:C,MATCH(municipalities!$A162,coordinates!$A:$A,0),0)</f>
        <v>4.471213527834224</v>
      </c>
      <c r="L162" s="7" cm="1">
        <f t="array" ref="L162">INDEX(coordinates!D:D,MATCH(municipalities!$A162,coordinates!$A:$A,0),0)</f>
        <v>52.185553902091243</v>
      </c>
      <c r="M162" s="8">
        <v>1</v>
      </c>
      <c r="N162" s="9">
        <v>25746</v>
      </c>
      <c r="O162" s="9">
        <v>12405</v>
      </c>
      <c r="P162" s="9">
        <v>13341</v>
      </c>
      <c r="Q162" s="9">
        <v>2</v>
      </c>
      <c r="R162" s="10">
        <v>1788</v>
      </c>
      <c r="S162" s="11">
        <v>72</v>
      </c>
      <c r="T162" s="11">
        <v>28</v>
      </c>
      <c r="U162" s="12">
        <f t="shared" si="16"/>
        <v>44.4</v>
      </c>
      <c r="V162" s="12">
        <f t="shared" si="17"/>
        <v>4.2</v>
      </c>
      <c r="W162" s="12">
        <f t="shared" si="18"/>
        <v>5.9</v>
      </c>
      <c r="X162" s="12">
        <f t="shared" si="19"/>
        <v>7.2</v>
      </c>
      <c r="Y162" s="12">
        <f t="shared" si="20"/>
        <v>292.10000000000002</v>
      </c>
      <c r="Z162" s="12" cm="1">
        <f t="array" ref="Z162">INDEX(municipality_wind_potential!$X:$X,MATCH(municipalities!$F162,municipality_wind_potential!$E:$E,0),0)</f>
        <v>0</v>
      </c>
      <c r="AA162" s="12">
        <f t="shared" si="21"/>
        <v>0</v>
      </c>
      <c r="AB162" s="12" cm="1">
        <f t="array" ref="AB162">INDEX(municipality_wind_potential!$Y:$Y,MATCH(municipalities!$F162,municipality_wind_potential!$E:$E,0),0) / 3.6</f>
        <v>0</v>
      </c>
      <c r="AC162" s="12">
        <f t="shared" si="22"/>
        <v>23.527717782577394</v>
      </c>
      <c r="AD162" s="12" cm="1">
        <f t="array" ref="AD162">INDEX(municipality_pv_potential!$G:$G,MATCH(municipalities!$A162,municipality_pv_potential!$E:$E,0),0)/3.6*$AH$4</f>
        <v>21.786666666666669</v>
      </c>
      <c r="AE162" s="12">
        <f t="shared" si="23"/>
        <v>2.2558195344372445</v>
      </c>
      <c r="AF162" s="12" cm="1">
        <f t="array" ref="AF162">INDEX(municipality_pv_potential!$H:$H,MATCH(municipalities!$A162,municipality_pv_potential!$E:$E,0),0)/3.6</f>
        <v>2.0888888888888886</v>
      </c>
      <c r="AG162" s="12"/>
      <c r="AJ162">
        <v>44.4</v>
      </c>
      <c r="AK162">
        <v>4.2</v>
      </c>
      <c r="AL162">
        <v>5.9</v>
      </c>
      <c r="AM162">
        <v>7.2</v>
      </c>
      <c r="AN162">
        <v>292.10000000000002</v>
      </c>
    </row>
    <row r="163" spans="1:40" x14ac:dyDescent="0.25">
      <c r="A163" s="5" t="s">
        <v>503</v>
      </c>
      <c r="B163" s="6" t="s">
        <v>504</v>
      </c>
      <c r="C163" s="7" t="s">
        <v>505</v>
      </c>
      <c r="D163" s="7" t="s">
        <v>505</v>
      </c>
      <c r="E163" s="7" t="s">
        <v>22</v>
      </c>
      <c r="F163" s="7" t="s">
        <v>503</v>
      </c>
      <c r="G163" s="7" t="str" cm="1">
        <f t="array" ref="G163">INDEX('municipalities per province'!F:F,MATCH(municipalities!A163,'municipalities per province'!B:B,0),0)</f>
        <v>Utrecht</v>
      </c>
      <c r="H163" s="7" t="str" cm="1">
        <f t="array" ref="H163">INDEX('municipalities per province'!E:E,MATCH(municipalities!$A163,'municipalities per province'!$B:$B,0),0)</f>
        <v>PV26</v>
      </c>
      <c r="I163" s="7" t="str" cm="1">
        <f t="array" ref="I163">INDEX('municipalities per province'!G:G,MATCH(municipalities!$A163,'municipalities per province'!$B:$B,0),0)</f>
        <v>U16</v>
      </c>
      <c r="J163" s="7" t="str" cm="1">
        <f t="array" ref="J163">INDEX('municipalities per province'!H:H,MATCH(municipalities!$A163,'municipalities per province'!$B:$B,0),0)</f>
        <v>ES14</v>
      </c>
      <c r="K163" s="7" cm="1">
        <f t="array" ref="K163">INDEX(coordinates!C:C,MATCH(municipalities!$A163,coordinates!$A:$A,0),0)</f>
        <v>4.8642419727710999</v>
      </c>
      <c r="L163" s="7" cm="1">
        <f t="array" ref="L163">INDEX(coordinates!D:D,MATCH(municipalities!$A163,coordinates!$A:$A,0),0)</f>
        <v>52.027457961358991</v>
      </c>
      <c r="M163" s="8">
        <v>1</v>
      </c>
      <c r="N163" s="9">
        <v>10232</v>
      </c>
      <c r="O163" s="9">
        <v>5075</v>
      </c>
      <c r="P163" s="9">
        <v>5157</v>
      </c>
      <c r="Q163" s="9">
        <v>4</v>
      </c>
      <c r="R163" s="10">
        <v>858</v>
      </c>
      <c r="S163" s="11">
        <v>70</v>
      </c>
      <c r="T163" s="11">
        <v>30</v>
      </c>
      <c r="U163" s="12">
        <f t="shared" si="16"/>
        <v>37.799999999999997</v>
      </c>
      <c r="V163" s="12">
        <f t="shared" si="17"/>
        <v>3.3</v>
      </c>
      <c r="W163" s="12">
        <f t="shared" si="18"/>
        <v>5.6</v>
      </c>
      <c r="X163" s="12">
        <f t="shared" si="19"/>
        <v>8.1999999999999993</v>
      </c>
      <c r="Y163" s="12">
        <f t="shared" si="20"/>
        <v>227.3</v>
      </c>
      <c r="Z163" s="12" cm="1">
        <f t="array" ref="Z163">INDEX(municipality_wind_potential!$X:$X,MATCH(municipalities!$F163,municipality_wind_potential!$E:$E,0),0)</f>
        <v>31</v>
      </c>
      <c r="AA163" s="12">
        <f t="shared" si="21"/>
        <v>173.6</v>
      </c>
      <c r="AB163" s="12" cm="1">
        <f t="array" ref="AB163">INDEX(municipality_wind_potential!$Y:$Y,MATCH(municipalities!$F163,municipality_wind_potential!$E:$E,0),0) / 3.6</f>
        <v>550.31111111111102</v>
      </c>
      <c r="AC163" s="12">
        <f t="shared" si="22"/>
        <v>24.022078233741301</v>
      </c>
      <c r="AD163" s="12" cm="1">
        <f t="array" ref="AD163">INDEX(municipality_pv_potential!$G:$G,MATCH(municipalities!$A163,municipality_pv_potential!$E:$E,0),0)/3.6*$AH$4</f>
        <v>22.244444444444444</v>
      </c>
      <c r="AE163" s="12">
        <f t="shared" si="23"/>
        <v>157.0104391648668</v>
      </c>
      <c r="AF163" s="12" cm="1">
        <f t="array" ref="AF163">INDEX(municipality_pv_potential!$H:$H,MATCH(municipalities!$A163,municipality_pv_potential!$E:$E,0),0)/3.6</f>
        <v>145.39166666666665</v>
      </c>
      <c r="AG163" s="12"/>
      <c r="AJ163">
        <v>37.799999999999997</v>
      </c>
      <c r="AK163">
        <v>3.3</v>
      </c>
      <c r="AL163">
        <v>5.6</v>
      </c>
      <c r="AM163">
        <v>8.1999999999999993</v>
      </c>
      <c r="AN163">
        <v>227.3</v>
      </c>
    </row>
    <row r="164" spans="1:40" x14ac:dyDescent="0.25">
      <c r="A164" s="5" t="s">
        <v>506</v>
      </c>
      <c r="B164" s="6" t="s">
        <v>507</v>
      </c>
      <c r="C164" s="7" t="s">
        <v>508</v>
      </c>
      <c r="D164" s="7" t="s">
        <v>508</v>
      </c>
      <c r="E164" s="7" t="s">
        <v>22</v>
      </c>
      <c r="F164" s="7" t="s">
        <v>506</v>
      </c>
      <c r="G164" s="7" t="str" cm="1">
        <f t="array" ref="G164">INDEX('municipalities per province'!F:F,MATCH(municipalities!A164,'municipalities per province'!B:B,0),0)</f>
        <v>Zuid-Holland</v>
      </c>
      <c r="H164" s="7" t="str" cm="1">
        <f t="array" ref="H164">INDEX('municipalities per province'!E:E,MATCH(municipalities!$A164,'municipalities per province'!$B:$B,0),0)</f>
        <v>PV28</v>
      </c>
      <c r="I164" s="7" t="str" cm="1">
        <f t="array" ref="I164">INDEX('municipalities per province'!G:G,MATCH(municipalities!$A164,'municipalities per province'!$B:$B,0),0)</f>
        <v>Drechtsteden</v>
      </c>
      <c r="J164" s="7" t="str" cm="1">
        <f t="array" ref="J164">INDEX('municipalities per province'!H:H,MATCH(municipalities!$A164,'municipalities per province'!$B:$B,0),0)</f>
        <v>ES18</v>
      </c>
      <c r="K164" s="7" cm="1">
        <f t="array" ref="K164">INDEX(coordinates!C:C,MATCH(municipalities!$A164,coordinates!$A:$A,0),0)</f>
        <v>4.7033449945061943</v>
      </c>
      <c r="L164" s="7" cm="1">
        <f t="array" ref="L164">INDEX(coordinates!D:D,MATCH(municipalities!$A164,coordinates!$A:$A,0),0)</f>
        <v>51.833237036374101</v>
      </c>
      <c r="M164" s="8">
        <v>1</v>
      </c>
      <c r="N164" s="9">
        <v>32277</v>
      </c>
      <c r="O164" s="9">
        <v>15877</v>
      </c>
      <c r="P164" s="9">
        <v>16400</v>
      </c>
      <c r="Q164" s="9">
        <v>2</v>
      </c>
      <c r="R164" s="10">
        <v>1920</v>
      </c>
      <c r="S164" s="11">
        <v>65</v>
      </c>
      <c r="T164" s="11">
        <v>35</v>
      </c>
      <c r="U164" s="12">
        <f t="shared" si="16"/>
        <v>34.1</v>
      </c>
      <c r="V164" s="12">
        <f t="shared" si="17"/>
        <v>4.5</v>
      </c>
      <c r="W164" s="12">
        <f t="shared" si="18"/>
        <v>7.3</v>
      </c>
      <c r="X164" s="12">
        <f t="shared" si="19"/>
        <v>9.8000000000000007</v>
      </c>
      <c r="Y164" s="12">
        <f t="shared" si="20"/>
        <v>110.4</v>
      </c>
      <c r="Z164" s="12" cm="1">
        <f t="array" ref="Z164">INDEX(municipality_wind_potential!$X:$X,MATCH(municipalities!$F164,municipality_wind_potential!$E:$E,0),0)</f>
        <v>1</v>
      </c>
      <c r="AA164" s="12">
        <f t="shared" si="21"/>
        <v>5.6</v>
      </c>
      <c r="AB164" s="12" cm="1">
        <f t="array" ref="AB164">INDEX(municipality_wind_potential!$Y:$Y,MATCH(municipalities!$F164,municipality_wind_potential!$E:$E,0),0) / 3.6</f>
        <v>8.0638888888888882</v>
      </c>
      <c r="AC164" s="12">
        <f t="shared" si="22"/>
        <v>33.467122630189593</v>
      </c>
      <c r="AD164" s="12" cm="1">
        <f t="array" ref="AD164">INDEX(municipality_pv_potential!$G:$G,MATCH(municipalities!$A164,municipality_pv_potential!$E:$E,0),0)/3.6*$AH$4</f>
        <v>30.990555555555559</v>
      </c>
      <c r="AE164" s="12">
        <f t="shared" si="23"/>
        <v>4.9646028317734583</v>
      </c>
      <c r="AF164" s="12" cm="1">
        <f t="array" ref="AF164">INDEX(municipality_pv_potential!$H:$H,MATCH(municipalities!$A164,municipality_pv_potential!$E:$E,0),0)/3.6</f>
        <v>4.5972222222222223</v>
      </c>
      <c r="AG164" s="12"/>
      <c r="AJ164">
        <v>34.1</v>
      </c>
      <c r="AK164">
        <v>4.5</v>
      </c>
      <c r="AL164">
        <v>7.3</v>
      </c>
      <c r="AM164">
        <v>9.8000000000000007</v>
      </c>
      <c r="AN164">
        <v>110.4</v>
      </c>
    </row>
    <row r="165" spans="1:40" x14ac:dyDescent="0.25">
      <c r="A165" s="5" t="s">
        <v>509</v>
      </c>
      <c r="B165" s="6" t="s">
        <v>510</v>
      </c>
      <c r="C165" s="7" t="s">
        <v>511</v>
      </c>
      <c r="D165" s="7" t="s">
        <v>511</v>
      </c>
      <c r="E165" s="7" t="s">
        <v>22</v>
      </c>
      <c r="F165" s="7" t="s">
        <v>509</v>
      </c>
      <c r="G165" s="7" t="str" cm="1">
        <f t="array" ref="G165">INDEX('municipalities per province'!F:F,MATCH(municipalities!A165,'municipalities per province'!B:B,0),0)</f>
        <v>Zuid-Holland</v>
      </c>
      <c r="H165" s="7" t="str" cm="1">
        <f t="array" ref="H165">INDEX('municipalities per province'!E:E,MATCH(municipalities!$A165,'municipalities per province'!$B:$B,0),0)</f>
        <v>PV28</v>
      </c>
      <c r="I165" s="7" t="str" cm="1">
        <f t="array" ref="I165">INDEX('municipalities per province'!G:G,MATCH(municipalities!$A165,'municipalities per province'!$B:$B,0),0)</f>
        <v>Rotterdam/DenHaag</v>
      </c>
      <c r="J165" s="7" t="str" cm="1">
        <f t="array" ref="J165">INDEX('municipalities per province'!H:H,MATCH(municipalities!$A165,'municipalities per province'!$B:$B,0),0)</f>
        <v>ES23</v>
      </c>
      <c r="K165" s="7" cm="1">
        <f t="array" ref="K165">INDEX(coordinates!C:C,MATCH(municipalities!$A165,coordinates!$A:$A,0),0)</f>
        <v>4.5961070050111843</v>
      </c>
      <c r="L165" s="7" cm="1">
        <f t="array" ref="L165">INDEX(coordinates!D:D,MATCH(municipalities!$A165,coordinates!$A:$A,0),0)</f>
        <v>51.868796588953693</v>
      </c>
      <c r="M165" s="8">
        <v>1</v>
      </c>
      <c r="N165" s="9">
        <v>47477</v>
      </c>
      <c r="O165" s="9">
        <v>22940</v>
      </c>
      <c r="P165" s="9">
        <v>24537</v>
      </c>
      <c r="Q165" s="9">
        <v>2</v>
      </c>
      <c r="R165" s="10">
        <v>1752</v>
      </c>
      <c r="S165" s="11">
        <v>57</v>
      </c>
      <c r="T165" s="11">
        <v>43</v>
      </c>
      <c r="U165" s="12">
        <f t="shared" si="16"/>
        <v>32.9</v>
      </c>
      <c r="V165" s="12">
        <f t="shared" si="17"/>
        <v>5.2</v>
      </c>
      <c r="W165" s="12">
        <f t="shared" si="18"/>
        <v>8.1</v>
      </c>
      <c r="X165" s="12">
        <f t="shared" si="19"/>
        <v>11.5</v>
      </c>
      <c r="Y165" s="12">
        <f t="shared" si="20"/>
        <v>80.5</v>
      </c>
      <c r="Z165" s="12" cm="1">
        <f t="array" ref="Z165">INDEX(municipality_wind_potential!$X:$X,MATCH(municipalities!$F165,municipality_wind_potential!$E:$E,0),0)</f>
        <v>4</v>
      </c>
      <c r="AA165" s="12">
        <f t="shared" si="21"/>
        <v>22.4</v>
      </c>
      <c r="AB165" s="12" cm="1">
        <f t="array" ref="AB165">INDEX(municipality_wind_potential!$Y:$Y,MATCH(municipalities!$F165,municipality_wind_potential!$E:$E,0),0) / 3.6</f>
        <v>56.447222222222223</v>
      </c>
      <c r="AC165" s="12">
        <f t="shared" si="22"/>
        <v>55.175785937125028</v>
      </c>
      <c r="AD165" s="12" cm="1">
        <f t="array" ref="AD165">INDEX(municipality_pv_potential!$G:$G,MATCH(municipalities!$A165,municipality_pv_potential!$E:$E,0),0)/3.6*$AH$4</f>
        <v>51.092777777777776</v>
      </c>
      <c r="AE165" s="12">
        <f t="shared" si="23"/>
        <v>18.322534197264218</v>
      </c>
      <c r="AF165" s="12" cm="1">
        <f t="array" ref="AF165">INDEX(municipality_pv_potential!$H:$H,MATCH(municipalities!$A165,municipality_pv_potential!$E:$E,0),0)/3.6</f>
        <v>16.966666666666665</v>
      </c>
      <c r="AG165" s="12"/>
      <c r="AJ165">
        <v>32.9</v>
      </c>
      <c r="AK165">
        <v>5.2</v>
      </c>
      <c r="AL165">
        <v>8.1</v>
      </c>
      <c r="AM165">
        <v>11.5</v>
      </c>
      <c r="AN165">
        <v>80.5</v>
      </c>
    </row>
    <row r="166" spans="1:40" x14ac:dyDescent="0.25">
      <c r="A166" s="5" t="s">
        <v>512</v>
      </c>
      <c r="B166" s="6" t="s">
        <v>513</v>
      </c>
      <c r="C166" s="7" t="s">
        <v>514</v>
      </c>
      <c r="D166" s="7" t="s">
        <v>514</v>
      </c>
      <c r="E166" s="7" t="s">
        <v>22</v>
      </c>
      <c r="F166" s="7" t="s">
        <v>512</v>
      </c>
      <c r="G166" s="7" t="str" cm="1">
        <f t="array" ref="G166">INDEX('municipalities per province'!F:F,MATCH(municipalities!A166,'municipalities per province'!B:B,0),0)</f>
        <v>Zuid-Holland</v>
      </c>
      <c r="H166" s="7" t="str" cm="1">
        <f t="array" ref="H166">INDEX('municipalities per province'!E:E,MATCH(municipalities!$A166,'municipalities per province'!$B:$B,0),0)</f>
        <v>PV28</v>
      </c>
      <c r="I166" s="7" t="str" cm="1">
        <f t="array" ref="I166">INDEX('municipalities per province'!G:G,MATCH(municipalities!$A166,'municipalities per province'!$B:$B,0),0)</f>
        <v>Rotterdam/DenHaag</v>
      </c>
      <c r="J166" s="7" t="str" cm="1">
        <f t="array" ref="J166">INDEX('municipalities per province'!H:H,MATCH(municipalities!$A166,'municipalities per province'!$B:$B,0),0)</f>
        <v>ES23</v>
      </c>
      <c r="K166" s="7" cm="1">
        <f t="array" ref="K166">INDEX(coordinates!C:C,MATCH(municipalities!$A166,coordinates!$A:$A,0),0)</f>
        <v>4.0064557548386732</v>
      </c>
      <c r="L166" s="7" cm="1">
        <f t="array" ref="L166">INDEX(coordinates!D:D,MATCH(municipalities!$A166,coordinates!$A:$A,0),0)</f>
        <v>51.970681043369709</v>
      </c>
      <c r="M166" s="8">
        <v>1</v>
      </c>
      <c r="N166" s="9">
        <v>663900</v>
      </c>
      <c r="O166" s="9">
        <v>328622</v>
      </c>
      <c r="P166" s="9">
        <v>335278</v>
      </c>
      <c r="Q166" s="9">
        <v>1</v>
      </c>
      <c r="R166" s="10">
        <v>4058</v>
      </c>
      <c r="S166" s="11">
        <v>34</v>
      </c>
      <c r="T166" s="11">
        <v>66</v>
      </c>
      <c r="U166" s="12">
        <f t="shared" si="16"/>
        <v>29.8</v>
      </c>
      <c r="V166" s="12">
        <f t="shared" si="17"/>
        <v>13.5</v>
      </c>
      <c r="W166" s="12">
        <f t="shared" si="18"/>
        <v>18.2</v>
      </c>
      <c r="X166" s="12">
        <f t="shared" si="19"/>
        <v>21.6</v>
      </c>
      <c r="Y166" s="12">
        <f t="shared" si="20"/>
        <v>10.4</v>
      </c>
      <c r="Z166" s="12" cm="1">
        <f t="array" ref="Z166">INDEX(municipality_wind_potential!$X:$X,MATCH(municipalities!$F166,municipality_wind_potential!$E:$E,0),0)</f>
        <v>45</v>
      </c>
      <c r="AA166" s="12">
        <f t="shared" si="21"/>
        <v>251.99999999999997</v>
      </c>
      <c r="AB166" s="12" cm="1">
        <f t="array" ref="AB166">INDEX(municipality_wind_potential!$Y:$Y,MATCH(municipalities!$F166,municipality_wind_potential!$E:$E,0),0) / 3.6</f>
        <v>855.84722222222229</v>
      </c>
      <c r="AC166" s="12">
        <f t="shared" si="22"/>
        <v>563.30573554115665</v>
      </c>
      <c r="AD166" s="12" cm="1">
        <f t="array" ref="AD166">INDEX(municipality_pv_potential!$G:$G,MATCH(municipalities!$A166,municipality_pv_potential!$E:$E,0),0)/3.6*$AH$4</f>
        <v>521.62111111111108</v>
      </c>
      <c r="AE166" s="12">
        <f t="shared" si="23"/>
        <v>60.790136789056874</v>
      </c>
      <c r="AF166" s="12" cm="1">
        <f t="array" ref="AF166">INDEX(municipality_pv_potential!$H:$H,MATCH(municipalities!$A166,municipality_pv_potential!$E:$E,0),0)/3.6</f>
        <v>56.291666666666664</v>
      </c>
      <c r="AG166" s="12"/>
      <c r="AJ166">
        <v>29.8</v>
      </c>
      <c r="AK166">
        <v>13.5</v>
      </c>
      <c r="AL166">
        <v>18.2</v>
      </c>
      <c r="AM166">
        <v>21.6</v>
      </c>
      <c r="AN166">
        <v>10.4</v>
      </c>
    </row>
    <row r="167" spans="1:40" x14ac:dyDescent="0.25">
      <c r="A167" s="5" t="s">
        <v>515</v>
      </c>
      <c r="B167" s="6" t="s">
        <v>516</v>
      </c>
      <c r="C167" s="7" t="s">
        <v>517</v>
      </c>
      <c r="D167" s="7" t="s">
        <v>517</v>
      </c>
      <c r="E167" s="7" t="s">
        <v>22</v>
      </c>
      <c r="F167" s="7" t="s">
        <v>515</v>
      </c>
      <c r="G167" s="7" t="str" cm="1">
        <f t="array" ref="G167">INDEX('municipalities per province'!F:F,MATCH(municipalities!A167,'municipalities per province'!B:B,0),0)</f>
        <v>Zuid-Holland</v>
      </c>
      <c r="H167" s="7" t="str" cm="1">
        <f t="array" ref="H167">INDEX('municipalities per province'!E:E,MATCH(municipalities!$A167,'municipalities per province'!$B:$B,0),0)</f>
        <v>PV28</v>
      </c>
      <c r="I167" s="7" t="str" cm="1">
        <f t="array" ref="I167">INDEX('municipalities per province'!G:G,MATCH(municipalities!$A167,'municipalities per province'!$B:$B,0),0)</f>
        <v>Rotterdam/DenHaag</v>
      </c>
      <c r="J167" s="7" t="str" cm="1">
        <f t="array" ref="J167">INDEX('municipalities per province'!H:H,MATCH(municipalities!$A167,'municipalities per province'!$B:$B,0),0)</f>
        <v>ES23</v>
      </c>
      <c r="K167" s="7" cm="1">
        <f t="array" ref="K167">INDEX(coordinates!C:C,MATCH(municipalities!$A167,coordinates!$A:$A,0),0)</f>
        <v>4.3260332049732382</v>
      </c>
      <c r="L167" s="7" cm="1">
        <f t="array" ref="L167">INDEX(coordinates!D:D,MATCH(municipalities!$A167,coordinates!$A:$A,0),0)</f>
        <v>52.036197895093288</v>
      </c>
      <c r="M167" s="8">
        <v>3</v>
      </c>
      <c r="N167" s="9">
        <v>57997</v>
      </c>
      <c r="O167" s="9">
        <v>27921</v>
      </c>
      <c r="P167" s="9">
        <v>30076</v>
      </c>
      <c r="Q167" s="9">
        <v>1</v>
      </c>
      <c r="R167" s="10">
        <v>3197</v>
      </c>
      <c r="S167" s="11">
        <v>49</v>
      </c>
      <c r="T167" s="11">
        <v>50</v>
      </c>
      <c r="U167" s="12">
        <f t="shared" si="16"/>
        <v>33.4</v>
      </c>
      <c r="V167" s="12">
        <f t="shared" si="17"/>
        <v>7.3</v>
      </c>
      <c r="W167" s="12">
        <f t="shared" si="18"/>
        <v>10.6</v>
      </c>
      <c r="X167" s="12">
        <f t="shared" si="19"/>
        <v>13.4</v>
      </c>
      <c r="Y167" s="12">
        <f t="shared" si="20"/>
        <v>63.5</v>
      </c>
      <c r="Z167" s="12" cm="1">
        <f t="array" ref="Z167">INDEX(municipality_wind_potential!$X:$X,MATCH(municipalities!$F167,municipality_wind_potential!$E:$E,0),0)</f>
        <v>0</v>
      </c>
      <c r="AA167" s="12">
        <f t="shared" si="21"/>
        <v>0</v>
      </c>
      <c r="AB167" s="12" cm="1">
        <f t="array" ref="AB167">INDEX(municipality_wind_potential!$Y:$Y,MATCH(municipalities!$F167,municipality_wind_potential!$E:$E,0),0) / 3.6</f>
        <v>0</v>
      </c>
      <c r="AC167" s="12">
        <f t="shared" si="22"/>
        <v>50.365970722342212</v>
      </c>
      <c r="AD167" s="12" cm="1">
        <f t="array" ref="AD167">INDEX(municipality_pv_potential!$G:$G,MATCH(municipalities!$A167,municipality_pv_potential!$E:$E,0),0)/3.6*$AH$4</f>
        <v>46.638888888888886</v>
      </c>
      <c r="AE167" s="12">
        <f t="shared" si="23"/>
        <v>1.0679145668346532</v>
      </c>
      <c r="AF167" s="12" cm="1">
        <f t="array" ref="AF167">INDEX(municipality_pv_potential!$H:$H,MATCH(municipalities!$A167,municipality_pv_potential!$E:$E,0),0)/3.6</f>
        <v>0.98888888888888893</v>
      </c>
      <c r="AG167" s="12"/>
      <c r="AJ167">
        <v>33.4</v>
      </c>
      <c r="AK167">
        <v>7.3</v>
      </c>
      <c r="AL167">
        <v>10.6</v>
      </c>
      <c r="AM167">
        <v>13.4</v>
      </c>
      <c r="AN167">
        <v>63.5</v>
      </c>
    </row>
    <row r="168" spans="1:40" x14ac:dyDescent="0.25">
      <c r="A168" s="5" t="s">
        <v>518</v>
      </c>
      <c r="B168" s="6" t="s">
        <v>519</v>
      </c>
      <c r="C168" s="7" t="s">
        <v>520</v>
      </c>
      <c r="D168" s="7" t="s">
        <v>520</v>
      </c>
      <c r="E168" s="7" t="s">
        <v>22</v>
      </c>
      <c r="F168" s="7" t="s">
        <v>518</v>
      </c>
      <c r="G168" s="7" t="str" cm="1">
        <f t="array" ref="G168">INDEX('municipalities per province'!F:F,MATCH(municipalities!A168,'municipalities per province'!B:B,0),0)</f>
        <v>Zuid-Holland</v>
      </c>
      <c r="H168" s="7" t="str" cm="1">
        <f t="array" ref="H168">INDEX('municipalities per province'!E:E,MATCH(municipalities!$A168,'municipalities per province'!$B:$B,0),0)</f>
        <v>PV28</v>
      </c>
      <c r="I168" s="7" t="str" cm="1">
        <f t="array" ref="I168">INDEX('municipalities per province'!G:G,MATCH(municipalities!$A168,'municipalities per province'!$B:$B,0),0)</f>
        <v>Rotterdam/DenHaag</v>
      </c>
      <c r="J168" s="7" t="str" cm="1">
        <f t="array" ref="J168">INDEX('municipalities per province'!H:H,MATCH(municipalities!$A168,'municipalities per province'!$B:$B,0),0)</f>
        <v>ES23</v>
      </c>
      <c r="K168" s="7" cm="1">
        <f t="array" ref="K168">INDEX(coordinates!C:C,MATCH(municipalities!$A168,coordinates!$A:$A,0),0)</f>
        <v>4.3852574637483022</v>
      </c>
      <c r="L168" s="7" cm="1">
        <f t="array" ref="L168">INDEX(coordinates!D:D,MATCH(municipalities!$A168,coordinates!$A:$A,0),0)</f>
        <v>51.926761219755917</v>
      </c>
      <c r="M168" s="8">
        <v>1</v>
      </c>
      <c r="N168" s="9">
        <v>80628</v>
      </c>
      <c r="O168" s="9">
        <v>40120</v>
      </c>
      <c r="P168" s="9">
        <v>40508</v>
      </c>
      <c r="Q168" s="9">
        <v>1</v>
      </c>
      <c r="R168" s="10">
        <v>3363</v>
      </c>
      <c r="S168" s="11">
        <v>49</v>
      </c>
      <c r="T168" s="11">
        <v>51</v>
      </c>
      <c r="U168" s="12">
        <f t="shared" si="16"/>
        <v>30.6</v>
      </c>
      <c r="V168" s="12">
        <f t="shared" si="17"/>
        <v>8.3000000000000007</v>
      </c>
      <c r="W168" s="12">
        <f t="shared" si="18"/>
        <v>12.2</v>
      </c>
      <c r="X168" s="12">
        <f t="shared" si="19"/>
        <v>15.4</v>
      </c>
      <c r="Y168" s="12">
        <f t="shared" si="20"/>
        <v>37.6</v>
      </c>
      <c r="Z168" s="12" cm="1">
        <f t="array" ref="Z168">INDEX(municipality_wind_potential!$X:$X,MATCH(municipalities!$F168,municipality_wind_potential!$E:$E,0),0)</f>
        <v>1</v>
      </c>
      <c r="AA168" s="12">
        <f t="shared" si="21"/>
        <v>5.6</v>
      </c>
      <c r="AB168" s="12" cm="1">
        <f t="array" ref="AB168">INDEX(municipality_wind_potential!$Y:$Y,MATCH(municipalities!$F168,municipality_wind_potential!$E:$E,0),0) / 3.6</f>
        <v>16.127777777777776</v>
      </c>
      <c r="AC168" s="12">
        <f t="shared" si="22"/>
        <v>68.764698824094083</v>
      </c>
      <c r="AD168" s="12" cm="1">
        <f t="array" ref="AD168">INDEX(municipality_pv_potential!$G:$G,MATCH(municipalities!$A168,municipality_pv_potential!$E:$E,0),0)/3.6*$AH$4</f>
        <v>63.676111111111119</v>
      </c>
      <c r="AE168" s="12">
        <f t="shared" si="23"/>
        <v>8.5973122150227983</v>
      </c>
      <c r="AF168" s="12" cm="1">
        <f t="array" ref="AF168">INDEX(municipality_pv_potential!$H:$H,MATCH(municipalities!$A168,municipality_pv_potential!$E:$E,0),0)/3.6</f>
        <v>7.9611111111111112</v>
      </c>
      <c r="AG168" s="12"/>
      <c r="AJ168">
        <v>30.6</v>
      </c>
      <c r="AK168">
        <v>8.3000000000000007</v>
      </c>
      <c r="AL168">
        <v>12.2</v>
      </c>
      <c r="AM168">
        <v>15.4</v>
      </c>
      <c r="AN168">
        <v>37.6</v>
      </c>
    </row>
    <row r="169" spans="1:40" x14ac:dyDescent="0.25">
      <c r="A169" s="5" t="s">
        <v>521</v>
      </c>
      <c r="B169" s="6" t="s">
        <v>522</v>
      </c>
      <c r="C169" s="7" t="s">
        <v>523</v>
      </c>
      <c r="D169" s="7" t="s">
        <v>523</v>
      </c>
      <c r="E169" s="7" t="s">
        <v>22</v>
      </c>
      <c r="F169" s="7" t="s">
        <v>521</v>
      </c>
      <c r="G169" s="7" t="str" cm="1">
        <f t="array" ref="G169">INDEX('municipalities per province'!F:F,MATCH(municipalities!A169,'municipalities per province'!B:B,0),0)</f>
        <v>Zuid-Holland</v>
      </c>
      <c r="H169" s="7" t="str" cm="1">
        <f t="array" ref="H169">INDEX('municipalities per province'!E:E,MATCH(municipalities!$A169,'municipalities per province'!$B:$B,0),0)</f>
        <v>PV28</v>
      </c>
      <c r="I169" s="7" t="str" cm="1">
        <f t="array" ref="I169">INDEX('municipalities per province'!G:G,MATCH(municipalities!$A169,'municipalities per province'!$B:$B,0),0)</f>
        <v>Drechtsteden</v>
      </c>
      <c r="J169" s="7" t="str" cm="1">
        <f t="array" ref="J169">INDEX('municipalities per province'!H:H,MATCH(municipalities!$A169,'municipalities per province'!$B:$B,0),0)</f>
        <v>ES18</v>
      </c>
      <c r="K169" s="7" cm="1">
        <f t="array" ref="K169">INDEX(coordinates!C:C,MATCH(municipalities!$A169,coordinates!$A:$A,0),0)</f>
        <v>4.772947408377326</v>
      </c>
      <c r="L169" s="7" cm="1">
        <f t="array" ref="L169">INDEX(coordinates!D:D,MATCH(municipalities!$A169,coordinates!$A:$A,0),0)</f>
        <v>51.830686783120299</v>
      </c>
      <c r="M169" s="8">
        <v>1</v>
      </c>
      <c r="N169" s="9">
        <v>26184</v>
      </c>
      <c r="O169" s="9">
        <v>12968</v>
      </c>
      <c r="P169" s="9">
        <v>13216</v>
      </c>
      <c r="Q169" s="9">
        <v>2</v>
      </c>
      <c r="R169" s="10">
        <v>1640</v>
      </c>
      <c r="S169" s="11">
        <v>58</v>
      </c>
      <c r="T169" s="11">
        <v>42</v>
      </c>
      <c r="U169" s="12">
        <f t="shared" si="16"/>
        <v>32.1</v>
      </c>
      <c r="V169" s="12">
        <f t="shared" si="17"/>
        <v>5.2</v>
      </c>
      <c r="W169" s="12">
        <f t="shared" si="18"/>
        <v>8.1999999999999993</v>
      </c>
      <c r="X169" s="12">
        <f t="shared" si="19"/>
        <v>11.2</v>
      </c>
      <c r="Y169" s="12">
        <f t="shared" si="20"/>
        <v>93.3</v>
      </c>
      <c r="Z169" s="12" cm="1">
        <f t="array" ref="Z169">INDEX(municipality_wind_potential!$X:$X,MATCH(municipalities!$F169,municipality_wind_potential!$E:$E,0),0)</f>
        <v>5</v>
      </c>
      <c r="AA169" s="12">
        <f t="shared" si="21"/>
        <v>28</v>
      </c>
      <c r="AB169" s="12" cm="1">
        <f t="array" ref="AB169">INDEX(municipality_wind_potential!$Y:$Y,MATCH(municipalities!$F169,municipality_wind_potential!$E:$E,0),0) / 3.6</f>
        <v>72.574999999999989</v>
      </c>
      <c r="AC169" s="12">
        <f t="shared" si="22"/>
        <v>30.799736021118317</v>
      </c>
      <c r="AD169" s="12" cm="1">
        <f t="array" ref="AD169">INDEX(municipality_pv_potential!$G:$G,MATCH(municipalities!$A169,municipality_pv_potential!$E:$E,0),0)/3.6*$AH$4</f>
        <v>28.520555555555561</v>
      </c>
      <c r="AE169" s="12">
        <f t="shared" si="23"/>
        <v>28.356731461483079</v>
      </c>
      <c r="AF169" s="12" cm="1">
        <f t="array" ref="AF169">INDEX(municipality_pv_potential!$H:$H,MATCH(municipalities!$A169,municipality_pv_potential!$E:$E,0),0)/3.6</f>
        <v>26.258333333333333</v>
      </c>
      <c r="AG169" s="12"/>
      <c r="AJ169">
        <v>32.1</v>
      </c>
      <c r="AK169">
        <v>5.2</v>
      </c>
      <c r="AL169">
        <v>8.1999999999999993</v>
      </c>
      <c r="AM169">
        <v>11.2</v>
      </c>
      <c r="AN169">
        <v>93.3</v>
      </c>
    </row>
    <row r="170" spans="1:40" x14ac:dyDescent="0.25">
      <c r="A170" s="5" t="s">
        <v>524</v>
      </c>
      <c r="B170" s="6" t="s">
        <v>525</v>
      </c>
      <c r="C170" s="7" t="s">
        <v>526</v>
      </c>
      <c r="D170" s="7" t="s">
        <v>526</v>
      </c>
      <c r="E170" s="7" t="s">
        <v>22</v>
      </c>
      <c r="F170" s="7" t="s">
        <v>524</v>
      </c>
      <c r="G170" s="7" t="str" cm="1">
        <f t="array" ref="G170">INDEX('municipalities per province'!F:F,MATCH(municipalities!A170,'municipalities per province'!B:B,0),0)</f>
        <v>Zuid-Holland</v>
      </c>
      <c r="H170" s="7" t="str" cm="1">
        <f t="array" ref="H170">INDEX('municipalities per province'!E:E,MATCH(municipalities!$A170,'municipalities per province'!$B:$B,0),0)</f>
        <v>PV28</v>
      </c>
      <c r="I170" s="7" t="str" cm="1">
        <f t="array" ref="I170">INDEX('municipalities per province'!G:G,MATCH(municipalities!$A170,'municipalities per province'!$B:$B,0),0)</f>
        <v>Rotterdam/DenHaag</v>
      </c>
      <c r="J170" s="7" t="str" cm="1">
        <f t="array" ref="J170">INDEX('municipalities per province'!H:H,MATCH(municipalities!$A170,'municipalities per province'!$B:$B,0),0)</f>
        <v>ES23</v>
      </c>
      <c r="K170" s="7" cm="1">
        <f t="array" ref="K170">INDEX(coordinates!C:C,MATCH(municipalities!$A170,coordinates!$A:$A,0),0)</f>
        <v>4.4357098351785522</v>
      </c>
      <c r="L170" s="7" cm="1">
        <f t="array" ref="L170">INDEX(coordinates!D:D,MATCH(municipalities!$A170,coordinates!$A:$A,0),0)</f>
        <v>51.852041447658273</v>
      </c>
      <c r="M170" s="8">
        <v>1</v>
      </c>
      <c r="N170" s="9">
        <v>26357</v>
      </c>
      <c r="O170" s="9">
        <v>13045</v>
      </c>
      <c r="P170" s="9">
        <v>13312</v>
      </c>
      <c r="Q170" s="9">
        <v>3</v>
      </c>
      <c r="R170" s="10">
        <v>1054</v>
      </c>
      <c r="S170" s="11">
        <v>70</v>
      </c>
      <c r="T170" s="11">
        <v>30</v>
      </c>
      <c r="U170" s="12">
        <f t="shared" si="16"/>
        <v>39.6</v>
      </c>
      <c r="V170" s="12">
        <f t="shared" si="17"/>
        <v>3.8</v>
      </c>
      <c r="W170" s="12">
        <f t="shared" si="18"/>
        <v>5.4</v>
      </c>
      <c r="X170" s="12">
        <f t="shared" si="19"/>
        <v>7.3</v>
      </c>
      <c r="Y170" s="12">
        <f t="shared" si="20"/>
        <v>160.5</v>
      </c>
      <c r="Z170" s="12" cm="1">
        <f t="array" ref="Z170">INDEX(municipality_wind_potential!$X:$X,MATCH(municipalities!$F170,municipality_wind_potential!$E:$E,0),0)</f>
        <v>7</v>
      </c>
      <c r="AA170" s="12">
        <f t="shared" si="21"/>
        <v>39.199999999999996</v>
      </c>
      <c r="AB170" s="12" cm="1">
        <f t="array" ref="AB170">INDEX(municipality_wind_potential!$Y:$Y,MATCH(municipalities!$F170,municipality_wind_potential!$E:$E,0),0) / 3.6</f>
        <v>112.89722222222223</v>
      </c>
      <c r="AC170" s="12">
        <f t="shared" si="22"/>
        <v>31.227501799856014</v>
      </c>
      <c r="AD170" s="12" cm="1">
        <f t="array" ref="AD170">INDEX(municipality_pv_potential!$G:$G,MATCH(municipalities!$A170,municipality_pv_potential!$E:$E,0),0)/3.6*$AH$4</f>
        <v>28.916666666666671</v>
      </c>
      <c r="AE170" s="12">
        <f t="shared" si="23"/>
        <v>38.003959683225339</v>
      </c>
      <c r="AF170" s="12" cm="1">
        <f t="array" ref="AF170">INDEX(municipality_pv_potential!$H:$H,MATCH(municipalities!$A170,municipality_pv_potential!$E:$E,0),0)/3.6</f>
        <v>35.191666666666663</v>
      </c>
      <c r="AG170" s="12"/>
      <c r="AJ170">
        <v>39.6</v>
      </c>
      <c r="AK170">
        <v>3.8</v>
      </c>
      <c r="AL170">
        <v>5.4</v>
      </c>
      <c r="AM170">
        <v>7.3</v>
      </c>
      <c r="AN170">
        <v>160.5</v>
      </c>
    </row>
    <row r="171" spans="1:40" x14ac:dyDescent="0.25">
      <c r="A171" s="5" t="s">
        <v>527</v>
      </c>
      <c r="B171" s="6" t="s">
        <v>528</v>
      </c>
      <c r="C171" s="7" t="s">
        <v>529</v>
      </c>
      <c r="D171" s="7" t="s">
        <v>529</v>
      </c>
      <c r="E171" s="7" t="s">
        <v>22</v>
      </c>
      <c r="F171" s="7" t="s">
        <v>527</v>
      </c>
      <c r="G171" s="7" t="str" cm="1">
        <f t="array" ref="G171">INDEX('municipalities per province'!F:F,MATCH(municipalities!A171,'municipalities per province'!B:B,0),0)</f>
        <v>Zuid-Holland</v>
      </c>
      <c r="H171" s="7" t="str" cm="1">
        <f t="array" ref="H171">INDEX('municipalities per province'!E:E,MATCH(municipalities!$A171,'municipalities per province'!$B:$B,0),0)</f>
        <v>PV28</v>
      </c>
      <c r="I171" s="7" t="str" cm="1">
        <f t="array" ref="I171">INDEX('municipalities per province'!G:G,MATCH(municipalities!$A171,'municipalities per province'!$B:$B,0),0)</f>
        <v>Rotterdam/DenHaag</v>
      </c>
      <c r="J171" s="7" t="str" cm="1">
        <f t="array" ref="J171">INDEX('municipalities per province'!H:H,MATCH(municipalities!$A171,'municipalities per province'!$B:$B,0),0)</f>
        <v>ES23</v>
      </c>
      <c r="K171" s="7" cm="1">
        <f t="array" ref="K171">INDEX(coordinates!C:C,MATCH(municipalities!$A171,coordinates!$A:$A,0),0)</f>
        <v>4.3278629103326223</v>
      </c>
      <c r="L171" s="7" cm="1">
        <f t="array" ref="L171">INDEX(coordinates!D:D,MATCH(municipalities!$A171,coordinates!$A:$A,0),0)</f>
        <v>51.917389294277257</v>
      </c>
      <c r="M171" s="8">
        <v>1</v>
      </c>
      <c r="N171" s="9">
        <v>75079</v>
      </c>
      <c r="O171" s="9">
        <v>36526</v>
      </c>
      <c r="P171" s="9">
        <v>38553</v>
      </c>
      <c r="Q171" s="9">
        <v>1</v>
      </c>
      <c r="R171" s="10">
        <v>2849</v>
      </c>
      <c r="S171" s="11">
        <v>47</v>
      </c>
      <c r="T171" s="11">
        <v>53</v>
      </c>
      <c r="U171" s="12">
        <f t="shared" si="16"/>
        <v>30.7</v>
      </c>
      <c r="V171" s="12">
        <f t="shared" si="17"/>
        <v>7.7</v>
      </c>
      <c r="W171" s="12">
        <f t="shared" si="18"/>
        <v>11.8</v>
      </c>
      <c r="X171" s="12">
        <f t="shared" si="19"/>
        <v>15.1</v>
      </c>
      <c r="Y171" s="12">
        <f t="shared" si="20"/>
        <v>38.6</v>
      </c>
      <c r="Z171" s="12" cm="1">
        <f t="array" ref="Z171">INDEX(municipality_wind_potential!$X:$X,MATCH(municipalities!$F171,municipality_wind_potential!$E:$E,0),0)</f>
        <v>5</v>
      </c>
      <c r="AA171" s="12">
        <f t="shared" si="21"/>
        <v>28</v>
      </c>
      <c r="AB171" s="12" cm="1">
        <f t="array" ref="AB171">INDEX(municipality_wind_potential!$Y:$Y,MATCH(municipalities!$F171,municipality_wind_potential!$E:$E,0),0) / 3.6</f>
        <v>80.638888888888886</v>
      </c>
      <c r="AC171" s="12">
        <f t="shared" si="22"/>
        <v>58.639908807295406</v>
      </c>
      <c r="AD171" s="12" cm="1">
        <f t="array" ref="AD171">INDEX(municipality_pv_potential!$G:$G,MATCH(municipalities!$A171,municipality_pv_potential!$E:$E,0),0)/3.6*$AH$4</f>
        <v>54.300555555555547</v>
      </c>
      <c r="AE171" s="12">
        <f t="shared" si="23"/>
        <v>12.374010079193665</v>
      </c>
      <c r="AF171" s="12" cm="1">
        <f t="array" ref="AF171">INDEX(municipality_pv_potential!$H:$H,MATCH(municipalities!$A171,municipality_pv_potential!$E:$E,0),0)/3.6</f>
        <v>11.458333333333334</v>
      </c>
      <c r="AG171" s="12"/>
      <c r="AJ171">
        <v>30.7</v>
      </c>
      <c r="AK171">
        <v>7.7</v>
      </c>
      <c r="AL171">
        <v>11.8</v>
      </c>
      <c r="AM171">
        <v>15.1</v>
      </c>
      <c r="AN171">
        <v>38.6</v>
      </c>
    </row>
    <row r="172" spans="1:40" x14ac:dyDescent="0.25">
      <c r="A172" s="5" t="s">
        <v>530</v>
      </c>
      <c r="B172" s="6" t="s">
        <v>531</v>
      </c>
      <c r="C172" s="7" t="s">
        <v>532</v>
      </c>
      <c r="D172" s="7" t="s">
        <v>532</v>
      </c>
      <c r="E172" s="7" t="s">
        <v>22</v>
      </c>
      <c r="F172" s="7" t="s">
        <v>530</v>
      </c>
      <c r="G172" s="7" t="str" cm="1">
        <f t="array" ref="G172">INDEX('municipalities per province'!F:F,MATCH(municipalities!A172,'municipalities per province'!B:B,0),0)</f>
        <v>Zuid-Holland</v>
      </c>
      <c r="H172" s="7" t="str" cm="1">
        <f t="array" ref="H172">INDEX('municipalities per province'!E:E,MATCH(municipalities!$A172,'municipalities per province'!$B:$B,0),0)</f>
        <v>PV28</v>
      </c>
      <c r="I172" s="7" t="str" cm="1">
        <f t="array" ref="I172">INDEX('municipalities per province'!G:G,MATCH(municipalities!$A172,'municipalities per province'!$B:$B,0),0)</f>
        <v>HollandRijnland</v>
      </c>
      <c r="J172" s="7" t="str" cm="1">
        <f t="array" ref="J172">INDEX('municipalities per province'!H:H,MATCH(municipalities!$A172,'municipalities per province'!$B:$B,0),0)</f>
        <v>ES21</v>
      </c>
      <c r="K172" s="7" cm="1">
        <f t="array" ref="K172">INDEX(coordinates!C:C,MATCH(municipalities!$A172,coordinates!$A:$A,0),0)</f>
        <v>4.4386332702791957</v>
      </c>
      <c r="L172" s="7" cm="1">
        <f t="array" ref="L172">INDEX(coordinates!D:D,MATCH(municipalities!$A172,coordinates!$A:$A,0),0)</f>
        <v>52.124823840577093</v>
      </c>
      <c r="M172" s="8">
        <v>1</v>
      </c>
      <c r="N172" s="9">
        <v>25665</v>
      </c>
      <c r="O172" s="9">
        <v>12500</v>
      </c>
      <c r="P172" s="9">
        <v>13165</v>
      </c>
      <c r="Q172" s="9">
        <v>2</v>
      </c>
      <c r="R172" s="10">
        <v>1856</v>
      </c>
      <c r="S172" s="11">
        <v>64</v>
      </c>
      <c r="T172" s="11">
        <v>36</v>
      </c>
      <c r="U172" s="12">
        <f t="shared" si="16"/>
        <v>39.4</v>
      </c>
      <c r="V172" s="12">
        <f t="shared" si="17"/>
        <v>4.3</v>
      </c>
      <c r="W172" s="12">
        <f t="shared" si="18"/>
        <v>6.2</v>
      </c>
      <c r="X172" s="12">
        <f t="shared" si="19"/>
        <v>8.1</v>
      </c>
      <c r="Y172" s="12">
        <f t="shared" si="20"/>
        <v>227.7</v>
      </c>
      <c r="Z172" s="12" cm="1">
        <f t="array" ref="Z172">INDEX(municipality_wind_potential!$X:$X,MATCH(municipalities!$F172,municipality_wind_potential!$E:$E,0),0)</f>
        <v>4</v>
      </c>
      <c r="AA172" s="12">
        <f t="shared" si="21"/>
        <v>22.4</v>
      </c>
      <c r="AB172" s="12" cm="1">
        <f t="array" ref="AB172">INDEX(municipality_wind_potential!$Y:$Y,MATCH(municipalities!$F172,municipality_wind_potential!$E:$E,0),0) / 3.6</f>
        <v>62.133333333333333</v>
      </c>
      <c r="AC172" s="12">
        <f t="shared" si="22"/>
        <v>25.561555075593954</v>
      </c>
      <c r="AD172" s="12" cm="1">
        <f t="array" ref="AD172">INDEX(municipality_pv_potential!$G:$G,MATCH(municipalities!$A172,municipality_pv_potential!$E:$E,0),0)/3.6*$AH$4</f>
        <v>23.67</v>
      </c>
      <c r="AE172" s="12">
        <f t="shared" si="23"/>
        <v>16.693664506839454</v>
      </c>
      <c r="AF172" s="12" cm="1">
        <f t="array" ref="AF172">INDEX(municipality_pv_potential!$H:$H,MATCH(municipalities!$A172,municipality_pv_potential!$E:$E,0),0)/3.6</f>
        <v>15.458333333333332</v>
      </c>
      <c r="AG172" s="12"/>
      <c r="AJ172">
        <v>39.4</v>
      </c>
      <c r="AK172">
        <v>4.3</v>
      </c>
      <c r="AL172">
        <v>6.2</v>
      </c>
      <c r="AM172">
        <v>8.1</v>
      </c>
      <c r="AN172">
        <v>227.7</v>
      </c>
    </row>
    <row r="173" spans="1:40" x14ac:dyDescent="0.25">
      <c r="A173" s="5" t="s">
        <v>533</v>
      </c>
      <c r="B173" s="6" t="s">
        <v>534</v>
      </c>
      <c r="C173" s="7" t="s">
        <v>535</v>
      </c>
      <c r="D173" s="7" t="s">
        <v>535</v>
      </c>
      <c r="E173" s="7" t="s">
        <v>22</v>
      </c>
      <c r="F173" s="7" t="s">
        <v>533</v>
      </c>
      <c r="G173" s="7" t="str" cm="1">
        <f t="array" ref="G173">INDEX('municipalities per province'!F:F,MATCH(municipalities!A173,'municipalities per province'!B:B,0),0)</f>
        <v>Zuid-Holland</v>
      </c>
      <c r="H173" s="7" t="str" cm="1">
        <f t="array" ref="H173">INDEX('municipalities per province'!E:E,MATCH(municipalities!$A173,'municipalities per province'!$B:$B,0),0)</f>
        <v>PV28</v>
      </c>
      <c r="I173" s="7" t="str" cm="1">
        <f t="array" ref="I173">INDEX('municipalities per province'!G:G,MATCH(municipalities!$A173,'municipalities per province'!$B:$B,0),0)</f>
        <v>Midden-Holland</v>
      </c>
      <c r="J173" s="7" t="str" cm="1">
        <f t="array" ref="J173">INDEX('municipalities per province'!H:H,MATCH(municipalities!$A173,'municipalities per province'!$B:$B,0),0)</f>
        <v>ES22</v>
      </c>
      <c r="K173" s="7" cm="1">
        <f t="array" ref="K173">INDEX(coordinates!C:C,MATCH(municipalities!$A173,coordinates!$A:$A,0),0)</f>
        <v>4.6407041787411218</v>
      </c>
      <c r="L173" s="7" cm="1">
        <f t="array" ref="L173">INDEX(coordinates!D:D,MATCH(municipalities!$A173,coordinates!$A:$A,0),0)</f>
        <v>52.042396634082337</v>
      </c>
      <c r="M173" s="8">
        <v>1</v>
      </c>
      <c r="N173" s="9">
        <v>32601</v>
      </c>
      <c r="O173" s="9">
        <v>16197</v>
      </c>
      <c r="P173" s="9">
        <v>16404</v>
      </c>
      <c r="Q173" s="9">
        <v>2</v>
      </c>
      <c r="R173" s="10">
        <v>1565</v>
      </c>
      <c r="S173" s="11">
        <v>66</v>
      </c>
      <c r="T173" s="11">
        <v>34</v>
      </c>
      <c r="U173" s="12">
        <f t="shared" si="16"/>
        <v>35</v>
      </c>
      <c r="V173" s="12">
        <f t="shared" si="17"/>
        <v>4</v>
      </c>
      <c r="W173" s="12">
        <f t="shared" si="18"/>
        <v>6.5</v>
      </c>
      <c r="X173" s="12">
        <f t="shared" si="19"/>
        <v>8.6999999999999993</v>
      </c>
      <c r="Y173" s="12">
        <f t="shared" si="20"/>
        <v>117.8</v>
      </c>
      <c r="Z173" s="12" cm="1">
        <f t="array" ref="Z173">INDEX(municipality_wind_potential!$X:$X,MATCH(municipalities!$F173,municipality_wind_potential!$E:$E,0),0)</f>
        <v>12</v>
      </c>
      <c r="AA173" s="12">
        <f t="shared" si="21"/>
        <v>67.199999999999989</v>
      </c>
      <c r="AB173" s="12" cm="1">
        <f t="array" ref="AB173">INDEX(municipality_wind_potential!$Y:$Y,MATCH(municipalities!$F173,municipality_wind_potential!$E:$E,0),0) / 3.6</f>
        <v>213.02499999999998</v>
      </c>
      <c r="AC173" s="12">
        <f t="shared" si="22"/>
        <v>47.207823374130072</v>
      </c>
      <c r="AD173" s="12" cm="1">
        <f t="array" ref="AD173">INDEX(municipality_pv_potential!$G:$G,MATCH(municipalities!$A173,municipality_pv_potential!$E:$E,0),0)/3.6*$AH$4</f>
        <v>43.714444444444446</v>
      </c>
      <c r="AE173" s="12">
        <f t="shared" si="23"/>
        <v>54.241660667146625</v>
      </c>
      <c r="AF173" s="12" cm="1">
        <f t="array" ref="AF173">INDEX(municipality_pv_potential!$H:$H,MATCH(municipalities!$A173,municipality_pv_potential!$E:$E,0),0)/3.6</f>
        <v>50.227777777777774</v>
      </c>
      <c r="AG173" s="12"/>
      <c r="AJ173">
        <v>35</v>
      </c>
      <c r="AK173">
        <v>4</v>
      </c>
      <c r="AL173">
        <v>6.5</v>
      </c>
      <c r="AM173">
        <v>8.6999999999999993</v>
      </c>
      <c r="AN173">
        <v>117.8</v>
      </c>
    </row>
    <row r="174" spans="1:40" x14ac:dyDescent="0.25">
      <c r="A174" s="5" t="s">
        <v>536</v>
      </c>
      <c r="B174" s="6" t="s">
        <v>537</v>
      </c>
      <c r="C174" s="7" t="s">
        <v>538</v>
      </c>
      <c r="D174" s="7" t="s">
        <v>538</v>
      </c>
      <c r="E174" s="7" t="s">
        <v>22</v>
      </c>
      <c r="F174" s="7" t="s">
        <v>536</v>
      </c>
      <c r="G174" s="7" t="str" cm="1">
        <f t="array" ref="G174">INDEX('municipalities per province'!F:F,MATCH(municipalities!A174,'municipalities per province'!B:B,0),0)</f>
        <v>Zuid-Holland</v>
      </c>
      <c r="H174" s="7" t="str" cm="1">
        <f t="array" ref="H174">INDEX('municipalities per province'!E:E,MATCH(municipalities!$A174,'municipalities per province'!$B:$B,0),0)</f>
        <v>PV28</v>
      </c>
      <c r="I174" s="7" t="str" cm="1">
        <f t="array" ref="I174">INDEX('municipalities per province'!G:G,MATCH(municipalities!$A174,'municipalities per province'!$B:$B,0),0)</f>
        <v>Rotterdam/DenHaag</v>
      </c>
      <c r="J174" s="7" t="str" cm="1">
        <f t="array" ref="J174">INDEX('municipalities per province'!H:H,MATCH(municipalities!$A174,'municipalities per province'!$B:$B,0),0)</f>
        <v>ES23</v>
      </c>
      <c r="K174" s="7" cm="1">
        <f t="array" ref="K174">INDEX(coordinates!C:C,MATCH(municipalities!$A174,coordinates!$A:$A,0),0)</f>
        <v>4.3328352095503533</v>
      </c>
      <c r="L174" s="7" cm="1">
        <f t="array" ref="L174">INDEX(coordinates!D:D,MATCH(municipalities!$A174,coordinates!$A:$A,0),0)</f>
        <v>52.160525688024101</v>
      </c>
      <c r="M174" s="8">
        <v>1</v>
      </c>
      <c r="N174" s="9">
        <v>27093</v>
      </c>
      <c r="O174" s="9">
        <v>12899</v>
      </c>
      <c r="P174" s="9">
        <v>14194</v>
      </c>
      <c r="Q174" s="9">
        <v>3</v>
      </c>
      <c r="R174" s="10">
        <v>1445</v>
      </c>
      <c r="S174" s="11">
        <v>58</v>
      </c>
      <c r="T174" s="11">
        <v>42</v>
      </c>
      <c r="U174" s="12">
        <f t="shared" si="16"/>
        <v>50.9</v>
      </c>
      <c r="V174" s="12">
        <f t="shared" si="17"/>
        <v>6.4</v>
      </c>
      <c r="W174" s="12">
        <f t="shared" si="18"/>
        <v>9</v>
      </c>
      <c r="X174" s="12">
        <f t="shared" si="19"/>
        <v>11.3</v>
      </c>
      <c r="Y174" s="12">
        <f t="shared" si="20"/>
        <v>232.4</v>
      </c>
      <c r="Z174" s="12" cm="1">
        <f t="array" ref="Z174">INDEX(municipality_wind_potential!$X:$X,MATCH(municipalities!$F174,municipality_wind_potential!$E:$E,0),0)</f>
        <v>35</v>
      </c>
      <c r="AA174" s="12">
        <f t="shared" si="21"/>
        <v>196</v>
      </c>
      <c r="AB174" s="12" cm="1">
        <f t="array" ref="AB174">INDEX(municipality_wind_potential!$Y:$Y,MATCH(municipalities!$F174,municipality_wind_potential!$E:$E,0),0) / 3.6</f>
        <v>686</v>
      </c>
      <c r="AC174" s="12">
        <f t="shared" si="22"/>
        <v>27.727981761459084</v>
      </c>
      <c r="AD174" s="12" cm="1">
        <f t="array" ref="AD174">INDEX(municipality_pv_potential!$G:$G,MATCH(municipalities!$A174,municipality_pv_potential!$E:$E,0),0)/3.6*$AH$4</f>
        <v>25.676111111111112</v>
      </c>
      <c r="AE174" s="12">
        <f t="shared" si="23"/>
        <v>41.924646028317724</v>
      </c>
      <c r="AF174" s="12" cm="1">
        <f t="array" ref="AF174">INDEX(municipality_pv_potential!$H:$H,MATCH(municipalities!$A174,municipality_pv_potential!$E:$E,0),0)/3.6</f>
        <v>38.822222222222216</v>
      </c>
      <c r="AG174" s="12"/>
      <c r="AJ174">
        <v>50.9</v>
      </c>
      <c r="AK174">
        <v>6.4</v>
      </c>
      <c r="AL174">
        <v>9</v>
      </c>
      <c r="AM174">
        <v>11.3</v>
      </c>
      <c r="AN174">
        <v>232.4</v>
      </c>
    </row>
    <row r="175" spans="1:40" x14ac:dyDescent="0.25">
      <c r="A175" s="5" t="s">
        <v>539</v>
      </c>
      <c r="B175" s="6" t="s">
        <v>540</v>
      </c>
      <c r="C175" s="7" t="s">
        <v>541</v>
      </c>
      <c r="D175" s="7" t="s">
        <v>541</v>
      </c>
      <c r="E175" s="7" t="s">
        <v>22</v>
      </c>
      <c r="F175" s="7" t="s">
        <v>539</v>
      </c>
      <c r="G175" s="7" t="str" cm="1">
        <f t="array" ref="G175">INDEX('municipalities per province'!F:F,MATCH(municipalities!A175,'municipalities per province'!B:B,0),0)</f>
        <v>Utrecht</v>
      </c>
      <c r="H175" s="7" t="str" cm="1">
        <f t="array" ref="H175">INDEX('municipalities per province'!E:E,MATCH(municipalities!$A175,'municipalities per province'!$B:$B,0),0)</f>
        <v>PV26</v>
      </c>
      <c r="I175" s="7" t="str" cm="1">
        <f t="array" ref="I175">INDEX('municipalities per province'!G:G,MATCH(municipalities!$A175,'municipalities per province'!$B:$B,0),0)</f>
        <v>U16</v>
      </c>
      <c r="J175" s="7" t="str" cm="1">
        <f t="array" ref="J175">INDEX('municipalities per province'!H:H,MATCH(municipalities!$A175,'municipalities per province'!$B:$B,0),0)</f>
        <v>ES14</v>
      </c>
      <c r="K175" s="7" cm="1">
        <f t="array" ref="K175">INDEX(coordinates!C:C,MATCH(municipalities!$A175,coordinates!$A:$A,0),0)</f>
        <v>4.898887054715888</v>
      </c>
      <c r="L175" s="7" cm="1">
        <f t="array" ref="L175">INDEX(coordinates!D:D,MATCH(municipalities!$A175,coordinates!$A:$A,0),0)</f>
        <v>52.106940885649458</v>
      </c>
      <c r="M175" s="8">
        <v>1</v>
      </c>
      <c r="N175" s="9">
        <v>53244</v>
      </c>
      <c r="O175" s="9">
        <v>26295</v>
      </c>
      <c r="P175" s="9">
        <v>26949</v>
      </c>
      <c r="Q175" s="9">
        <v>3</v>
      </c>
      <c r="R175" s="10">
        <v>1402</v>
      </c>
      <c r="S175" s="11">
        <v>66</v>
      </c>
      <c r="T175" s="11">
        <v>34</v>
      </c>
      <c r="U175" s="12">
        <f t="shared" si="16"/>
        <v>37.700000000000003</v>
      </c>
      <c r="V175" s="12">
        <f t="shared" si="17"/>
        <v>4</v>
      </c>
      <c r="W175" s="12">
        <f t="shared" si="18"/>
        <v>6.1</v>
      </c>
      <c r="X175" s="12">
        <f t="shared" si="19"/>
        <v>8.1999999999999993</v>
      </c>
      <c r="Y175" s="12">
        <f t="shared" si="20"/>
        <v>184.2</v>
      </c>
      <c r="Z175" s="12" cm="1">
        <f t="array" ref="Z175">INDEX(municipality_wind_potential!$X:$X,MATCH(municipalities!$F175,municipality_wind_potential!$E:$E,0),0)</f>
        <v>56</v>
      </c>
      <c r="AA175" s="12">
        <f t="shared" si="21"/>
        <v>313.59999999999997</v>
      </c>
      <c r="AB175" s="12" cm="1">
        <f t="array" ref="AB175">INDEX(municipality_wind_potential!$Y:$Y,MATCH(municipalities!$F175,municipality_wind_potential!$E:$E,0),0) / 3.6</f>
        <v>994.11111111111109</v>
      </c>
      <c r="AC175" s="12">
        <f t="shared" si="22"/>
        <v>87.074634029277661</v>
      </c>
      <c r="AD175" s="12" cm="1">
        <f t="array" ref="AD175">INDEX(municipality_pv_potential!$G:$G,MATCH(municipalities!$A175,municipality_pv_potential!$E:$E,0),0)/3.6*$AH$4</f>
        <v>80.63111111111111</v>
      </c>
      <c r="AE175" s="12">
        <f t="shared" si="23"/>
        <v>307.75437964962805</v>
      </c>
      <c r="AF175" s="12" cm="1">
        <f t="array" ref="AF175">INDEX(municipality_pv_potential!$H:$H,MATCH(municipalities!$A175,municipality_pv_potential!$E:$E,0),0)/3.6</f>
        <v>284.98055555555555</v>
      </c>
      <c r="AG175" s="12"/>
      <c r="AJ175">
        <v>37.700000000000003</v>
      </c>
      <c r="AK175">
        <v>4</v>
      </c>
      <c r="AL175">
        <v>6.1</v>
      </c>
      <c r="AM175">
        <v>8.1999999999999993</v>
      </c>
      <c r="AN175">
        <v>184.2</v>
      </c>
    </row>
    <row r="176" spans="1:40" x14ac:dyDescent="0.25">
      <c r="A176" s="5" t="s">
        <v>542</v>
      </c>
      <c r="B176" s="6" t="s">
        <v>543</v>
      </c>
      <c r="C176" s="7" t="s">
        <v>544</v>
      </c>
      <c r="D176" s="7" t="s">
        <v>544</v>
      </c>
      <c r="E176" s="7" t="s">
        <v>22</v>
      </c>
      <c r="F176" s="7" t="s">
        <v>542</v>
      </c>
      <c r="G176" s="7" t="str" cm="1">
        <f t="array" ref="G176">INDEX('municipalities per province'!F:F,MATCH(municipalities!A176,'municipalities per province'!B:B,0),0)</f>
        <v>Zuid-Holland</v>
      </c>
      <c r="H176" s="7" t="str" cm="1">
        <f t="array" ref="H176">INDEX('municipalities per province'!E:E,MATCH(municipalities!$A176,'municipalities per province'!$B:$B,0),0)</f>
        <v>PV28</v>
      </c>
      <c r="I176" s="7" t="str" cm="1">
        <f t="array" ref="I176">INDEX('municipalities per province'!G:G,MATCH(municipalities!$A176,'municipalities per province'!$B:$B,0),0)</f>
        <v>Rotterdam/DenHaag</v>
      </c>
      <c r="J176" s="7" t="str" cm="1">
        <f t="array" ref="J176">INDEX('municipalities per province'!H:H,MATCH(municipalities!$A176,'municipalities per province'!$B:$B,0),0)</f>
        <v>ES23</v>
      </c>
      <c r="K176" s="7" cm="1">
        <f t="array" ref="K176">INDEX(coordinates!C:C,MATCH(municipalities!$A176,coordinates!$A:$A,0),0)</f>
        <v>4.4897752216796221</v>
      </c>
      <c r="L176" s="7" cm="1">
        <f t="array" ref="L176">INDEX(coordinates!D:D,MATCH(municipalities!$A176,coordinates!$A:$A,0),0)</f>
        <v>52.060910312928442</v>
      </c>
      <c r="M176" s="8">
        <v>1</v>
      </c>
      <c r="N176" s="9">
        <v>126998</v>
      </c>
      <c r="O176" s="9">
        <v>62072</v>
      </c>
      <c r="P176" s="9">
        <v>64926</v>
      </c>
      <c r="Q176" s="9">
        <v>1</v>
      </c>
      <c r="R176" s="10">
        <v>2529</v>
      </c>
      <c r="S176" s="11">
        <v>55</v>
      </c>
      <c r="T176" s="11">
        <v>45</v>
      </c>
      <c r="U176" s="12">
        <f t="shared" si="16"/>
        <v>33.700000000000003</v>
      </c>
      <c r="V176" s="12">
        <f t="shared" si="17"/>
        <v>6.1</v>
      </c>
      <c r="W176" s="12">
        <f t="shared" si="18"/>
        <v>9.1</v>
      </c>
      <c r="X176" s="12">
        <f t="shared" si="19"/>
        <v>11.5</v>
      </c>
      <c r="Y176" s="12">
        <f t="shared" si="20"/>
        <v>70.900000000000006</v>
      </c>
      <c r="Z176" s="12" cm="1">
        <f t="array" ref="Z176">INDEX(municipality_wind_potential!$X:$X,MATCH(municipalities!$F176,municipality_wind_potential!$E:$E,0),0)</f>
        <v>9</v>
      </c>
      <c r="AA176" s="12">
        <f t="shared" si="21"/>
        <v>50.4</v>
      </c>
      <c r="AB176" s="12" cm="1">
        <f t="array" ref="AB176">INDEX(municipality_wind_potential!$Y:$Y,MATCH(municipalities!$F176,municipality_wind_potential!$E:$E,0),0) / 3.6</f>
        <v>150.89166666666668</v>
      </c>
      <c r="AC176" s="12">
        <f t="shared" si="22"/>
        <v>114.81821454283659</v>
      </c>
      <c r="AD176" s="12" cm="1">
        <f t="array" ref="AD176">INDEX(municipality_pv_potential!$G:$G,MATCH(municipalities!$A176,municipality_pv_potential!$E:$E,0),0)/3.6*$AH$4</f>
        <v>106.32166666666667</v>
      </c>
      <c r="AE176" s="12">
        <f t="shared" si="23"/>
        <v>28.314734821214302</v>
      </c>
      <c r="AF176" s="12" cm="1">
        <f t="array" ref="AF176">INDEX(municipality_pv_potential!$H:$H,MATCH(municipalities!$A176,municipality_pv_potential!$E:$E,0),0)/3.6</f>
        <v>26.219444444444445</v>
      </c>
      <c r="AG176" s="12"/>
      <c r="AJ176">
        <v>33.700000000000003</v>
      </c>
      <c r="AK176">
        <v>6.1</v>
      </c>
      <c r="AL176">
        <v>9.1</v>
      </c>
      <c r="AM176">
        <v>11.5</v>
      </c>
      <c r="AN176">
        <v>70.900000000000006</v>
      </c>
    </row>
    <row r="177" spans="1:40" x14ac:dyDescent="0.25">
      <c r="A177" s="5" t="s">
        <v>545</v>
      </c>
      <c r="B177" s="6" t="s">
        <v>546</v>
      </c>
      <c r="C177" s="7" t="s">
        <v>547</v>
      </c>
      <c r="D177" s="7" t="s">
        <v>547</v>
      </c>
      <c r="E177" s="7" t="s">
        <v>22</v>
      </c>
      <c r="F177" s="7" t="s">
        <v>545</v>
      </c>
      <c r="G177" s="7" t="str" cm="1">
        <f t="array" ref="G177">INDEX('municipalities per province'!F:F,MATCH(municipalities!A177,'municipalities per province'!B:B,0),0)</f>
        <v>Zuid-Holland</v>
      </c>
      <c r="H177" s="7" t="str" cm="1">
        <f t="array" ref="H177">INDEX('municipalities per province'!E:E,MATCH(municipalities!$A177,'municipalities per province'!$B:$B,0),0)</f>
        <v>PV28</v>
      </c>
      <c r="I177" s="7" t="str" cm="1">
        <f t="array" ref="I177">INDEX('municipalities per province'!G:G,MATCH(municipalities!$A177,'municipalities per province'!$B:$B,0),0)</f>
        <v>HollandRijnland</v>
      </c>
      <c r="J177" s="7" t="str" cm="1">
        <f t="array" ref="J177">INDEX('municipalities per province'!H:H,MATCH(municipalities!$A177,'municipalities per province'!$B:$B,0),0)</f>
        <v>ES21</v>
      </c>
      <c r="K177" s="7" cm="1">
        <f t="array" ref="K177">INDEX(coordinates!C:C,MATCH(municipalities!$A177,coordinates!$A:$A,0),0)</f>
        <v>4.5138337213022242</v>
      </c>
      <c r="L177" s="7" cm="1">
        <f t="array" ref="L177">INDEX(coordinates!D:D,MATCH(municipalities!$A177,coordinates!$A:$A,0),0)</f>
        <v>52.11480566989043</v>
      </c>
      <c r="M177" s="8">
        <v>1</v>
      </c>
      <c r="N177" s="9">
        <v>9443</v>
      </c>
      <c r="O177" s="9">
        <v>4716</v>
      </c>
      <c r="P177" s="9">
        <v>4727</v>
      </c>
      <c r="Q177" s="9">
        <v>4</v>
      </c>
      <c r="R177" s="10">
        <v>840</v>
      </c>
      <c r="S177" s="11">
        <v>72</v>
      </c>
      <c r="T177" s="11">
        <v>28</v>
      </c>
      <c r="U177" s="12">
        <f t="shared" si="16"/>
        <v>38.4</v>
      </c>
      <c r="V177" s="12">
        <f t="shared" si="17"/>
        <v>2.8</v>
      </c>
      <c r="W177" s="12">
        <f t="shared" si="18"/>
        <v>3.9</v>
      </c>
      <c r="X177" s="12">
        <f t="shared" si="19"/>
        <v>5.4</v>
      </c>
      <c r="Y177" s="12">
        <f t="shared" si="20"/>
        <v>259.3</v>
      </c>
      <c r="Z177" s="12" cm="1">
        <f t="array" ref="Z177">INDEX(municipality_wind_potential!$X:$X,MATCH(municipalities!$F177,municipality_wind_potential!$E:$E,0),0)</f>
        <v>13</v>
      </c>
      <c r="AA177" s="12">
        <f t="shared" si="21"/>
        <v>72.8</v>
      </c>
      <c r="AB177" s="12" cm="1">
        <f t="array" ref="AB177">INDEX(municipality_wind_potential!$Y:$Y,MATCH(municipalities!$F177,municipality_wind_potential!$E:$E,0),0) / 3.6</f>
        <v>221.9</v>
      </c>
      <c r="AC177" s="12">
        <f t="shared" si="22"/>
        <v>22.324214062874972</v>
      </c>
      <c r="AD177" s="12" cm="1">
        <f t="array" ref="AD177">INDEX(municipality_pv_potential!$G:$G,MATCH(municipalities!$A177,municipality_pv_potential!$E:$E,0),0)/3.6*$AH$4</f>
        <v>20.672222222222224</v>
      </c>
      <c r="AE177" s="12">
        <f t="shared" si="23"/>
        <v>75.752939764818819</v>
      </c>
      <c r="AF177" s="12" cm="1">
        <f t="array" ref="AF177">INDEX(municipality_pv_potential!$H:$H,MATCH(municipalities!$A177,municipality_pv_potential!$E:$E,0),0)/3.6</f>
        <v>70.147222222222226</v>
      </c>
      <c r="AG177" s="12"/>
      <c r="AJ177">
        <v>38.4</v>
      </c>
      <c r="AK177">
        <v>2.8</v>
      </c>
      <c r="AL177">
        <v>3.9</v>
      </c>
      <c r="AM177">
        <v>5.4</v>
      </c>
      <c r="AN177">
        <v>259.3</v>
      </c>
    </row>
    <row r="178" spans="1:40" x14ac:dyDescent="0.25">
      <c r="A178" s="5" t="s">
        <v>548</v>
      </c>
      <c r="B178" s="6" t="s">
        <v>549</v>
      </c>
      <c r="C178" s="7" t="s">
        <v>550</v>
      </c>
      <c r="D178" s="7" t="s">
        <v>550</v>
      </c>
      <c r="E178" s="7" t="s">
        <v>22</v>
      </c>
      <c r="F178" s="7" t="s">
        <v>548</v>
      </c>
      <c r="G178" s="7" t="str" cm="1">
        <f t="array" ref="G178">INDEX('municipalities per province'!F:F,MATCH(municipalities!A178,'municipalities per province'!B:B,0),0)</f>
        <v>Zuid-Holland</v>
      </c>
      <c r="H178" s="7" t="str" cm="1">
        <f t="array" ref="H178">INDEX('municipalities per province'!E:E,MATCH(municipalities!$A178,'municipalities per province'!$B:$B,0),0)</f>
        <v>PV28</v>
      </c>
      <c r="I178" s="7" t="str" cm="1">
        <f t="array" ref="I178">INDEX('municipalities per province'!G:G,MATCH(municipalities!$A178,'municipalities per province'!$B:$B,0),0)</f>
        <v>Drechtsteden</v>
      </c>
      <c r="J178" s="7" t="str" cm="1">
        <f t="array" ref="J178">INDEX('municipalities per province'!H:H,MATCH(municipalities!$A178,'municipalities per province'!$B:$B,0),0)</f>
        <v>ES18</v>
      </c>
      <c r="K178" s="7" cm="1">
        <f t="array" ref="K178">INDEX(coordinates!C:C,MATCH(municipalities!$A178,coordinates!$A:$A,0),0)</f>
        <v>4.6057976893714736</v>
      </c>
      <c r="L178" s="7" cm="1">
        <f t="array" ref="L178">INDEX(coordinates!D:D,MATCH(municipalities!$A178,coordinates!$A:$A,0),0)</f>
        <v>51.821842540251318</v>
      </c>
      <c r="M178" s="8">
        <v>1</v>
      </c>
      <c r="N178" s="9">
        <v>45018</v>
      </c>
      <c r="O178" s="9">
        <v>21891</v>
      </c>
      <c r="P178" s="9">
        <v>23127</v>
      </c>
      <c r="Q178" s="9">
        <v>2</v>
      </c>
      <c r="R178" s="10">
        <v>2100</v>
      </c>
      <c r="S178" s="11">
        <v>56</v>
      </c>
      <c r="T178" s="11">
        <v>43</v>
      </c>
      <c r="U178" s="12">
        <f t="shared" si="16"/>
        <v>33.4</v>
      </c>
      <c r="V178" s="12">
        <f t="shared" si="17"/>
        <v>6.4</v>
      </c>
      <c r="W178" s="12">
        <f t="shared" si="18"/>
        <v>9.8000000000000007</v>
      </c>
      <c r="X178" s="12">
        <f t="shared" si="19"/>
        <v>13.2</v>
      </c>
      <c r="Y178" s="12">
        <f t="shared" si="20"/>
        <v>74.400000000000006</v>
      </c>
      <c r="Z178" s="12" cm="1">
        <f t="array" ref="Z178">INDEX(municipality_wind_potential!$X:$X,MATCH(municipalities!$F178,municipality_wind_potential!$E:$E,0),0)</f>
        <v>5</v>
      </c>
      <c r="AA178" s="12">
        <f t="shared" si="21"/>
        <v>28</v>
      </c>
      <c r="AB178" s="12" cm="1">
        <f t="array" ref="AB178">INDEX(municipality_wind_potential!$Y:$Y,MATCH(municipalities!$F178,municipality_wind_potential!$E:$E,0),0) / 3.6</f>
        <v>80.638888888888886</v>
      </c>
      <c r="AC178" s="12">
        <f t="shared" si="22"/>
        <v>56.660667146628263</v>
      </c>
      <c r="AD178" s="12" cm="1">
        <f t="array" ref="AD178">INDEX(municipality_pv_potential!$G:$G,MATCH(municipalities!$A178,municipality_pv_potential!$E:$E,0),0)/3.6*$AH$4</f>
        <v>52.467777777777769</v>
      </c>
      <c r="AE178" s="12">
        <f t="shared" si="23"/>
        <v>18.370530357571397</v>
      </c>
      <c r="AF178" s="12" cm="1">
        <f t="array" ref="AF178">INDEX(municipality_pv_potential!$H:$H,MATCH(municipalities!$A178,municipality_pv_potential!$E:$E,0),0)/3.6</f>
        <v>17.011111111111113</v>
      </c>
      <c r="AG178" s="12"/>
      <c r="AJ178">
        <v>33.4</v>
      </c>
      <c r="AK178">
        <v>6.4</v>
      </c>
      <c r="AL178">
        <v>9.8000000000000007</v>
      </c>
      <c r="AM178">
        <v>13.2</v>
      </c>
      <c r="AN178">
        <v>74.400000000000006</v>
      </c>
    </row>
    <row r="179" spans="1:40" x14ac:dyDescent="0.25">
      <c r="A179" s="5" t="s">
        <v>551</v>
      </c>
      <c r="B179" s="6" t="s">
        <v>552</v>
      </c>
      <c r="C179" s="7" t="s">
        <v>553</v>
      </c>
      <c r="D179" s="7" t="s">
        <v>553</v>
      </c>
      <c r="E179" s="7" t="s">
        <v>22</v>
      </c>
      <c r="F179" s="7" t="s">
        <v>551</v>
      </c>
      <c r="G179" s="7" t="str" cm="1">
        <f t="array" ref="G179">INDEX('municipalities per province'!F:F,MATCH(municipalities!A179,'municipalities per province'!B:B,0),0)</f>
        <v>Zeeland</v>
      </c>
      <c r="H179" s="7" t="str" cm="1">
        <f t="array" ref="H179">INDEX('municipalities per province'!E:E,MATCH(municipalities!$A179,'municipalities per province'!$B:$B,0),0)</f>
        <v>PV29</v>
      </c>
      <c r="I179" s="7" t="str" cm="1">
        <f t="array" ref="I179">INDEX('municipalities per province'!G:G,MATCH(municipalities!$A179,'municipalities per province'!$B:$B,0),0)</f>
        <v>Zeeland</v>
      </c>
      <c r="J179" s="7" t="str" cm="1">
        <f t="array" ref="J179">INDEX('municipalities per province'!H:H,MATCH(municipalities!$A179,'municipalities per province'!$B:$B,0),0)</f>
        <v>ES24</v>
      </c>
      <c r="K179" s="7" cm="1">
        <f t="array" ref="K179">INDEX(coordinates!C:C,MATCH(municipalities!$A179,coordinates!$A:$A,0),0)</f>
        <v>3.8583609208963501</v>
      </c>
      <c r="L179" s="7" cm="1">
        <f t="array" ref="L179">INDEX(coordinates!D:D,MATCH(municipalities!$A179,coordinates!$A:$A,0),0)</f>
        <v>51.39577924417128</v>
      </c>
      <c r="M179" s="8">
        <v>1</v>
      </c>
      <c r="N179" s="9">
        <v>23159</v>
      </c>
      <c r="O179" s="9">
        <v>11762</v>
      </c>
      <c r="P179" s="9">
        <v>11397</v>
      </c>
      <c r="Q179" s="9">
        <v>5</v>
      </c>
      <c r="R179" s="10">
        <v>324</v>
      </c>
      <c r="S179" s="11">
        <v>75</v>
      </c>
      <c r="T179" s="11">
        <v>25</v>
      </c>
      <c r="U179" s="12">
        <f t="shared" si="16"/>
        <v>34.9</v>
      </c>
      <c r="V179" s="12">
        <f t="shared" si="17"/>
        <v>3.8</v>
      </c>
      <c r="W179" s="12">
        <f t="shared" si="18"/>
        <v>5.9</v>
      </c>
      <c r="X179" s="12">
        <f t="shared" si="19"/>
        <v>8.1</v>
      </c>
      <c r="Y179" s="12">
        <f t="shared" si="20"/>
        <v>149.80000000000001</v>
      </c>
      <c r="Z179" s="12" cm="1">
        <f t="array" ref="Z179">INDEX(municipality_wind_potential!$X:$X,MATCH(municipalities!$F179,municipality_wind_potential!$E:$E,0),0)</f>
        <v>62</v>
      </c>
      <c r="AA179" s="12">
        <f t="shared" si="21"/>
        <v>347.2</v>
      </c>
      <c r="AB179" s="12" cm="1">
        <f t="array" ref="AB179">INDEX(municipality_wind_potential!$Y:$Y,MATCH(municipalities!$F179,municipality_wind_potential!$E:$E,0),0) / 3.6</f>
        <v>1091.7472222222223</v>
      </c>
      <c r="AC179" s="12">
        <f t="shared" si="22"/>
        <v>75.283777297816172</v>
      </c>
      <c r="AD179" s="12" cm="1">
        <f t="array" ref="AD179">INDEX(municipality_pv_potential!$G:$G,MATCH(municipalities!$A179,municipality_pv_potential!$E:$E,0),0)/3.6*$AH$4</f>
        <v>69.712777777777774</v>
      </c>
      <c r="AE179" s="12">
        <f t="shared" si="23"/>
        <v>522.45020398368138</v>
      </c>
      <c r="AF179" s="12" cm="1">
        <f t="array" ref="AF179">INDEX(municipality_pv_potential!$H:$H,MATCH(municipalities!$A179,municipality_pv_potential!$E:$E,0),0)/3.6</f>
        <v>483.78888888888889</v>
      </c>
      <c r="AG179" s="12"/>
      <c r="AJ179">
        <v>34.9</v>
      </c>
      <c r="AK179">
        <v>3.8</v>
      </c>
      <c r="AL179">
        <v>5.9</v>
      </c>
      <c r="AM179">
        <v>8.1</v>
      </c>
      <c r="AN179">
        <v>149.80000000000001</v>
      </c>
    </row>
    <row r="180" spans="1:40" x14ac:dyDescent="0.25">
      <c r="A180" s="5" t="s">
        <v>554</v>
      </c>
      <c r="B180" s="6" t="s">
        <v>555</v>
      </c>
      <c r="C180" s="7" t="s">
        <v>556</v>
      </c>
      <c r="D180" s="7" t="s">
        <v>556</v>
      </c>
      <c r="E180" s="7" t="s">
        <v>22</v>
      </c>
      <c r="F180" s="7" t="s">
        <v>554</v>
      </c>
      <c r="G180" s="7" t="str" cm="1">
        <f t="array" ref="G180">INDEX('municipalities per province'!F:F,MATCH(municipalities!A180,'municipalities per province'!B:B,0),0)</f>
        <v>Zeeland</v>
      </c>
      <c r="H180" s="7" t="str" cm="1">
        <f t="array" ref="H180">INDEX('municipalities per province'!E:E,MATCH(municipalities!$A180,'municipalities per province'!$B:$B,0),0)</f>
        <v>PV29</v>
      </c>
      <c r="I180" s="7" t="str" cm="1">
        <f t="array" ref="I180">INDEX('municipalities per province'!G:G,MATCH(municipalities!$A180,'municipalities per province'!$B:$B,0),0)</f>
        <v>Zeeland</v>
      </c>
      <c r="J180" s="7" t="str" cm="1">
        <f t="array" ref="J180">INDEX('municipalities per province'!H:H,MATCH(municipalities!$A180,'municipalities per province'!$B:$B,0),0)</f>
        <v>ES24</v>
      </c>
      <c r="K180" s="7" cm="1">
        <f t="array" ref="K180">INDEX(coordinates!C:C,MATCH(municipalities!$A180,coordinates!$A:$A,0),0)</f>
        <v>3.8380055706075988</v>
      </c>
      <c r="L180" s="7" cm="1">
        <f t="array" ref="L180">INDEX(coordinates!D:D,MATCH(municipalities!$A180,coordinates!$A:$A,0),0)</f>
        <v>51.541941572039903</v>
      </c>
      <c r="M180" s="8">
        <v>1</v>
      </c>
      <c r="N180" s="9">
        <v>39433</v>
      </c>
      <c r="O180" s="9">
        <v>19329</v>
      </c>
      <c r="P180" s="9">
        <v>20104</v>
      </c>
      <c r="Q180" s="9">
        <v>3</v>
      </c>
      <c r="R180" s="10">
        <v>1384</v>
      </c>
      <c r="S180" s="11">
        <v>60</v>
      </c>
      <c r="T180" s="11">
        <v>39</v>
      </c>
      <c r="U180" s="12">
        <f t="shared" si="16"/>
        <v>33.200000000000003</v>
      </c>
      <c r="V180" s="12">
        <f t="shared" si="17"/>
        <v>5.7</v>
      </c>
      <c r="W180" s="12">
        <f t="shared" si="18"/>
        <v>9.1999999999999993</v>
      </c>
      <c r="X180" s="12">
        <f t="shared" si="19"/>
        <v>12.2</v>
      </c>
      <c r="Y180" s="12">
        <f t="shared" si="20"/>
        <v>92.4</v>
      </c>
      <c r="Z180" s="12" cm="1">
        <f t="array" ref="Z180">INDEX(municipality_wind_potential!$X:$X,MATCH(municipalities!$F180,municipality_wind_potential!$E:$E,0),0)</f>
        <v>44</v>
      </c>
      <c r="AA180" s="12">
        <f t="shared" si="21"/>
        <v>246.39999999999998</v>
      </c>
      <c r="AB180" s="12" cm="1">
        <f t="array" ref="AB180">INDEX(municipality_wind_potential!$Y:$Y,MATCH(municipalities!$F180,municipality_wind_potential!$E:$E,0),0) / 3.6</f>
        <v>781.08888888888885</v>
      </c>
      <c r="AC180" s="12">
        <f t="shared" si="22"/>
        <v>67.123830093592517</v>
      </c>
      <c r="AD180" s="12" cm="1">
        <f t="array" ref="AD180">INDEX(municipality_pv_potential!$G:$G,MATCH(municipalities!$A180,municipality_pv_potential!$E:$E,0),0)/3.6*$AH$4</f>
        <v>62.156666666666666</v>
      </c>
      <c r="AE180" s="12">
        <f t="shared" si="23"/>
        <v>335.91612670986319</v>
      </c>
      <c r="AF180" s="12" cm="1">
        <f t="array" ref="AF180">INDEX(municipality_pv_potential!$H:$H,MATCH(municipalities!$A180,municipality_pv_potential!$E:$E,0),0)/3.6</f>
        <v>311.05833333333334</v>
      </c>
      <c r="AG180" s="12"/>
      <c r="AJ180">
        <v>33.200000000000003</v>
      </c>
      <c r="AK180">
        <v>5.7</v>
      </c>
      <c r="AL180">
        <v>9.1999999999999993</v>
      </c>
      <c r="AM180">
        <v>12.2</v>
      </c>
      <c r="AN180">
        <v>92.4</v>
      </c>
    </row>
    <row r="181" spans="1:40" x14ac:dyDescent="0.25">
      <c r="A181" s="5" t="s">
        <v>557</v>
      </c>
      <c r="B181" s="6" t="s">
        <v>558</v>
      </c>
      <c r="C181" s="7" t="s">
        <v>559</v>
      </c>
      <c r="D181" s="7" t="s">
        <v>559</v>
      </c>
      <c r="E181" s="7" t="s">
        <v>22</v>
      </c>
      <c r="F181" s="7" t="s">
        <v>557</v>
      </c>
      <c r="G181" s="7" t="str" cm="1">
        <f t="array" ref="G181">INDEX('municipalities per province'!F:F,MATCH(municipalities!A181,'municipalities per province'!B:B,0),0)</f>
        <v>Gelderland</v>
      </c>
      <c r="H181" s="7" t="str" cm="1">
        <f t="array" ref="H181">INDEX('municipalities per province'!E:E,MATCH(municipalities!$A181,'municipalities per province'!$B:$B,0),0)</f>
        <v>PV25</v>
      </c>
      <c r="I181" s="7" t="str" cm="1">
        <f t="array" ref="I181">INDEX('municipalities per province'!G:G,MATCH(municipalities!$A181,'municipalities per province'!$B:$B,0),0)</f>
        <v>FruitdeltaRivierenland</v>
      </c>
      <c r="J181" s="7" t="str" cm="1">
        <f t="array" ref="J181">INDEX('municipalities per province'!H:H,MATCH(municipalities!$A181,'municipalities per province'!$B:$B,0),0)</f>
        <v>ES11</v>
      </c>
      <c r="K181" s="7" cm="1">
        <f t="array" ref="K181">INDEX(coordinates!C:C,MATCH(municipalities!$A181,coordinates!$A:$A,0),0)</f>
        <v>5.4965989383586562</v>
      </c>
      <c r="L181" s="7" cm="1">
        <f t="array" ref="L181">INDEX(coordinates!D:D,MATCH(municipalities!$A181,coordinates!$A:$A,0),0)</f>
        <v>51.851628841452822</v>
      </c>
      <c r="M181" s="8">
        <v>1</v>
      </c>
      <c r="N181" s="9">
        <v>20065</v>
      </c>
      <c r="O181" s="9">
        <v>10046</v>
      </c>
      <c r="P181" s="9">
        <v>10019</v>
      </c>
      <c r="Q181" s="9">
        <v>5</v>
      </c>
      <c r="R181" s="10">
        <v>426</v>
      </c>
      <c r="S181" s="11">
        <v>72</v>
      </c>
      <c r="T181" s="11">
        <v>28</v>
      </c>
      <c r="U181" s="12">
        <f t="shared" si="16"/>
        <v>34.700000000000003</v>
      </c>
      <c r="V181" s="12">
        <f t="shared" si="17"/>
        <v>4</v>
      </c>
      <c r="W181" s="12">
        <f t="shared" si="18"/>
        <v>6.4</v>
      </c>
      <c r="X181" s="12">
        <f t="shared" si="19"/>
        <v>9.4</v>
      </c>
      <c r="Y181" s="12">
        <f t="shared" si="20"/>
        <v>184.6</v>
      </c>
      <c r="Z181" s="12" cm="1">
        <f t="array" ref="Z181">INDEX(municipality_wind_potential!$X:$X,MATCH(municipalities!$F181,municipality_wind_potential!$E:$E,0),0)</f>
        <v>44</v>
      </c>
      <c r="AA181" s="12">
        <f t="shared" si="21"/>
        <v>246.39999999999998</v>
      </c>
      <c r="AB181" s="12" cm="1">
        <f t="array" ref="AB181">INDEX(municipality_wind_potential!$Y:$Y,MATCH(municipalities!$F181,municipality_wind_potential!$E:$E,0),0) / 3.6</f>
        <v>701.56666666666661</v>
      </c>
      <c r="AC181" s="12">
        <f t="shared" si="22"/>
        <v>60.353371730261586</v>
      </c>
      <c r="AD181" s="12" cm="1">
        <f t="array" ref="AD181">INDEX(municipality_pv_potential!$G:$G,MATCH(municipalities!$A181,municipality_pv_potential!$E:$E,0),0)/3.6*$AH$4</f>
        <v>55.887222222222228</v>
      </c>
      <c r="AE181" s="12">
        <f t="shared" si="23"/>
        <v>264.464842812575</v>
      </c>
      <c r="AF181" s="12" cm="1">
        <f t="array" ref="AF181">INDEX(municipality_pv_potential!$H:$H,MATCH(municipalities!$A181,municipality_pv_potential!$E:$E,0),0)/3.6</f>
        <v>244.89444444444445</v>
      </c>
      <c r="AG181" s="12"/>
      <c r="AJ181">
        <v>34.700000000000003</v>
      </c>
      <c r="AK181">
        <v>4</v>
      </c>
      <c r="AL181">
        <v>6.4</v>
      </c>
      <c r="AM181">
        <v>9.4</v>
      </c>
      <c r="AN181">
        <v>184.6</v>
      </c>
    </row>
    <row r="182" spans="1:40" x14ac:dyDescent="0.25">
      <c r="A182" s="5" t="s">
        <v>560</v>
      </c>
      <c r="B182" s="6" t="s">
        <v>561</v>
      </c>
      <c r="C182" s="7" t="s">
        <v>562</v>
      </c>
      <c r="D182" s="7" t="s">
        <v>562</v>
      </c>
      <c r="E182" s="7" t="s">
        <v>22</v>
      </c>
      <c r="F182" s="7" t="s">
        <v>560</v>
      </c>
      <c r="G182" s="7" t="str" cm="1">
        <f t="array" ref="G182">INDEX('municipalities per province'!F:F,MATCH(municipalities!A182,'municipalities per province'!B:B,0),0)</f>
        <v>Zeeland</v>
      </c>
      <c r="H182" s="7" t="str" cm="1">
        <f t="array" ref="H182">INDEX('municipalities per province'!E:E,MATCH(municipalities!$A182,'municipalities per province'!$B:$B,0),0)</f>
        <v>PV29</v>
      </c>
      <c r="I182" s="7" t="str" cm="1">
        <f t="array" ref="I182">INDEX('municipalities per province'!G:G,MATCH(municipalities!$A182,'municipalities per province'!$B:$B,0),0)</f>
        <v>Zeeland</v>
      </c>
      <c r="J182" s="7" t="str" cm="1">
        <f t="array" ref="J182">INDEX('municipalities per province'!H:H,MATCH(municipalities!$A182,'municipalities per province'!$B:$B,0),0)</f>
        <v>ES24</v>
      </c>
      <c r="K182" s="7" cm="1">
        <f t="array" ref="K182">INDEX(coordinates!C:C,MATCH(municipalities!$A182,coordinates!$A:$A,0),0)</f>
        <v>4.0593862255699742</v>
      </c>
      <c r="L182" s="7" cm="1">
        <f t="array" ref="L182">INDEX(coordinates!D:D,MATCH(municipalities!$A182,coordinates!$A:$A,0),0)</f>
        <v>51.382540366054499</v>
      </c>
      <c r="M182" s="8">
        <v>1</v>
      </c>
      <c r="N182" s="9">
        <v>27596</v>
      </c>
      <c r="O182" s="9">
        <v>13826</v>
      </c>
      <c r="P182" s="9">
        <v>13770</v>
      </c>
      <c r="Q182" s="9">
        <v>4</v>
      </c>
      <c r="R182" s="10">
        <v>512</v>
      </c>
      <c r="S182" s="11">
        <v>74</v>
      </c>
      <c r="T182" s="11">
        <v>25</v>
      </c>
      <c r="U182" s="12">
        <f t="shared" si="16"/>
        <v>33.299999999999997</v>
      </c>
      <c r="V182" s="12">
        <f t="shared" si="17"/>
        <v>4.7</v>
      </c>
      <c r="W182" s="12">
        <f t="shared" si="18"/>
        <v>7.1</v>
      </c>
      <c r="X182" s="12">
        <f t="shared" si="19"/>
        <v>9.6</v>
      </c>
      <c r="Y182" s="12">
        <f t="shared" si="20"/>
        <v>167.9</v>
      </c>
      <c r="Z182" s="12" cm="1">
        <f t="array" ref="Z182">INDEX(municipality_wind_potential!$X:$X,MATCH(municipalities!$F182,municipality_wind_potential!$E:$E,0),0)</f>
        <v>135</v>
      </c>
      <c r="AA182" s="12">
        <f t="shared" si="21"/>
        <v>756</v>
      </c>
      <c r="AB182" s="12" cm="1">
        <f t="array" ref="AB182">INDEX(municipality_wind_potential!$Y:$Y,MATCH(municipalities!$F182,municipality_wind_potential!$E:$E,0),0) / 3.6</f>
        <v>2387.6444444444446</v>
      </c>
      <c r="AC182" s="12">
        <f t="shared" si="22"/>
        <v>76.595272378209742</v>
      </c>
      <c r="AD182" s="12" cm="1">
        <f t="array" ref="AD182">INDEX(municipality_pv_potential!$G:$G,MATCH(municipalities!$A182,municipality_pv_potential!$E:$E,0),0)/3.6*$AH$4</f>
        <v>70.927222222222227</v>
      </c>
      <c r="AE182" s="12">
        <f t="shared" si="23"/>
        <v>808.37532997360211</v>
      </c>
      <c r="AF182" s="12" cm="1">
        <f t="array" ref="AF182">INDEX(municipality_pv_potential!$H:$H,MATCH(municipalities!$A182,municipality_pv_potential!$E:$E,0),0)/3.6</f>
        <v>748.55555555555554</v>
      </c>
      <c r="AG182" s="12"/>
      <c r="AJ182">
        <v>33.299999999999997</v>
      </c>
      <c r="AK182">
        <v>4.7</v>
      </c>
      <c r="AL182">
        <v>7.1</v>
      </c>
      <c r="AM182">
        <v>9.6</v>
      </c>
      <c r="AN182">
        <v>167.9</v>
      </c>
    </row>
    <row r="183" spans="1:40" x14ac:dyDescent="0.25">
      <c r="A183" s="5" t="s">
        <v>563</v>
      </c>
      <c r="B183" s="6" t="s">
        <v>564</v>
      </c>
      <c r="C183" s="7" t="s">
        <v>565</v>
      </c>
      <c r="D183" s="7" t="s">
        <v>565</v>
      </c>
      <c r="E183" s="7" t="s">
        <v>22</v>
      </c>
      <c r="F183" s="7" t="s">
        <v>563</v>
      </c>
      <c r="G183" s="7" t="str" cm="1">
        <f t="array" ref="G183">INDEX('municipalities per province'!F:F,MATCH(municipalities!A183,'municipalities per province'!B:B,0),0)</f>
        <v>Zeeland</v>
      </c>
      <c r="H183" s="7" t="str" cm="1">
        <f t="array" ref="H183">INDEX('municipalities per province'!E:E,MATCH(municipalities!$A183,'municipalities per province'!$B:$B,0),0)</f>
        <v>PV29</v>
      </c>
      <c r="I183" s="7" t="str" cm="1">
        <f t="array" ref="I183">INDEX('municipalities per province'!G:G,MATCH(municipalities!$A183,'municipalities per province'!$B:$B,0),0)</f>
        <v>Zeeland</v>
      </c>
      <c r="J183" s="7" t="str" cm="1">
        <f t="array" ref="J183">INDEX('municipalities per province'!H:H,MATCH(municipalities!$A183,'municipalities per province'!$B:$B,0),0)</f>
        <v>ES24</v>
      </c>
      <c r="K183" s="7" cm="1">
        <f t="array" ref="K183">INDEX(coordinates!C:C,MATCH(municipalities!$A183,coordinates!$A:$A,0),0)</f>
        <v>3.9799352270083772</v>
      </c>
      <c r="L183" s="7" cm="1">
        <f t="array" ref="L183">INDEX(coordinates!D:D,MATCH(municipalities!$A183,coordinates!$A:$A,0),0)</f>
        <v>51.528514467808797</v>
      </c>
      <c r="M183" s="8">
        <v>1</v>
      </c>
      <c r="N183" s="9">
        <v>13051</v>
      </c>
      <c r="O183" s="9">
        <v>6449</v>
      </c>
      <c r="P183" s="9">
        <v>6602</v>
      </c>
      <c r="Q183" s="9">
        <v>4</v>
      </c>
      <c r="R183" s="10">
        <v>661</v>
      </c>
      <c r="S183" s="11">
        <v>77</v>
      </c>
      <c r="T183" s="11">
        <v>23</v>
      </c>
      <c r="U183" s="12">
        <f t="shared" si="16"/>
        <v>34.9</v>
      </c>
      <c r="V183" s="12">
        <f t="shared" si="17"/>
        <v>3.4</v>
      </c>
      <c r="W183" s="12">
        <f t="shared" si="18"/>
        <v>5.0999999999999996</v>
      </c>
      <c r="X183" s="12">
        <f t="shared" si="19"/>
        <v>7.2</v>
      </c>
      <c r="Y183" s="12">
        <f t="shared" si="20"/>
        <v>173.1</v>
      </c>
      <c r="Z183" s="12" cm="1">
        <f t="array" ref="Z183">INDEX(municipality_wind_potential!$X:$X,MATCH(municipalities!$F183,municipality_wind_potential!$E:$E,0),0)</f>
        <v>18</v>
      </c>
      <c r="AA183" s="12">
        <f t="shared" si="21"/>
        <v>100.8</v>
      </c>
      <c r="AB183" s="12" cm="1">
        <f t="array" ref="AB183">INDEX(municipality_wind_potential!$Y:$Y,MATCH(municipalities!$F183,municipality_wind_potential!$E:$E,0),0) / 3.6</f>
        <v>319.5361111111111</v>
      </c>
      <c r="AC183" s="12">
        <f t="shared" si="22"/>
        <v>30.167986561075114</v>
      </c>
      <c r="AD183" s="12" cm="1">
        <f t="array" ref="AD183">INDEX(municipality_pv_potential!$G:$G,MATCH(municipalities!$A183,municipality_pv_potential!$E:$E,0),0)/3.6*$AH$4</f>
        <v>27.935555555555556</v>
      </c>
      <c r="AE183" s="12">
        <f t="shared" si="23"/>
        <v>116.46268298536118</v>
      </c>
      <c r="AF183" s="12" cm="1">
        <f t="array" ref="AF183">INDEX(municipality_pv_potential!$H:$H,MATCH(municipalities!$A183,municipality_pv_potential!$E:$E,0),0)/3.6</f>
        <v>107.84444444444445</v>
      </c>
      <c r="AG183" s="12"/>
      <c r="AJ183">
        <v>34.9</v>
      </c>
      <c r="AK183">
        <v>3.4</v>
      </c>
      <c r="AL183">
        <v>5.0999999999999996</v>
      </c>
      <c r="AM183">
        <v>7.2</v>
      </c>
      <c r="AN183">
        <v>173.1</v>
      </c>
    </row>
    <row r="184" spans="1:40" x14ac:dyDescent="0.25">
      <c r="A184" s="5" t="s">
        <v>566</v>
      </c>
      <c r="B184" s="6" t="s">
        <v>567</v>
      </c>
      <c r="C184" s="7" t="s">
        <v>568</v>
      </c>
      <c r="D184" s="7" t="s">
        <v>568</v>
      </c>
      <c r="E184" s="7" t="s">
        <v>22</v>
      </c>
      <c r="F184" s="7" t="s">
        <v>566</v>
      </c>
      <c r="G184" s="7" t="str" cm="1">
        <f t="array" ref="G184">INDEX('municipalities per province'!F:F,MATCH(municipalities!A184,'municipalities per province'!B:B,0),0)</f>
        <v>Zeeland</v>
      </c>
      <c r="H184" s="7" t="str" cm="1">
        <f t="array" ref="H184">INDEX('municipalities per province'!E:E,MATCH(municipalities!$A184,'municipalities per province'!$B:$B,0),0)</f>
        <v>PV29</v>
      </c>
      <c r="I184" s="7" t="str" cm="1">
        <f t="array" ref="I184">INDEX('municipalities per province'!G:G,MATCH(municipalities!$A184,'municipalities per province'!$B:$B,0),0)</f>
        <v>Zeeland</v>
      </c>
      <c r="J184" s="7" t="str" cm="1">
        <f t="array" ref="J184">INDEX('municipalities per province'!H:H,MATCH(municipalities!$A184,'municipalities per province'!$B:$B,0),0)</f>
        <v>ES24</v>
      </c>
      <c r="K184" s="7" cm="1">
        <f t="array" ref="K184">INDEX(coordinates!C:C,MATCH(municipalities!$A184,coordinates!$A:$A,0),0)</f>
        <v>3.7015860673651999</v>
      </c>
      <c r="L184" s="7" cm="1">
        <f t="array" ref="L184">INDEX(coordinates!D:D,MATCH(municipalities!$A184,coordinates!$A:$A,0),0)</f>
        <v>51.524976803635013</v>
      </c>
      <c r="M184" s="8">
        <v>1</v>
      </c>
      <c r="N184" s="9">
        <v>49956</v>
      </c>
      <c r="O184" s="9">
        <v>24271</v>
      </c>
      <c r="P184" s="9">
        <v>25685</v>
      </c>
      <c r="Q184" s="9">
        <v>2</v>
      </c>
      <c r="R184" s="10">
        <v>1789</v>
      </c>
      <c r="S184" s="11">
        <v>60</v>
      </c>
      <c r="T184" s="11">
        <v>40</v>
      </c>
      <c r="U184" s="12">
        <f t="shared" si="16"/>
        <v>32</v>
      </c>
      <c r="V184" s="12">
        <f t="shared" si="17"/>
        <v>6.6</v>
      </c>
      <c r="W184" s="12">
        <f t="shared" si="18"/>
        <v>9.9</v>
      </c>
      <c r="X184" s="12">
        <f t="shared" si="19"/>
        <v>12.7</v>
      </c>
      <c r="Y184" s="12">
        <f t="shared" si="20"/>
        <v>80.7</v>
      </c>
      <c r="Z184" s="12" cm="1">
        <f t="array" ref="Z184">INDEX(municipality_wind_potential!$X:$X,MATCH(municipalities!$F184,municipality_wind_potential!$E:$E,0),0)</f>
        <v>11</v>
      </c>
      <c r="AA184" s="12">
        <f t="shared" si="21"/>
        <v>61.599999999999994</v>
      </c>
      <c r="AB184" s="12" cm="1">
        <f t="array" ref="AB184">INDEX(municipality_wind_potential!$Y:$Y,MATCH(municipalities!$F184,municipality_wind_potential!$E:$E,0),0) / 3.6</f>
        <v>186.39722222222221</v>
      </c>
      <c r="AC184" s="12">
        <f t="shared" si="22"/>
        <v>65.805735541156707</v>
      </c>
      <c r="AD184" s="12" cm="1">
        <f t="array" ref="AD184">INDEX(municipality_pv_potential!$G:$G,MATCH(municipalities!$A184,municipality_pv_potential!$E:$E,0),0)/3.6*$AH$4</f>
        <v>60.93611111111111</v>
      </c>
      <c r="AE184" s="12">
        <f t="shared" si="23"/>
        <v>130.39656827453803</v>
      </c>
      <c r="AF184" s="12" cm="1">
        <f t="array" ref="AF184">INDEX(municipality_pv_potential!$H:$H,MATCH(municipalities!$A184,municipality_pv_potential!$E:$E,0),0)/3.6</f>
        <v>120.74722222222222</v>
      </c>
      <c r="AG184" s="12"/>
      <c r="AJ184">
        <v>32</v>
      </c>
      <c r="AK184">
        <v>6.6</v>
      </c>
      <c r="AL184">
        <v>9.9</v>
      </c>
      <c r="AM184">
        <v>12.7</v>
      </c>
      <c r="AN184">
        <v>80.7</v>
      </c>
    </row>
    <row r="185" spans="1:40" x14ac:dyDescent="0.25">
      <c r="A185" s="5" t="s">
        <v>569</v>
      </c>
      <c r="B185" s="6" t="s">
        <v>570</v>
      </c>
      <c r="C185" s="7" t="s">
        <v>571</v>
      </c>
      <c r="D185" s="7" t="s">
        <v>571</v>
      </c>
      <c r="E185" s="7" t="s">
        <v>22</v>
      </c>
      <c r="F185" s="7" t="s">
        <v>569</v>
      </c>
      <c r="G185" s="7" t="str" cm="1">
        <f t="array" ref="G185">INDEX('municipalities per province'!F:F,MATCH(municipalities!A185,'municipalities per province'!B:B,0),0)</f>
        <v>Zeeland</v>
      </c>
      <c r="H185" s="7" t="str" cm="1">
        <f t="array" ref="H185">INDEX('municipalities per province'!E:E,MATCH(municipalities!$A185,'municipalities per province'!$B:$B,0),0)</f>
        <v>PV29</v>
      </c>
      <c r="I185" s="7" t="str" cm="1">
        <f t="array" ref="I185">INDEX('municipalities per province'!G:G,MATCH(municipalities!$A185,'municipalities per province'!$B:$B,0),0)</f>
        <v>Zeeland</v>
      </c>
      <c r="J185" s="7" t="str" cm="1">
        <f t="array" ref="J185">INDEX('municipalities per province'!H:H,MATCH(municipalities!$A185,'municipalities per province'!$B:$B,0),0)</f>
        <v>ES24</v>
      </c>
      <c r="K185" s="7" cm="1">
        <f t="array" ref="K185">INDEX(coordinates!C:C,MATCH(municipalities!$A185,coordinates!$A:$A,0),0)</f>
        <v>4.1063466704266371</v>
      </c>
      <c r="L185" s="7" cm="1">
        <f t="array" ref="L185">INDEX(coordinates!D:D,MATCH(municipalities!$A185,coordinates!$A:$A,0),0)</f>
        <v>51.445327894326667</v>
      </c>
      <c r="M185" s="8">
        <v>1</v>
      </c>
      <c r="N185" s="9">
        <v>23255</v>
      </c>
      <c r="O185" s="9">
        <v>11710</v>
      </c>
      <c r="P185" s="9">
        <v>11545</v>
      </c>
      <c r="Q185" s="9">
        <v>4</v>
      </c>
      <c r="R185" s="10">
        <v>518</v>
      </c>
      <c r="S185" s="11">
        <v>70</v>
      </c>
      <c r="T185" s="11">
        <v>29</v>
      </c>
      <c r="U185" s="12">
        <f t="shared" si="16"/>
        <v>33</v>
      </c>
      <c r="V185" s="12">
        <f t="shared" si="17"/>
        <v>4.3</v>
      </c>
      <c r="W185" s="12">
        <f t="shared" si="18"/>
        <v>6.9</v>
      </c>
      <c r="X185" s="12">
        <f t="shared" si="19"/>
        <v>9.4</v>
      </c>
      <c r="Y185" s="12">
        <f t="shared" si="20"/>
        <v>101.6</v>
      </c>
      <c r="Z185" s="12" cm="1">
        <f t="array" ref="Z185">INDEX(municipality_wind_potential!$X:$X,MATCH(municipalities!$F185,municipality_wind_potential!$E:$E,0),0)</f>
        <v>42</v>
      </c>
      <c r="AA185" s="12">
        <f t="shared" si="21"/>
        <v>235.2</v>
      </c>
      <c r="AB185" s="12" cm="1">
        <f t="array" ref="AB185">INDEX(municipality_wind_potential!$Y:$Y,MATCH(municipalities!$F185,municipality_wind_potential!$E:$E,0),0) / 3.6</f>
        <v>736.70833333333337</v>
      </c>
      <c r="AC185" s="12">
        <f t="shared" si="22"/>
        <v>50.50575953923687</v>
      </c>
      <c r="AD185" s="12" cm="1">
        <f t="array" ref="AD185">INDEX(municipality_pv_potential!$G:$G,MATCH(municipalities!$A185,municipality_pv_potential!$E:$E,0),0)/3.6*$AH$4</f>
        <v>46.768333333333338</v>
      </c>
      <c r="AE185" s="12">
        <f t="shared" si="23"/>
        <v>333.83729301655876</v>
      </c>
      <c r="AF185" s="12" cm="1">
        <f t="array" ref="AF185">INDEX(municipality_pv_potential!$H:$H,MATCH(municipalities!$A185,municipality_pv_potential!$E:$E,0),0)/3.6</f>
        <v>309.13333333333338</v>
      </c>
      <c r="AG185" s="12"/>
      <c r="AJ185">
        <v>33</v>
      </c>
      <c r="AK185">
        <v>4.3</v>
      </c>
      <c r="AL185">
        <v>6.9</v>
      </c>
      <c r="AM185">
        <v>9.4</v>
      </c>
      <c r="AN185">
        <v>101.6</v>
      </c>
    </row>
    <row r="186" spans="1:40" x14ac:dyDescent="0.25">
      <c r="A186" s="5" t="s">
        <v>572</v>
      </c>
      <c r="B186" s="6" t="s">
        <v>573</v>
      </c>
      <c r="C186" s="7" t="s">
        <v>574</v>
      </c>
      <c r="D186" s="7" t="s">
        <v>574</v>
      </c>
      <c r="E186" s="7" t="s">
        <v>22</v>
      </c>
      <c r="F186" s="7" t="s">
        <v>572</v>
      </c>
      <c r="G186" s="7" t="str" cm="1">
        <f t="array" ref="G186">INDEX('municipalities per province'!F:F,MATCH(municipalities!A186,'municipalities per province'!B:B,0),0)</f>
        <v>Zeeland</v>
      </c>
      <c r="H186" s="7" t="str" cm="1">
        <f t="array" ref="H186">INDEX('municipalities per province'!E:E,MATCH(municipalities!$A186,'municipalities per province'!$B:$B,0),0)</f>
        <v>PV29</v>
      </c>
      <c r="I186" s="7" t="str" cm="1">
        <f t="array" ref="I186">INDEX('municipalities per province'!G:G,MATCH(municipalities!$A186,'municipalities per province'!$B:$B,0),0)</f>
        <v>Zeeland</v>
      </c>
      <c r="J186" s="7" t="str" cm="1">
        <f t="array" ref="J186">INDEX('municipalities per province'!H:H,MATCH(municipalities!$A186,'municipalities per province'!$B:$B,0),0)</f>
        <v>ES24</v>
      </c>
      <c r="K186" s="7" cm="1">
        <f t="array" ref="K186">INDEX(coordinates!C:C,MATCH(municipalities!$A186,coordinates!$A:$A,0),0)</f>
        <v>3.7915146406960272</v>
      </c>
      <c r="L186" s="7" cm="1">
        <f t="array" ref="L186">INDEX(coordinates!D:D,MATCH(municipalities!$A186,coordinates!$A:$A,0),0)</f>
        <v>51.364665458961163</v>
      </c>
      <c r="M186" s="8">
        <v>1</v>
      </c>
      <c r="N186" s="9">
        <v>54993</v>
      </c>
      <c r="O186" s="9">
        <v>27419</v>
      </c>
      <c r="P186" s="9">
        <v>27574</v>
      </c>
      <c r="Q186" s="9">
        <v>4</v>
      </c>
      <c r="R186" s="10">
        <v>881</v>
      </c>
      <c r="S186" s="11">
        <v>68</v>
      </c>
      <c r="T186" s="11">
        <v>31</v>
      </c>
      <c r="U186" s="12">
        <f t="shared" si="16"/>
        <v>32.1</v>
      </c>
      <c r="V186" s="12">
        <f t="shared" si="17"/>
        <v>5.9</v>
      </c>
      <c r="W186" s="12">
        <f t="shared" si="18"/>
        <v>8.9</v>
      </c>
      <c r="X186" s="12">
        <f t="shared" si="19"/>
        <v>11.8</v>
      </c>
      <c r="Y186" s="12">
        <f t="shared" si="20"/>
        <v>97.8</v>
      </c>
      <c r="Z186" s="12" cm="1">
        <f t="array" ref="Z186">INDEX(municipality_wind_potential!$X:$X,MATCH(municipalities!$F186,municipality_wind_potential!$E:$E,0),0)</f>
        <v>177</v>
      </c>
      <c r="AA186" s="12">
        <f t="shared" si="21"/>
        <v>991.19999999999993</v>
      </c>
      <c r="AB186" s="12" cm="1">
        <f t="array" ref="AB186">INDEX(municipality_wind_potential!$Y:$Y,MATCH(municipalities!$F186,municipality_wind_potential!$E:$E,0),0) / 3.6</f>
        <v>3142.1027777777776</v>
      </c>
      <c r="AC186" s="12">
        <f t="shared" si="22"/>
        <v>141.66846652267819</v>
      </c>
      <c r="AD186" s="12" cm="1">
        <f t="array" ref="AD186">INDEX(municipality_pv_potential!$G:$G,MATCH(municipalities!$A186,municipality_pv_potential!$E:$E,0),0)/3.6*$AH$4</f>
        <v>131.185</v>
      </c>
      <c r="AE186" s="12">
        <f t="shared" si="23"/>
        <v>916.42668586513071</v>
      </c>
      <c r="AF186" s="12" cm="1">
        <f t="array" ref="AF186">INDEX(municipality_pv_potential!$H:$H,MATCH(municipalities!$A186,municipality_pv_potential!$E:$E,0),0)/3.6</f>
        <v>848.61111111111109</v>
      </c>
      <c r="AG186" s="12"/>
      <c r="AJ186">
        <v>32.1</v>
      </c>
      <c r="AK186">
        <v>5.9</v>
      </c>
      <c r="AL186">
        <v>8.9</v>
      </c>
      <c r="AM186">
        <v>11.8</v>
      </c>
      <c r="AN186">
        <v>97.8</v>
      </c>
    </row>
    <row r="187" spans="1:40" x14ac:dyDescent="0.25">
      <c r="A187" s="5" t="s">
        <v>575</v>
      </c>
      <c r="B187" s="6" t="s">
        <v>576</v>
      </c>
      <c r="C187" s="7" t="s">
        <v>577</v>
      </c>
      <c r="D187" s="7" t="s">
        <v>577</v>
      </c>
      <c r="E187" s="7" t="s">
        <v>22</v>
      </c>
      <c r="F187" s="7" t="s">
        <v>575</v>
      </c>
      <c r="G187" s="7" t="str" cm="1">
        <f t="array" ref="G187">INDEX('municipalities per province'!F:F,MATCH(municipalities!A187,'municipalities per province'!B:B,0),0)</f>
        <v>Zeeland</v>
      </c>
      <c r="H187" s="7" t="str" cm="1">
        <f t="array" ref="H187">INDEX('municipalities per province'!E:E,MATCH(municipalities!$A187,'municipalities per province'!$B:$B,0),0)</f>
        <v>PV29</v>
      </c>
      <c r="I187" s="7" t="str" cm="1">
        <f t="array" ref="I187">INDEX('municipalities per province'!G:G,MATCH(municipalities!$A187,'municipalities per province'!$B:$B,0),0)</f>
        <v>Zeeland</v>
      </c>
      <c r="J187" s="7" t="str" cm="1">
        <f t="array" ref="J187">INDEX('municipalities per province'!H:H,MATCH(municipalities!$A187,'municipalities per province'!$B:$B,0),0)</f>
        <v>ES24</v>
      </c>
      <c r="K187" s="7" cm="1">
        <f t="array" ref="K187">INDEX(coordinates!C:C,MATCH(municipalities!$A187,coordinates!$A:$A,0),0)</f>
        <v>4.0642792858358652</v>
      </c>
      <c r="L187" s="7" cm="1">
        <f t="array" ref="L187">INDEX(coordinates!D:D,MATCH(municipalities!$A187,coordinates!$A:$A,0),0)</f>
        <v>51.566421031870092</v>
      </c>
      <c r="M187" s="8">
        <v>1</v>
      </c>
      <c r="N187" s="9">
        <v>26825</v>
      </c>
      <c r="O187" s="9">
        <v>13394</v>
      </c>
      <c r="P187" s="9">
        <v>13431</v>
      </c>
      <c r="Q187" s="9">
        <v>5</v>
      </c>
      <c r="R187" s="10">
        <v>494</v>
      </c>
      <c r="S187" s="11">
        <v>72</v>
      </c>
      <c r="T187" s="11">
        <v>28</v>
      </c>
      <c r="U187" s="12">
        <f t="shared" si="16"/>
        <v>33</v>
      </c>
      <c r="V187" s="12">
        <f t="shared" si="17"/>
        <v>4.4000000000000004</v>
      </c>
      <c r="W187" s="12">
        <f t="shared" si="18"/>
        <v>7</v>
      </c>
      <c r="X187" s="12">
        <f t="shared" si="19"/>
        <v>9.3000000000000007</v>
      </c>
      <c r="Y187" s="12">
        <f t="shared" si="20"/>
        <v>102.1</v>
      </c>
      <c r="Z187" s="12" cm="1">
        <f t="array" ref="Z187">INDEX(municipality_wind_potential!$X:$X,MATCH(municipalities!$F187,municipality_wind_potential!$E:$E,0),0)</f>
        <v>102</v>
      </c>
      <c r="AA187" s="12">
        <f t="shared" si="21"/>
        <v>571.19999999999993</v>
      </c>
      <c r="AB187" s="12" cm="1">
        <f t="array" ref="AB187">INDEX(municipality_wind_potential!$Y:$Y,MATCH(municipalities!$F187,municipality_wind_potential!$E:$E,0),0) / 3.6</f>
        <v>1801.8277777777778</v>
      </c>
      <c r="AC187" s="12">
        <f t="shared" si="22"/>
        <v>60.526757859371259</v>
      </c>
      <c r="AD187" s="12" cm="1">
        <f t="array" ref="AD187">INDEX(municipality_pv_potential!$G:$G,MATCH(municipalities!$A187,municipality_pv_potential!$E:$E,0),0)/3.6*$AH$4</f>
        <v>56.047777777777782</v>
      </c>
      <c r="AE187" s="12">
        <f t="shared" si="23"/>
        <v>602.15982721382272</v>
      </c>
      <c r="AF187" s="12" cm="1">
        <f t="array" ref="AF187">INDEX(municipality_pv_potential!$H:$H,MATCH(municipalities!$A187,municipality_pv_potential!$E:$E,0),0)/3.6</f>
        <v>557.59999999999991</v>
      </c>
      <c r="AG187" s="12"/>
      <c r="AJ187">
        <v>33</v>
      </c>
      <c r="AK187">
        <v>4.4000000000000004</v>
      </c>
      <c r="AL187">
        <v>7</v>
      </c>
      <c r="AM187">
        <v>9.3000000000000007</v>
      </c>
      <c r="AN187">
        <v>102.1</v>
      </c>
    </row>
    <row r="188" spans="1:40" x14ac:dyDescent="0.25">
      <c r="A188" s="5" t="s">
        <v>578</v>
      </c>
      <c r="B188" s="6" t="s">
        <v>579</v>
      </c>
      <c r="C188" s="7" t="s">
        <v>580</v>
      </c>
      <c r="D188" s="7" t="s">
        <v>580</v>
      </c>
      <c r="E188" s="7" t="s">
        <v>22</v>
      </c>
      <c r="F188" s="7" t="s">
        <v>578</v>
      </c>
      <c r="G188" s="7" t="str" cm="1">
        <f t="array" ref="G188">INDEX('municipalities per province'!F:F,MATCH(municipalities!A188,'municipalities per province'!B:B,0),0)</f>
        <v>Zeeland</v>
      </c>
      <c r="H188" s="7" t="str" cm="1">
        <f t="array" ref="H188">INDEX('municipalities per province'!E:E,MATCH(municipalities!$A188,'municipalities per province'!$B:$B,0),0)</f>
        <v>PV29</v>
      </c>
      <c r="I188" s="7" t="str" cm="1">
        <f t="array" ref="I188">INDEX('municipalities per province'!G:G,MATCH(municipalities!$A188,'municipalities per province'!$B:$B,0),0)</f>
        <v>Zeeland</v>
      </c>
      <c r="J188" s="7" t="str" cm="1">
        <f t="array" ref="J188">INDEX('municipalities per province'!H:H,MATCH(municipalities!$A188,'municipalities per province'!$B:$B,0),0)</f>
        <v>ES24</v>
      </c>
      <c r="K188" s="7" cm="1">
        <f t="array" ref="K188">INDEX(coordinates!C:C,MATCH(municipalities!$A188,coordinates!$A:$A,0),0)</f>
        <v>3.6369265474261172</v>
      </c>
      <c r="L188" s="7" cm="1">
        <f t="array" ref="L188">INDEX(coordinates!D:D,MATCH(municipalities!$A188,coordinates!$A:$A,0),0)</f>
        <v>51.609045540530822</v>
      </c>
      <c r="M188" s="8">
        <v>1</v>
      </c>
      <c r="N188" s="9">
        <v>22045</v>
      </c>
      <c r="O188" s="9">
        <v>10942</v>
      </c>
      <c r="P188" s="9">
        <v>11103</v>
      </c>
      <c r="Q188" s="9">
        <v>5</v>
      </c>
      <c r="R188" s="10">
        <v>350</v>
      </c>
      <c r="S188" s="11">
        <v>79</v>
      </c>
      <c r="T188" s="11">
        <v>20</v>
      </c>
      <c r="U188" s="12">
        <f t="shared" si="16"/>
        <v>36.6</v>
      </c>
      <c r="V188" s="12">
        <f t="shared" si="17"/>
        <v>3.4</v>
      </c>
      <c r="W188" s="12">
        <f t="shared" si="18"/>
        <v>5.2</v>
      </c>
      <c r="X188" s="12">
        <f t="shared" si="19"/>
        <v>7.1</v>
      </c>
      <c r="Y188" s="12">
        <f t="shared" si="20"/>
        <v>256</v>
      </c>
      <c r="Z188" s="12" cm="1">
        <f t="array" ref="Z188">INDEX(municipality_wind_potential!$X:$X,MATCH(municipalities!$F188,municipality_wind_potential!$E:$E,0),0)</f>
        <v>82</v>
      </c>
      <c r="AA188" s="12">
        <f t="shared" si="21"/>
        <v>459.2</v>
      </c>
      <c r="AB188" s="12" cm="1">
        <f t="array" ref="AB188">INDEX(municipality_wind_potential!$Y:$Y,MATCH(municipalities!$F188,municipality_wind_potential!$E:$E,0),0) / 3.6</f>
        <v>1607.2</v>
      </c>
      <c r="AC188" s="12">
        <f t="shared" si="22"/>
        <v>61.013318934485241</v>
      </c>
      <c r="AD188" s="12" cm="1">
        <f t="array" ref="AD188">INDEX(municipality_pv_potential!$G:$G,MATCH(municipalities!$A188,municipality_pv_potential!$E:$E,0),0)/3.6*$AH$4</f>
        <v>56.498333333333335</v>
      </c>
      <c r="AE188" s="12">
        <f t="shared" si="23"/>
        <v>424.99100071994241</v>
      </c>
      <c r="AF188" s="12" cm="1">
        <f t="array" ref="AF188">INDEX(municipality_pv_potential!$H:$H,MATCH(municipalities!$A188,municipality_pv_potential!$E:$E,0),0)/3.6</f>
        <v>393.54166666666663</v>
      </c>
      <c r="AG188" s="12"/>
      <c r="AJ188">
        <v>36.6</v>
      </c>
      <c r="AK188">
        <v>3.4</v>
      </c>
      <c r="AL188">
        <v>5.2</v>
      </c>
      <c r="AM188">
        <v>7.1</v>
      </c>
      <c r="AN188">
        <v>256</v>
      </c>
    </row>
    <row r="189" spans="1:40" x14ac:dyDescent="0.25">
      <c r="A189" s="5" t="s">
        <v>581</v>
      </c>
      <c r="B189" s="6" t="s">
        <v>582</v>
      </c>
      <c r="C189" s="7" t="s">
        <v>583</v>
      </c>
      <c r="D189" s="7" t="s">
        <v>583</v>
      </c>
      <c r="E189" s="7" t="s">
        <v>22</v>
      </c>
      <c r="F189" s="7" t="s">
        <v>581</v>
      </c>
      <c r="G189" s="7" t="str" cm="1">
        <f t="array" ref="G189">INDEX('municipalities per province'!F:F,MATCH(municipalities!A189,'municipalities per province'!B:B,0),0)</f>
        <v>Zeeland</v>
      </c>
      <c r="H189" s="7" t="str" cm="1">
        <f t="array" ref="H189">INDEX('municipalities per province'!E:E,MATCH(municipalities!$A189,'municipalities per province'!$B:$B,0),0)</f>
        <v>PV29</v>
      </c>
      <c r="I189" s="7" t="str" cm="1">
        <f t="array" ref="I189">INDEX('municipalities per province'!G:G,MATCH(municipalities!$A189,'municipalities per province'!$B:$B,0),0)</f>
        <v>Zeeland</v>
      </c>
      <c r="J189" s="7" t="str" cm="1">
        <f t="array" ref="J189">INDEX('municipalities per province'!H:H,MATCH(municipalities!$A189,'municipalities per province'!$B:$B,0),0)</f>
        <v>ES24</v>
      </c>
      <c r="K189" s="7" cm="1">
        <f t="array" ref="K189">INDEX(coordinates!C:C,MATCH(municipalities!$A189,coordinates!$A:$A,0),0)</f>
        <v>3.4651410945491778</v>
      </c>
      <c r="L189" s="7" cm="1">
        <f t="array" ref="L189">INDEX(coordinates!D:D,MATCH(municipalities!$A189,coordinates!$A:$A,0),0)</f>
        <v>51.465930572687313</v>
      </c>
      <c r="M189" s="8">
        <v>1</v>
      </c>
      <c r="N189" s="9">
        <v>45150</v>
      </c>
      <c r="O189" s="9">
        <v>22536</v>
      </c>
      <c r="P189" s="9">
        <v>22614</v>
      </c>
      <c r="Q189" s="9">
        <v>2</v>
      </c>
      <c r="R189" s="10">
        <v>1972</v>
      </c>
      <c r="S189" s="11">
        <v>56</v>
      </c>
      <c r="T189" s="11">
        <v>43</v>
      </c>
      <c r="U189" s="12">
        <f t="shared" si="16"/>
        <v>29.4</v>
      </c>
      <c r="V189" s="12">
        <f t="shared" si="17"/>
        <v>8.9</v>
      </c>
      <c r="W189" s="12">
        <f t="shared" si="18"/>
        <v>12.4</v>
      </c>
      <c r="X189" s="12">
        <f t="shared" si="19"/>
        <v>15.3</v>
      </c>
      <c r="Y189" s="12">
        <f t="shared" si="20"/>
        <v>40.799999999999997</v>
      </c>
      <c r="Z189" s="12" cm="1">
        <f t="array" ref="Z189">INDEX(municipality_wind_potential!$X:$X,MATCH(municipalities!$F189,municipality_wind_potential!$E:$E,0),0)</f>
        <v>14</v>
      </c>
      <c r="AA189" s="12">
        <f t="shared" si="21"/>
        <v>78.399999999999991</v>
      </c>
      <c r="AB189" s="12" cm="1">
        <f t="array" ref="AB189">INDEX(municipality_wind_potential!$Y:$Y,MATCH(municipalities!$F189,municipality_wind_potential!$E:$E,0),0) / 3.6</f>
        <v>248.52777777777777</v>
      </c>
      <c r="AC189" s="12">
        <f t="shared" si="22"/>
        <v>73.379529637628977</v>
      </c>
      <c r="AD189" s="12" cm="1">
        <f t="array" ref="AD189">INDEX(municipality_pv_potential!$G:$G,MATCH(municipalities!$A189,municipality_pv_potential!$E:$E,0),0)/3.6*$AH$4</f>
        <v>67.949444444444438</v>
      </c>
      <c r="AE189" s="12">
        <f t="shared" si="23"/>
        <v>50.209983201343888</v>
      </c>
      <c r="AF189" s="12" cm="1">
        <f t="array" ref="AF189">INDEX(municipality_pv_potential!$H:$H,MATCH(municipalities!$A189,municipality_pv_potential!$E:$E,0),0)/3.6</f>
        <v>46.49444444444444</v>
      </c>
      <c r="AG189" s="12"/>
      <c r="AJ189">
        <v>29.4</v>
      </c>
      <c r="AK189">
        <v>8.9</v>
      </c>
      <c r="AL189">
        <v>12.4</v>
      </c>
      <c r="AM189">
        <v>15.3</v>
      </c>
      <c r="AN189">
        <v>40.799999999999997</v>
      </c>
    </row>
    <row r="190" spans="1:40" x14ac:dyDescent="0.25">
      <c r="A190" s="5" t="s">
        <v>584</v>
      </c>
      <c r="B190" s="6" t="s">
        <v>585</v>
      </c>
      <c r="C190" s="7" t="s">
        <v>586</v>
      </c>
      <c r="D190" s="7" t="s">
        <v>586</v>
      </c>
      <c r="E190" s="7" t="s">
        <v>22</v>
      </c>
      <c r="F190" s="7" t="s">
        <v>584</v>
      </c>
      <c r="G190" s="7" t="str" cm="1">
        <f t="array" ref="G190">INDEX('municipalities per province'!F:F,MATCH(municipalities!A190,'municipalities per province'!B:B,0),0)</f>
        <v>Utrecht</v>
      </c>
      <c r="H190" s="7" t="str" cm="1">
        <f t="array" ref="H190">INDEX('municipalities per province'!E:E,MATCH(municipalities!$A190,'municipalities per province'!$B:$B,0),0)</f>
        <v>PV26</v>
      </c>
      <c r="I190" s="7" t="str" cm="1">
        <f t="array" ref="I190">INDEX('municipalities per province'!G:G,MATCH(municipalities!$A190,'municipalities per province'!$B:$B,0),0)</f>
        <v>U16</v>
      </c>
      <c r="J190" s="7" t="str" cm="1">
        <f t="array" ref="J190">INDEX('municipalities per province'!H:H,MATCH(municipalities!$A190,'municipalities per province'!$B:$B,0),0)</f>
        <v>ES14</v>
      </c>
      <c r="K190" s="7" cm="1">
        <f t="array" ref="K190">INDEX(coordinates!C:C,MATCH(municipalities!$A190,coordinates!$A:$A,0),0)</f>
        <v>4.9173277659453536</v>
      </c>
      <c r="L190" s="7" cm="1">
        <f t="array" ref="L190">INDEX(coordinates!D:D,MATCH(municipalities!$A190,coordinates!$A:$A,0),0)</f>
        <v>52.226343816661341</v>
      </c>
      <c r="M190" s="8">
        <v>1</v>
      </c>
      <c r="N190" s="9">
        <v>45572</v>
      </c>
      <c r="O190" s="9">
        <v>22515</v>
      </c>
      <c r="P190" s="9">
        <v>23057</v>
      </c>
      <c r="Q190" s="9">
        <v>4</v>
      </c>
      <c r="R190" s="10">
        <v>895</v>
      </c>
      <c r="S190" s="11">
        <v>66</v>
      </c>
      <c r="T190" s="11">
        <v>34</v>
      </c>
      <c r="U190" s="12">
        <f t="shared" si="16"/>
        <v>41.1</v>
      </c>
      <c r="V190" s="12">
        <f t="shared" si="17"/>
        <v>4</v>
      </c>
      <c r="W190" s="12">
        <f t="shared" si="18"/>
        <v>5.9</v>
      </c>
      <c r="X190" s="12">
        <f t="shared" si="19"/>
        <v>7.9</v>
      </c>
      <c r="Y190" s="12">
        <f t="shared" si="20"/>
        <v>216.9</v>
      </c>
      <c r="Z190" s="12" cm="1">
        <f t="array" ref="Z190">INDEX(municipality_wind_potential!$X:$X,MATCH(municipalities!$F190,municipality_wind_potential!$E:$E,0),0)</f>
        <v>59</v>
      </c>
      <c r="AA190" s="12">
        <f t="shared" si="21"/>
        <v>330.4</v>
      </c>
      <c r="AB190" s="12" cm="1">
        <f t="array" ref="AB190">INDEX(municipality_wind_potential!$Y:$Y,MATCH(municipalities!$F190,municipality_wind_potential!$E:$E,0),0) / 3.6</f>
        <v>1038.4916666666668</v>
      </c>
      <c r="AC190" s="12">
        <f t="shared" si="22"/>
        <v>81.006119510439163</v>
      </c>
      <c r="AD190" s="12" cm="1">
        <f t="array" ref="AD190">INDEX(municipality_pv_potential!$G:$G,MATCH(municipalities!$A190,municipality_pv_potential!$E:$E,0),0)/3.6*$AH$4</f>
        <v>75.01166666666667</v>
      </c>
      <c r="AE190" s="12">
        <f t="shared" si="23"/>
        <v>347.82817374610033</v>
      </c>
      <c r="AF190" s="12" cm="1">
        <f t="array" ref="AF190">INDEX(municipality_pv_potential!$H:$H,MATCH(municipalities!$A190,municipality_pv_potential!$E:$E,0),0)/3.6</f>
        <v>322.0888888888889</v>
      </c>
      <c r="AG190" s="12"/>
      <c r="AJ190">
        <v>41.1</v>
      </c>
      <c r="AK190">
        <v>4</v>
      </c>
      <c r="AL190">
        <v>5.9</v>
      </c>
      <c r="AM190">
        <v>7.9</v>
      </c>
      <c r="AN190">
        <v>216.9</v>
      </c>
    </row>
    <row r="191" spans="1:40" x14ac:dyDescent="0.25">
      <c r="A191" s="5" t="s">
        <v>587</v>
      </c>
      <c r="B191" s="6" t="s">
        <v>588</v>
      </c>
      <c r="C191" s="7" t="s">
        <v>589</v>
      </c>
      <c r="D191" s="7" t="s">
        <v>589</v>
      </c>
      <c r="E191" s="7" t="s">
        <v>22</v>
      </c>
      <c r="F191" s="7" t="s">
        <v>587</v>
      </c>
      <c r="G191" s="7" t="str" cm="1">
        <f t="array" ref="G191">INDEX('municipalities per province'!F:F,MATCH(municipalities!A191,'municipalities per province'!B:B,0),0)</f>
        <v>Friesland</v>
      </c>
      <c r="H191" s="7" t="str" cm="1">
        <f t="array" ref="H191">INDEX('municipalities per province'!E:E,MATCH(municipalities!$A191,'municipalities per province'!$B:$B,0),0)</f>
        <v>PV21</v>
      </c>
      <c r="I191" s="7" t="str" cm="1">
        <f t="array" ref="I191">INDEX('municipalities per province'!G:G,MATCH(municipalities!$A191,'municipalities per province'!$B:$B,0),0)</f>
        <v>Friesland</v>
      </c>
      <c r="J191" s="7" t="str" cm="1">
        <f t="array" ref="J191">INDEX('municipalities per province'!H:H,MATCH(municipalities!$A191,'municipalities per province'!$B:$B,0),0)</f>
        <v>ES02</v>
      </c>
      <c r="K191" s="7" cm="1">
        <f t="array" ref="K191">INDEX(coordinates!C:C,MATCH(municipalities!$A191,coordinates!$A:$A,0),0)</f>
        <v>5.9626654518534403</v>
      </c>
      <c r="L191" s="7" cm="1">
        <f t="array" ref="L191">INDEX(coordinates!D:D,MATCH(municipalities!$A191,coordinates!$A:$A,0),0)</f>
        <v>53.19987241646421</v>
      </c>
      <c r="M191" s="8">
        <v>1</v>
      </c>
      <c r="N191" s="9">
        <v>32408</v>
      </c>
      <c r="O191" s="9">
        <v>16183</v>
      </c>
      <c r="P191" s="9">
        <v>16225</v>
      </c>
      <c r="Q191" s="9">
        <v>5</v>
      </c>
      <c r="R191" s="10">
        <v>487</v>
      </c>
      <c r="S191" s="11">
        <v>72</v>
      </c>
      <c r="T191" s="11">
        <v>28</v>
      </c>
      <c r="U191" s="12">
        <f t="shared" si="16"/>
        <v>32.1</v>
      </c>
      <c r="V191" s="12">
        <f t="shared" si="17"/>
        <v>4.8</v>
      </c>
      <c r="W191" s="12">
        <f t="shared" si="18"/>
        <v>7.4</v>
      </c>
      <c r="X191" s="12">
        <f t="shared" si="19"/>
        <v>9.6999999999999993</v>
      </c>
      <c r="Y191" s="12">
        <f t="shared" si="20"/>
        <v>134.5</v>
      </c>
      <c r="Z191" s="12" cm="1">
        <f t="array" ref="Z191">INDEX(municipality_wind_potential!$X:$X,MATCH(municipalities!$F191,municipality_wind_potential!$E:$E,0),0)</f>
        <v>69</v>
      </c>
      <c r="AA191" s="12">
        <f t="shared" si="21"/>
        <v>386.4</v>
      </c>
      <c r="AB191" s="12" cm="1">
        <f t="array" ref="AB191">INDEX(municipality_wind_potential!$Y:$Y,MATCH(municipalities!$F191,municipality_wind_potential!$E:$E,0),0) / 3.6</f>
        <v>1342.6</v>
      </c>
      <c r="AC191" s="12">
        <f t="shared" si="22"/>
        <v>77.526397888168972</v>
      </c>
      <c r="AD191" s="12" cm="1">
        <f t="array" ref="AD191">INDEX(municipality_pv_potential!$G:$G,MATCH(municipalities!$A191,municipality_pv_potential!$E:$E,0),0)/3.6*$AH$4</f>
        <v>71.789444444444456</v>
      </c>
      <c r="AE191" s="12">
        <f t="shared" si="23"/>
        <v>540.91372690184789</v>
      </c>
      <c r="AF191" s="12" cm="1">
        <f t="array" ref="AF191">INDEX(municipality_pv_potential!$H:$H,MATCH(municipalities!$A191,municipality_pv_potential!$E:$E,0),0)/3.6</f>
        <v>500.88611111111112</v>
      </c>
      <c r="AG191" s="12"/>
      <c r="AJ191">
        <v>32.1</v>
      </c>
      <c r="AK191">
        <v>4.8</v>
      </c>
      <c r="AL191">
        <v>7.4</v>
      </c>
      <c r="AM191">
        <v>9.6999999999999993</v>
      </c>
      <c r="AN191">
        <v>134.5</v>
      </c>
    </row>
    <row r="192" spans="1:40" x14ac:dyDescent="0.25">
      <c r="A192" s="5" t="s">
        <v>590</v>
      </c>
      <c r="B192" s="6" t="s">
        <v>591</v>
      </c>
      <c r="C192" s="7" t="s">
        <v>592</v>
      </c>
      <c r="D192" s="7" t="s">
        <v>592</v>
      </c>
      <c r="E192" s="7" t="s">
        <v>22</v>
      </c>
      <c r="F192" s="7" t="s">
        <v>590</v>
      </c>
      <c r="G192" s="7" t="str" cm="1">
        <f t="array" ref="G192">INDEX('municipalities per province'!F:F,MATCH(municipalities!A192,'municipalities per province'!B:B,0),0)</f>
        <v>Noord-Brabant</v>
      </c>
      <c r="H192" s="7" t="str" cm="1">
        <f t="array" ref="H192">INDEX('municipalities per province'!E:E,MATCH(municipalities!$A192,'municipalities per province'!$B:$B,0),0)</f>
        <v>PV30</v>
      </c>
      <c r="I192" s="7" t="str" cm="1">
        <f t="array" ref="I192">INDEX('municipalities per province'!G:G,MATCH(municipalities!$A192,'municipalities per province'!$B:$B,0),0)</f>
        <v>MetropoolregioEindhoven</v>
      </c>
      <c r="J192" s="7" t="str" cm="1">
        <f t="array" ref="J192">INDEX('municipalities per province'!H:H,MATCH(municipalities!$A192,'municipalities per province'!$B:$B,0),0)</f>
        <v>ES26</v>
      </c>
      <c r="K192" s="7" cm="1">
        <f t="array" ref="K192">INDEX(coordinates!C:C,MATCH(municipalities!$A192,coordinates!$A:$A,0),0)</f>
        <v>5.7792060848719604</v>
      </c>
      <c r="L192" s="7" cm="1">
        <f t="array" ref="L192">INDEX(coordinates!D:D,MATCH(municipalities!$A192,coordinates!$A:$A,0),0)</f>
        <v>51.38641544929407</v>
      </c>
      <c r="M192" s="8">
        <v>1</v>
      </c>
      <c r="N192" s="9">
        <v>17242</v>
      </c>
      <c r="O192" s="9">
        <v>8776</v>
      </c>
      <c r="P192" s="9">
        <v>8466</v>
      </c>
      <c r="Q192" s="9">
        <v>4</v>
      </c>
      <c r="R192" s="10">
        <v>999</v>
      </c>
      <c r="S192" s="11">
        <v>71</v>
      </c>
      <c r="T192" s="11">
        <v>29</v>
      </c>
      <c r="U192" s="12">
        <f t="shared" si="16"/>
        <v>34.5</v>
      </c>
      <c r="V192" s="12">
        <f t="shared" si="17"/>
        <v>4.4000000000000004</v>
      </c>
      <c r="W192" s="12">
        <f t="shared" si="18"/>
        <v>6.7</v>
      </c>
      <c r="X192" s="12">
        <f t="shared" si="19"/>
        <v>9.1</v>
      </c>
      <c r="Y192" s="12">
        <f t="shared" si="20"/>
        <v>203</v>
      </c>
      <c r="Z192" s="12" cm="1">
        <f t="array" ref="Z192">INDEX(municipality_wind_potential!$X:$X,MATCH(municipalities!$F192,municipality_wind_potential!$E:$E,0),0)</f>
        <v>46</v>
      </c>
      <c r="AA192" s="12">
        <f t="shared" si="21"/>
        <v>257.59999999999997</v>
      </c>
      <c r="AB192" s="12" cm="1">
        <f t="array" ref="AB192">INDEX(municipality_wind_potential!$Y:$Y,MATCH(municipalities!$F192,municipality_wind_potential!$E:$E,0),0) / 3.6</f>
        <v>682.63888888888891</v>
      </c>
      <c r="AC192" s="12">
        <f t="shared" si="22"/>
        <v>61.680465562754975</v>
      </c>
      <c r="AD192" s="12" cm="1">
        <f t="array" ref="AD192">INDEX(municipality_pv_potential!$G:$G,MATCH(municipalities!$A192,municipality_pv_potential!$E:$E,0),0)/3.6*$AH$4</f>
        <v>57.11611111111111</v>
      </c>
      <c r="AE192" s="12">
        <f t="shared" si="23"/>
        <v>191.6726661867051</v>
      </c>
      <c r="AF192" s="12" cm="1">
        <f t="array" ref="AF192">INDEX(municipality_pv_potential!$H:$H,MATCH(municipalities!$A192,municipality_pv_potential!$E:$E,0),0)/3.6</f>
        <v>177.48888888888891</v>
      </c>
      <c r="AG192" s="12"/>
      <c r="AJ192">
        <v>34.5</v>
      </c>
      <c r="AK192">
        <v>4.4000000000000004</v>
      </c>
      <c r="AL192">
        <v>6.7</v>
      </c>
      <c r="AM192">
        <v>9.1</v>
      </c>
      <c r="AN192">
        <v>203</v>
      </c>
    </row>
    <row r="193" spans="1:40" x14ac:dyDescent="0.25">
      <c r="A193" s="5" t="s">
        <v>593</v>
      </c>
      <c r="B193" s="6" t="s">
        <v>594</v>
      </c>
      <c r="C193" s="7" t="s">
        <v>595</v>
      </c>
      <c r="D193" s="7" t="s">
        <v>595</v>
      </c>
      <c r="E193" s="7" t="s">
        <v>22</v>
      </c>
      <c r="F193" s="7" t="s">
        <v>593</v>
      </c>
      <c r="G193" s="7" t="str" cm="1">
        <f t="array" ref="G193">INDEX('municipalities per province'!F:F,MATCH(municipalities!A193,'municipalities per province'!B:B,0),0)</f>
        <v>Noord-Brabant</v>
      </c>
      <c r="H193" s="7" t="str" cm="1">
        <f t="array" ref="H193">INDEX('municipalities per province'!E:E,MATCH(municipalities!$A193,'municipalities per province'!$B:$B,0),0)</f>
        <v>PV30</v>
      </c>
      <c r="I193" s="7" t="str" cm="1">
        <f t="array" ref="I193">INDEX('municipalities per province'!G:G,MATCH(municipalities!$A193,'municipalities per province'!$B:$B,0),0)</f>
        <v>West-Brabant</v>
      </c>
      <c r="J193" s="7" t="str" cm="1">
        <f t="array" ref="J193">INDEX('municipalities per province'!H:H,MATCH(municipalities!$A193,'municipalities per province'!$B:$B,0),0)</f>
        <v>ES28</v>
      </c>
      <c r="K193" s="7" cm="1">
        <f t="array" ref="K193">INDEX(coordinates!C:C,MATCH(municipalities!$A193,coordinates!$A:$A,0),0)</f>
        <v>4.8931508192482802</v>
      </c>
      <c r="L193" s="7" cm="1">
        <f t="array" ref="L193">INDEX(coordinates!D:D,MATCH(municipalities!$A193,coordinates!$A:$A,0),0)</f>
        <v>51.439011721228717</v>
      </c>
      <c r="M193" s="8">
        <v>1</v>
      </c>
      <c r="N193" s="9">
        <v>7071</v>
      </c>
      <c r="O193" s="9">
        <v>3557</v>
      </c>
      <c r="P193" s="9">
        <v>3514</v>
      </c>
      <c r="Q193" s="9">
        <v>5</v>
      </c>
      <c r="R193" s="10">
        <v>353</v>
      </c>
      <c r="S193" s="11">
        <v>70</v>
      </c>
      <c r="T193" s="11">
        <v>29</v>
      </c>
      <c r="U193" s="12">
        <f t="shared" si="16"/>
        <v>33.9</v>
      </c>
      <c r="V193" s="12">
        <f t="shared" si="17"/>
        <v>4.5999999999999996</v>
      </c>
      <c r="W193" s="12">
        <f t="shared" si="18"/>
        <v>7.2</v>
      </c>
      <c r="X193" s="12">
        <f t="shared" si="19"/>
        <v>9.5</v>
      </c>
      <c r="Y193" s="12">
        <f t="shared" si="20"/>
        <v>225.2</v>
      </c>
      <c r="Z193" s="12" cm="1">
        <f t="array" ref="Z193">INDEX(municipality_wind_potential!$X:$X,MATCH(municipalities!$F193,municipality_wind_potential!$E:$E,0),0)</f>
        <v>41</v>
      </c>
      <c r="AA193" s="12">
        <f t="shared" si="21"/>
        <v>229.6</v>
      </c>
      <c r="AB193" s="12" cm="1">
        <f t="array" ref="AB193">INDEX(municipality_wind_potential!$Y:$Y,MATCH(municipalities!$F193,municipality_wind_potential!$E:$E,0),0) / 3.6</f>
        <v>608.43888888888887</v>
      </c>
      <c r="AC193" s="12">
        <f t="shared" si="22"/>
        <v>42.574394048476123</v>
      </c>
      <c r="AD193" s="12" cm="1">
        <f t="array" ref="AD193">INDEX(municipality_pv_potential!$G:$G,MATCH(municipalities!$A193,municipality_pv_potential!$E:$E,0),0)/3.6*$AH$4</f>
        <v>39.423888888888889</v>
      </c>
      <c r="AE193" s="12">
        <f t="shared" si="23"/>
        <v>273.50911927045837</v>
      </c>
      <c r="AF193" s="12" cm="1">
        <f t="array" ref="AF193">INDEX(municipality_pv_potential!$H:$H,MATCH(municipalities!$A193,municipality_pv_potential!$E:$E,0),0)/3.6</f>
        <v>253.26944444444445</v>
      </c>
      <c r="AG193" s="12"/>
      <c r="AJ193">
        <v>33.9</v>
      </c>
      <c r="AK193">
        <v>4.5999999999999996</v>
      </c>
      <c r="AL193">
        <v>7.2</v>
      </c>
      <c r="AM193">
        <v>9.5</v>
      </c>
      <c r="AN193">
        <v>225.2</v>
      </c>
    </row>
    <row r="194" spans="1:40" x14ac:dyDescent="0.25">
      <c r="A194" s="5" t="s">
        <v>596</v>
      </c>
      <c r="B194" s="6" t="s">
        <v>597</v>
      </c>
      <c r="C194" s="7" t="s">
        <v>598</v>
      </c>
      <c r="D194" s="7" t="s">
        <v>598</v>
      </c>
      <c r="E194" s="7" t="s">
        <v>22</v>
      </c>
      <c r="F194" s="7" t="s">
        <v>596</v>
      </c>
      <c r="G194" s="7" t="str" cm="1">
        <f t="array" ref="G194">INDEX('municipalities per province'!F:F,MATCH(municipalities!A194,'municipalities per province'!B:B,0),0)</f>
        <v>Noord-Brabant</v>
      </c>
      <c r="H194" s="7" t="str" cm="1">
        <f t="array" ref="H194">INDEX('municipalities per province'!E:E,MATCH(municipalities!$A194,'municipalities per province'!$B:$B,0),0)</f>
        <v>PV30</v>
      </c>
      <c r="I194" s="7" t="str" cm="1">
        <f t="array" ref="I194">INDEX('municipalities per province'!G:G,MATCH(municipalities!$A194,'municipalities per province'!$B:$B,0),0)</f>
        <v>West-Brabant</v>
      </c>
      <c r="J194" s="7" t="str" cm="1">
        <f t="array" ref="J194">INDEX('municipalities per province'!H:H,MATCH(municipalities!$A194,'municipalities per province'!$B:$B,0),0)</f>
        <v>ES28</v>
      </c>
      <c r="K194" s="7" cm="1">
        <f t="array" ref="K194">INDEX(coordinates!C:C,MATCH(municipalities!$A194,coordinates!$A:$A,0),0)</f>
        <v>4.2882923241878039</v>
      </c>
      <c r="L194" s="7" cm="1">
        <f t="array" ref="L194">INDEX(coordinates!D:D,MATCH(municipalities!$A194,coordinates!$A:$A,0),0)</f>
        <v>51.503472314093727</v>
      </c>
      <c r="M194" s="8">
        <v>1</v>
      </c>
      <c r="N194" s="9">
        <v>68864</v>
      </c>
      <c r="O194" s="9">
        <v>34249</v>
      </c>
      <c r="P194" s="9">
        <v>34615</v>
      </c>
      <c r="Q194" s="9">
        <v>2</v>
      </c>
      <c r="R194" s="10">
        <v>1874</v>
      </c>
      <c r="S194" s="11">
        <v>59</v>
      </c>
      <c r="T194" s="11">
        <v>41</v>
      </c>
      <c r="U194" s="12">
        <f t="shared" ref="U194:U257" si="24">IF(AJ194&lt;0,AVERAGEIF(AJ:AJ,"&gt;0"),AJ194)</f>
        <v>32.5</v>
      </c>
      <c r="V194" s="12">
        <f t="shared" ref="V194:V257" si="25">IF(AK194&lt;0,AVERAGEIF(AK:AK,"&gt;0"),AK194)</f>
        <v>7.1</v>
      </c>
      <c r="W194" s="12">
        <f t="shared" ref="W194:W257" si="26">IF(AL194&lt;0,AVERAGEIF(AL:AL,"&gt;0"),AL194)</f>
        <v>10.5</v>
      </c>
      <c r="X194" s="12">
        <f t="shared" ref="X194:X257" si="27">IF(AM194&lt;0,AVERAGEIF(AM:AM,"&gt;0"),AM194)</f>
        <v>13.4</v>
      </c>
      <c r="Y194" s="12">
        <f t="shared" ref="Y194:Y257" si="28">IF(AN194&lt;0,AVERAGEIF(AN:AN,"&gt;0"),AN194)</f>
        <v>82.4</v>
      </c>
      <c r="Z194" s="12" cm="1">
        <f t="array" ref="Z194">INDEX(municipality_wind_potential!$X:$X,MATCH(municipalities!$F194,municipality_wind_potential!$E:$E,0),0)</f>
        <v>24</v>
      </c>
      <c r="AA194" s="12">
        <f t="shared" si="21"/>
        <v>134.39999999999998</v>
      </c>
      <c r="AB194" s="12" cm="1">
        <f t="array" ref="AB194">INDEX(municipality_wind_potential!$Y:$Y,MATCH(municipalities!$F194,municipality_wind_potential!$E:$E,0),0) / 3.6</f>
        <v>379.00833333333333</v>
      </c>
      <c r="AC194" s="12">
        <f t="shared" si="22"/>
        <v>107.80357571394289</v>
      </c>
      <c r="AD194" s="12" cm="1">
        <f t="array" ref="AD194">INDEX(municipality_pv_potential!$G:$G,MATCH(municipalities!$A194,municipality_pv_potential!$E:$E,0),0)/3.6*$AH$4</f>
        <v>99.826111111111118</v>
      </c>
      <c r="AE194" s="12">
        <f t="shared" si="23"/>
        <v>150.65394768418528</v>
      </c>
      <c r="AF194" s="12" cm="1">
        <f t="array" ref="AF194">INDEX(municipality_pv_potential!$H:$H,MATCH(municipalities!$A194,municipality_pv_potential!$E:$E,0),0)/3.6</f>
        <v>139.50555555555556</v>
      </c>
      <c r="AG194" s="12"/>
      <c r="AJ194">
        <v>32.5</v>
      </c>
      <c r="AK194">
        <v>7.1</v>
      </c>
      <c r="AL194">
        <v>10.5</v>
      </c>
      <c r="AM194">
        <v>13.4</v>
      </c>
      <c r="AN194">
        <v>82.4</v>
      </c>
    </row>
    <row r="195" spans="1:40" x14ac:dyDescent="0.25">
      <c r="A195" s="5" t="s">
        <v>599</v>
      </c>
      <c r="B195" s="6" t="s">
        <v>600</v>
      </c>
      <c r="C195" s="7" t="s">
        <v>601</v>
      </c>
      <c r="D195" s="7" t="s">
        <v>601</v>
      </c>
      <c r="E195" s="7" t="s">
        <v>22</v>
      </c>
      <c r="F195" s="7" t="s">
        <v>599</v>
      </c>
      <c r="G195" s="7" t="str" cm="1">
        <f t="array" ref="G195">INDEX('municipalities per province'!F:F,MATCH(municipalities!A195,'municipalities per province'!B:B,0),0)</f>
        <v>Noord-Brabant</v>
      </c>
      <c r="H195" s="7" t="str" cm="1">
        <f t="array" ref="H195">INDEX('municipalities per province'!E:E,MATCH(municipalities!$A195,'municipalities per province'!$B:$B,0),0)</f>
        <v>PV30</v>
      </c>
      <c r="I195" s="7" t="str" cm="1">
        <f t="array" ref="I195">INDEX('municipalities per province'!G:G,MATCH(municipalities!$A195,'municipalities per province'!$B:$B,0),0)</f>
        <v>MetropoolregioEindhoven</v>
      </c>
      <c r="J195" s="7" t="str" cm="1">
        <f t="array" ref="J195">INDEX('municipalities per province'!H:H,MATCH(municipalities!$A195,'municipalities per province'!$B:$B,0),0)</f>
        <v>ES26</v>
      </c>
      <c r="K195" s="7" cm="1">
        <f t="array" ref="K195">INDEX(coordinates!C:C,MATCH(municipalities!$A195,coordinates!$A:$A,0),0)</f>
        <v>5.3965254160609497</v>
      </c>
      <c r="L195" s="7" cm="1">
        <f t="array" ref="L195">INDEX(coordinates!D:D,MATCH(municipalities!$A195,coordinates!$A:$A,0),0)</f>
        <v>51.514117892849953</v>
      </c>
      <c r="M195" s="8">
        <v>1</v>
      </c>
      <c r="N195" s="9">
        <v>30897</v>
      </c>
      <c r="O195" s="9">
        <v>15412</v>
      </c>
      <c r="P195" s="9">
        <v>15485</v>
      </c>
      <c r="Q195" s="9">
        <v>3</v>
      </c>
      <c r="R195" s="10">
        <v>1467</v>
      </c>
      <c r="S195" s="11">
        <v>71</v>
      </c>
      <c r="T195" s="11">
        <v>29</v>
      </c>
      <c r="U195" s="12">
        <f t="shared" si="24"/>
        <v>36.5</v>
      </c>
      <c r="V195" s="12">
        <f t="shared" si="25"/>
        <v>4.0999999999999996</v>
      </c>
      <c r="W195" s="12">
        <f t="shared" si="26"/>
        <v>6.2</v>
      </c>
      <c r="X195" s="12">
        <f t="shared" si="27"/>
        <v>8.1999999999999993</v>
      </c>
      <c r="Y195" s="12">
        <f t="shared" si="28"/>
        <v>171.6</v>
      </c>
      <c r="Z195" s="12" cm="1">
        <f t="array" ref="Z195">INDEX(municipality_wind_potential!$X:$X,MATCH(municipalities!$F195,municipality_wind_potential!$E:$E,0),0)</f>
        <v>9</v>
      </c>
      <c r="AA195" s="12">
        <f t="shared" ref="AA195:AA258" si="29">Z195*$AH$2</f>
        <v>50.4</v>
      </c>
      <c r="AB195" s="12" cm="1">
        <f t="array" ref="AB195">INDEX(municipality_wind_potential!$Y:$Y,MATCH(municipalities!$F195,municipality_wind_potential!$E:$E,0),0) / 3.6</f>
        <v>133.5611111111111</v>
      </c>
      <c r="AC195" s="12">
        <f t="shared" ref="AC195:AC258" si="30">AD195/$AH$3*1000</f>
        <v>59.488240940724737</v>
      </c>
      <c r="AD195" s="12" cm="1">
        <f t="array" ref="AD195">INDEX(municipality_pv_potential!$G:$G,MATCH(municipalities!$A195,municipality_pv_potential!$E:$E,0),0)/3.6*$AH$4</f>
        <v>55.086111111111109</v>
      </c>
      <c r="AE195" s="12">
        <f t="shared" ref="AE195:AE258" si="31">AF195/$AH$3*1000</f>
        <v>54.598632109431243</v>
      </c>
      <c r="AF195" s="12" cm="1">
        <f t="array" ref="AF195">INDEX(municipality_pv_potential!$H:$H,MATCH(municipalities!$A195,municipality_pv_potential!$E:$E,0),0)/3.6</f>
        <v>50.55833333333333</v>
      </c>
      <c r="AG195" s="12"/>
      <c r="AJ195">
        <v>36.5</v>
      </c>
      <c r="AK195">
        <v>4.0999999999999996</v>
      </c>
      <c r="AL195">
        <v>6.2</v>
      </c>
      <c r="AM195">
        <v>8.1999999999999993</v>
      </c>
      <c r="AN195">
        <v>171.6</v>
      </c>
    </row>
    <row r="196" spans="1:40" x14ac:dyDescent="0.25">
      <c r="A196" s="5" t="s">
        <v>602</v>
      </c>
      <c r="B196" s="6" t="s">
        <v>603</v>
      </c>
      <c r="C196" s="7" t="s">
        <v>604</v>
      </c>
      <c r="D196" s="7" t="s">
        <v>604</v>
      </c>
      <c r="E196" s="7" t="s">
        <v>22</v>
      </c>
      <c r="F196" s="7" t="s">
        <v>602</v>
      </c>
      <c r="G196" s="7" t="str" cm="1">
        <f t="array" ref="G196">INDEX('municipalities per province'!F:F,MATCH(municipalities!A196,'municipalities per province'!B:B,0),0)</f>
        <v>Noord-Brabant</v>
      </c>
      <c r="H196" s="7" t="str" cm="1">
        <f t="array" ref="H196">INDEX('municipalities per province'!E:E,MATCH(municipalities!$A196,'municipalities per province'!$B:$B,0),0)</f>
        <v>PV30</v>
      </c>
      <c r="I196" s="7" t="str" cm="1">
        <f t="array" ref="I196">INDEX('municipalities per province'!G:G,MATCH(municipalities!$A196,'municipalities per province'!$B:$B,0),0)</f>
        <v>Noordoost-Brabant</v>
      </c>
      <c r="J196" s="7" t="str" cm="1">
        <f t="array" ref="J196">INDEX('municipalities per province'!H:H,MATCH(municipalities!$A196,'municipalities per province'!$B:$B,0),0)</f>
        <v>ES27</v>
      </c>
      <c r="K196" s="7" cm="1">
        <f t="array" ref="K196">INDEX(coordinates!C:C,MATCH(municipalities!$A196,coordinates!$A:$A,0),0)</f>
        <v>5.6937246345979338</v>
      </c>
      <c r="L196" s="7" cm="1">
        <f t="array" ref="L196">INDEX(coordinates!D:D,MATCH(municipalities!$A196,coordinates!$A:$A,0),0)</f>
        <v>51.606672879516438</v>
      </c>
      <c r="M196" s="8">
        <v>1</v>
      </c>
      <c r="N196" s="9">
        <v>11163</v>
      </c>
      <c r="O196" s="9">
        <v>5714</v>
      </c>
      <c r="P196" s="9">
        <v>5449</v>
      </c>
      <c r="Q196" s="9">
        <v>4</v>
      </c>
      <c r="R196" s="10">
        <v>564</v>
      </c>
      <c r="S196" s="11">
        <v>75</v>
      </c>
      <c r="T196" s="11">
        <v>25</v>
      </c>
      <c r="U196" s="12">
        <f t="shared" si="24"/>
        <v>36.299999999999997</v>
      </c>
      <c r="V196" s="12">
        <f t="shared" si="25"/>
        <v>3.2</v>
      </c>
      <c r="W196" s="12">
        <f t="shared" si="26"/>
        <v>5</v>
      </c>
      <c r="X196" s="12">
        <f t="shared" si="27"/>
        <v>6.8</v>
      </c>
      <c r="Y196" s="12">
        <f t="shared" si="28"/>
        <v>248.3</v>
      </c>
      <c r="Z196" s="12" cm="1">
        <f t="array" ref="Z196">INDEX(municipality_wind_potential!$X:$X,MATCH(municipalities!$F196,municipality_wind_potential!$E:$E,0),0)</f>
        <v>4</v>
      </c>
      <c r="AA196" s="12">
        <f t="shared" si="29"/>
        <v>22.4</v>
      </c>
      <c r="AB196" s="12" cm="1">
        <f t="array" ref="AB196">INDEX(municipality_wind_potential!$Y:$Y,MATCH(municipalities!$F196,municipality_wind_potential!$E:$E,0),0) / 3.6</f>
        <v>51.938888888888883</v>
      </c>
      <c r="AC196" s="12">
        <f t="shared" si="30"/>
        <v>43.689104871610276</v>
      </c>
      <c r="AD196" s="12" cm="1">
        <f t="array" ref="AD196">INDEX(municipality_pv_potential!$G:$G,MATCH(municipalities!$A196,municipality_pv_potential!$E:$E,0),0)/3.6*$AH$4</f>
        <v>40.456111111111113</v>
      </c>
      <c r="AE196" s="12">
        <f t="shared" si="31"/>
        <v>121.20230381569475</v>
      </c>
      <c r="AF196" s="12" cm="1">
        <f t="array" ref="AF196">INDEX(municipality_pv_potential!$H:$H,MATCH(municipalities!$A196,municipality_pv_potential!$E:$E,0),0)/3.6</f>
        <v>112.23333333333333</v>
      </c>
      <c r="AG196" s="12"/>
      <c r="AJ196">
        <v>36.299999999999997</v>
      </c>
      <c r="AK196">
        <v>3.2</v>
      </c>
      <c r="AL196">
        <v>5</v>
      </c>
      <c r="AM196">
        <v>6.8</v>
      </c>
      <c r="AN196">
        <v>248.3</v>
      </c>
    </row>
    <row r="197" spans="1:40" x14ac:dyDescent="0.25">
      <c r="A197" s="5" t="s">
        <v>605</v>
      </c>
      <c r="B197" s="6" t="s">
        <v>606</v>
      </c>
      <c r="C197" s="7" t="s">
        <v>607</v>
      </c>
      <c r="D197" s="7" t="s">
        <v>607</v>
      </c>
      <c r="E197" s="7" t="s">
        <v>22</v>
      </c>
      <c r="F197" s="7" t="s">
        <v>605</v>
      </c>
      <c r="G197" s="7" t="str" cm="1">
        <f t="array" ref="G197">INDEX('municipalities per province'!F:F,MATCH(municipalities!A197,'municipalities per province'!B:B,0),0)</f>
        <v>Noord-Brabant</v>
      </c>
      <c r="H197" s="7" t="str" cm="1">
        <f t="array" ref="H197">INDEX('municipalities per province'!E:E,MATCH(municipalities!$A197,'municipalities per province'!$B:$B,0),0)</f>
        <v>PV30</v>
      </c>
      <c r="I197" s="7" t="str" cm="1">
        <f t="array" ref="I197">INDEX('municipalities per province'!G:G,MATCH(municipalities!$A197,'municipalities per province'!$B:$B,0),0)</f>
        <v>Noordoost-Brabant</v>
      </c>
      <c r="J197" s="7" t="str" cm="1">
        <f t="array" ref="J197">INDEX('municipalities per province'!H:H,MATCH(municipalities!$A197,'municipalities per province'!$B:$B,0),0)</f>
        <v>ES27</v>
      </c>
      <c r="K197" s="7" cm="1">
        <f t="array" ref="K197">INDEX(coordinates!C:C,MATCH(municipalities!$A197,coordinates!$A:$A,0),0)</f>
        <v>5.3240318074520436</v>
      </c>
      <c r="L197" s="7" cm="1">
        <f t="array" ref="L197">INDEX(coordinates!D:D,MATCH(municipalities!$A197,coordinates!$A:$A,0),0)</f>
        <v>51.58115717780268</v>
      </c>
      <c r="M197" s="8">
        <v>1</v>
      </c>
      <c r="N197" s="9">
        <v>33748</v>
      </c>
      <c r="O197" s="9">
        <v>16827</v>
      </c>
      <c r="P197" s="9">
        <v>16921</v>
      </c>
      <c r="Q197" s="9">
        <v>3</v>
      </c>
      <c r="R197" s="10">
        <v>1165</v>
      </c>
      <c r="S197" s="11">
        <v>62</v>
      </c>
      <c r="T197" s="11">
        <v>38</v>
      </c>
      <c r="U197" s="12">
        <f t="shared" si="24"/>
        <v>35.6</v>
      </c>
      <c r="V197" s="12">
        <f t="shared" si="25"/>
        <v>4.3</v>
      </c>
      <c r="W197" s="12">
        <f t="shared" si="26"/>
        <v>6.9</v>
      </c>
      <c r="X197" s="12">
        <f t="shared" si="27"/>
        <v>9.5</v>
      </c>
      <c r="Y197" s="12">
        <f t="shared" si="28"/>
        <v>132.80000000000001</v>
      </c>
      <c r="Z197" s="12" cm="1">
        <f t="array" ref="Z197">INDEX(municipality_wind_potential!$X:$X,MATCH(municipalities!$F197,municipality_wind_potential!$E:$E,0),0)</f>
        <v>33</v>
      </c>
      <c r="AA197" s="12">
        <f t="shared" si="29"/>
        <v>184.79999999999998</v>
      </c>
      <c r="AB197" s="12" cm="1">
        <f t="array" ref="AB197">INDEX(municipality_wind_potential!$Y:$Y,MATCH(municipalities!$F197,municipality_wind_potential!$E:$E,0),0) / 3.6</f>
        <v>489.71944444444443</v>
      </c>
      <c r="AC197" s="12">
        <f t="shared" si="30"/>
        <v>61.439884809215258</v>
      </c>
      <c r="AD197" s="12" cm="1">
        <f t="array" ref="AD197">INDEX(municipality_pv_potential!$G:$G,MATCH(municipalities!$A197,municipality_pv_potential!$E:$E,0),0)/3.6*$AH$4</f>
        <v>56.893333333333331</v>
      </c>
      <c r="AE197" s="12">
        <f t="shared" si="31"/>
        <v>128.60271178305734</v>
      </c>
      <c r="AF197" s="12" cm="1">
        <f t="array" ref="AF197">INDEX(municipality_pv_potential!$H:$H,MATCH(municipalities!$A197,municipality_pv_potential!$E:$E,0),0)/3.6</f>
        <v>119.08611111111111</v>
      </c>
      <c r="AG197" s="12"/>
      <c r="AJ197">
        <v>35.6</v>
      </c>
      <c r="AK197">
        <v>4.3</v>
      </c>
      <c r="AL197">
        <v>6.9</v>
      </c>
      <c r="AM197">
        <v>9.5</v>
      </c>
      <c r="AN197">
        <v>132.80000000000001</v>
      </c>
    </row>
    <row r="198" spans="1:40" x14ac:dyDescent="0.25">
      <c r="A198" s="5" t="s">
        <v>608</v>
      </c>
      <c r="B198" s="6" t="s">
        <v>609</v>
      </c>
      <c r="C198" s="7" t="s">
        <v>610</v>
      </c>
      <c r="D198" s="7" t="s">
        <v>610</v>
      </c>
      <c r="E198" s="7" t="s">
        <v>22</v>
      </c>
      <c r="F198" s="7" t="s">
        <v>608</v>
      </c>
      <c r="G198" s="7" t="str" cm="1">
        <f t="array" ref="G198">INDEX('municipalities per province'!F:F,MATCH(municipalities!A198,'municipalities per province'!B:B,0),0)</f>
        <v>Noord-Brabant</v>
      </c>
      <c r="H198" s="7" t="str" cm="1">
        <f t="array" ref="H198">INDEX('municipalities per province'!E:E,MATCH(municipalities!$A198,'municipalities per province'!$B:$B,0),0)</f>
        <v>PV30</v>
      </c>
      <c r="I198" s="7" t="str" cm="1">
        <f t="array" ref="I198">INDEX('municipalities per province'!G:G,MATCH(municipalities!$A198,'municipalities per province'!$B:$B,0),0)</f>
        <v>West-Brabant</v>
      </c>
      <c r="J198" s="7" t="str" cm="1">
        <f t="array" ref="J198">INDEX('municipalities per province'!H:H,MATCH(municipalities!$A198,'municipalities per province'!$B:$B,0),0)</f>
        <v>ES28</v>
      </c>
      <c r="K198" s="7" cm="1">
        <f t="array" ref="K198">INDEX(coordinates!C:C,MATCH(municipalities!$A198,coordinates!$A:$A,0),0)</f>
        <v>4.7614299152730784</v>
      </c>
      <c r="L198" s="7" cm="1">
        <f t="array" ref="L198">INDEX(coordinates!D:D,MATCH(municipalities!$A198,coordinates!$A:$A,0),0)</f>
        <v>51.585132462259139</v>
      </c>
      <c r="M198" s="8">
        <v>1</v>
      </c>
      <c r="N198" s="9">
        <v>186438</v>
      </c>
      <c r="O198" s="9">
        <v>91927</v>
      </c>
      <c r="P198" s="9">
        <v>94511</v>
      </c>
      <c r="Q198" s="9">
        <v>2</v>
      </c>
      <c r="R198" s="10">
        <v>2243</v>
      </c>
      <c r="S198" s="11">
        <v>55</v>
      </c>
      <c r="T198" s="11">
        <v>45</v>
      </c>
      <c r="U198" s="12">
        <f t="shared" si="24"/>
        <v>34.1</v>
      </c>
      <c r="V198" s="12">
        <f t="shared" si="25"/>
        <v>6.8</v>
      </c>
      <c r="W198" s="12">
        <f t="shared" si="26"/>
        <v>10</v>
      </c>
      <c r="X198" s="12">
        <f t="shared" si="27"/>
        <v>12.6</v>
      </c>
      <c r="Y198" s="12">
        <f t="shared" si="28"/>
        <v>84.7</v>
      </c>
      <c r="Z198" s="12" cm="1">
        <f t="array" ref="Z198">INDEX(municipality_wind_potential!$X:$X,MATCH(municipalities!$F198,municipality_wind_potential!$E:$E,0),0)</f>
        <v>36</v>
      </c>
      <c r="AA198" s="12">
        <f t="shared" si="29"/>
        <v>201.6</v>
      </c>
      <c r="AB198" s="12" cm="1">
        <f t="array" ref="AB198">INDEX(municipality_wind_potential!$Y:$Y,MATCH(municipalities!$F198,municipality_wind_potential!$E:$E,0),0) / 3.6</f>
        <v>534.23888888888882</v>
      </c>
      <c r="AC198" s="12">
        <f t="shared" si="30"/>
        <v>256.57247420206386</v>
      </c>
      <c r="AD198" s="12" cm="1">
        <f t="array" ref="AD198">INDEX(municipality_pv_potential!$G:$G,MATCH(municipalities!$A198,municipality_pv_potential!$E:$E,0),0)/3.6*$AH$4</f>
        <v>237.58611111111114</v>
      </c>
      <c r="AE198" s="12">
        <f t="shared" si="31"/>
        <v>192.41360691144706</v>
      </c>
      <c r="AF198" s="12" cm="1">
        <f t="array" ref="AF198">INDEX(municipality_pv_potential!$H:$H,MATCH(municipalities!$A198,municipality_pv_potential!$E:$E,0),0)/3.6</f>
        <v>178.17499999999998</v>
      </c>
      <c r="AG198" s="12"/>
      <c r="AJ198">
        <v>34.1</v>
      </c>
      <c r="AK198">
        <v>6.8</v>
      </c>
      <c r="AL198">
        <v>10</v>
      </c>
      <c r="AM198">
        <v>12.6</v>
      </c>
      <c r="AN198">
        <v>84.7</v>
      </c>
    </row>
    <row r="199" spans="1:40" x14ac:dyDescent="0.25">
      <c r="A199" s="5" t="s">
        <v>611</v>
      </c>
      <c r="B199" s="6" t="s">
        <v>612</v>
      </c>
      <c r="C199" s="7" t="s">
        <v>613</v>
      </c>
      <c r="D199" s="7" t="s">
        <v>613</v>
      </c>
      <c r="E199" s="7" t="s">
        <v>22</v>
      </c>
      <c r="F199" s="7" t="s">
        <v>611</v>
      </c>
      <c r="G199" s="7" t="str" cm="1">
        <f t="array" ref="G199">INDEX('municipalities per province'!F:F,MATCH(municipalities!A199,'municipalities per province'!B:B,0),0)</f>
        <v>Noord-Brabant</v>
      </c>
      <c r="H199" s="7" t="str" cm="1">
        <f t="array" ref="H199">INDEX('municipalities per province'!E:E,MATCH(municipalities!$A199,'municipalities per province'!$B:$B,0),0)</f>
        <v>PV30</v>
      </c>
      <c r="I199" s="7" t="str" cm="1">
        <f t="array" ref="I199">INDEX('municipalities per province'!G:G,MATCH(municipalities!$A199,'municipalities per province'!$B:$B,0),0)</f>
        <v>MetropoolregioEindhoven</v>
      </c>
      <c r="J199" s="7" t="str" cm="1">
        <f t="array" ref="J199">INDEX('municipalities per province'!H:H,MATCH(municipalities!$A199,'municipalities per province'!$B:$B,0),0)</f>
        <v>ES26</v>
      </c>
      <c r="K199" s="7" cm="1">
        <f t="array" ref="K199">INDEX(coordinates!C:C,MATCH(municipalities!$A199,coordinates!$A:$A,0),0)</f>
        <v>5.8269315434024582</v>
      </c>
      <c r="L199" s="7" cm="1">
        <f t="array" ref="L199">INDEX(coordinates!D:D,MATCH(municipalities!$A199,coordinates!$A:$A,0),0)</f>
        <v>51.436237936024469</v>
      </c>
      <c r="M199" s="8">
        <v>1</v>
      </c>
      <c r="N199" s="9">
        <v>32977</v>
      </c>
      <c r="O199" s="9">
        <v>16632</v>
      </c>
      <c r="P199" s="9">
        <v>16345</v>
      </c>
      <c r="Q199" s="9">
        <v>4</v>
      </c>
      <c r="R199" s="10">
        <v>906</v>
      </c>
      <c r="S199" s="11">
        <v>66</v>
      </c>
      <c r="T199" s="11">
        <v>34</v>
      </c>
      <c r="U199" s="12">
        <f t="shared" si="24"/>
        <v>33.9</v>
      </c>
      <c r="V199" s="12">
        <f t="shared" si="25"/>
        <v>4</v>
      </c>
      <c r="W199" s="12">
        <f t="shared" si="26"/>
        <v>6.5</v>
      </c>
      <c r="X199" s="12">
        <f t="shared" si="27"/>
        <v>9.5</v>
      </c>
      <c r="Y199" s="12">
        <f t="shared" si="28"/>
        <v>168.7</v>
      </c>
      <c r="Z199" s="12" cm="1">
        <f t="array" ref="Z199">INDEX(municipality_wind_potential!$X:$X,MATCH(municipalities!$F199,municipality_wind_potential!$E:$E,0),0)</f>
        <v>52</v>
      </c>
      <c r="AA199" s="12">
        <f t="shared" si="29"/>
        <v>291.2</v>
      </c>
      <c r="AB199" s="12" cm="1">
        <f t="array" ref="AB199">INDEX(municipality_wind_potential!$Y:$Y,MATCH(municipalities!$F199,municipality_wind_potential!$E:$E,0),0) / 3.6</f>
        <v>771.68055555555554</v>
      </c>
      <c r="AC199" s="12">
        <f t="shared" si="30"/>
        <v>116.95464362850973</v>
      </c>
      <c r="AD199" s="12" cm="1">
        <f t="array" ref="AD199">INDEX(municipality_pv_potential!$G:$G,MATCH(municipalities!$A199,municipality_pv_potential!$E:$E,0),0)/3.6*$AH$4</f>
        <v>108.30000000000001</v>
      </c>
      <c r="AE199" s="12">
        <f t="shared" si="31"/>
        <v>300.04799616030715</v>
      </c>
      <c r="AF199" s="12" cm="1">
        <f t="array" ref="AF199">INDEX(municipality_pv_potential!$H:$H,MATCH(municipalities!$A199,municipality_pv_potential!$E:$E,0),0)/3.6</f>
        <v>277.84444444444443</v>
      </c>
      <c r="AG199" s="12"/>
      <c r="AJ199">
        <v>33.9</v>
      </c>
      <c r="AK199">
        <v>4</v>
      </c>
      <c r="AL199">
        <v>6.5</v>
      </c>
      <c r="AM199">
        <v>9.5</v>
      </c>
      <c r="AN199">
        <v>168.7</v>
      </c>
    </row>
    <row r="200" spans="1:40" x14ac:dyDescent="0.25">
      <c r="A200" s="5" t="s">
        <v>614</v>
      </c>
      <c r="B200" s="6" t="s">
        <v>615</v>
      </c>
      <c r="C200" s="7" t="s">
        <v>616</v>
      </c>
      <c r="D200" s="7" t="s">
        <v>616</v>
      </c>
      <c r="E200" s="7" t="s">
        <v>22</v>
      </c>
      <c r="F200" s="7" t="s">
        <v>614</v>
      </c>
      <c r="G200" s="7" t="str" cm="1">
        <f t="array" ref="G200">INDEX('municipalities per province'!F:F,MATCH(municipalities!A200,'municipalities per province'!B:B,0),0)</f>
        <v>Groningen</v>
      </c>
      <c r="H200" s="7" t="str" cm="1">
        <f t="array" ref="H200">INDEX('municipalities per province'!E:E,MATCH(municipalities!$A200,'municipalities per province'!$B:$B,0),0)</f>
        <v>PV20</v>
      </c>
      <c r="I200" s="7" t="str" cm="1">
        <f t="array" ref="I200">INDEX('municipalities per province'!G:G,MATCH(municipalities!$A200,'municipalities per province'!$B:$B,0),0)</f>
        <v>Groningen</v>
      </c>
      <c r="J200" s="7" t="str" cm="1">
        <f t="array" ref="J200">INDEX('municipalities per province'!H:H,MATCH(municipalities!$A200,'municipalities per province'!$B:$B,0),0)</f>
        <v>ES01</v>
      </c>
      <c r="K200" s="7" cm="1">
        <f t="array" ref="K200">INDEX(coordinates!C:C,MATCH(municipalities!$A200,coordinates!$A:$A,0),0)</f>
        <v>6.9729691303563399</v>
      </c>
      <c r="L200" s="7" cm="1">
        <f t="array" ref="L200">INDEX(coordinates!D:D,MATCH(municipalities!$A200,coordinates!$A:$A,0),0)</f>
        <v>53.070599705221028</v>
      </c>
      <c r="M200" s="8">
        <v>1</v>
      </c>
      <c r="N200" s="9">
        <v>12404</v>
      </c>
      <c r="O200" s="9">
        <v>6232</v>
      </c>
      <c r="P200" s="9">
        <v>6172</v>
      </c>
      <c r="Q200" s="9">
        <v>4</v>
      </c>
      <c r="R200" s="10">
        <v>534</v>
      </c>
      <c r="S200" s="11">
        <v>64</v>
      </c>
      <c r="T200" s="11">
        <v>36</v>
      </c>
      <c r="U200" s="12">
        <f t="shared" si="24"/>
        <v>27.9</v>
      </c>
      <c r="V200" s="12">
        <f t="shared" si="25"/>
        <v>7.2</v>
      </c>
      <c r="W200" s="12">
        <f t="shared" si="26"/>
        <v>12.8</v>
      </c>
      <c r="X200" s="12">
        <f t="shared" si="27"/>
        <v>16.899999999999999</v>
      </c>
      <c r="Y200" s="12">
        <f t="shared" si="28"/>
        <v>39.700000000000003</v>
      </c>
      <c r="Z200" s="12" cm="1">
        <f t="array" ref="Z200">INDEX(municipality_wind_potential!$X:$X,MATCH(municipalities!$F200,municipality_wind_potential!$E:$E,0),0)</f>
        <v>34</v>
      </c>
      <c r="AA200" s="12">
        <f t="shared" si="29"/>
        <v>190.39999999999998</v>
      </c>
      <c r="AB200" s="12" cm="1">
        <f t="array" ref="AB200">INDEX(municipality_wind_potential!$Y:$Y,MATCH(municipalities!$F200,municipality_wind_potential!$E:$E,0),0) / 3.6</f>
        <v>603.56666666666672</v>
      </c>
      <c r="AC200" s="12">
        <f t="shared" si="30"/>
        <v>30.125989920806333</v>
      </c>
      <c r="AD200" s="12" cm="1">
        <f t="array" ref="AD200">INDEX(municipality_pv_potential!$G:$G,MATCH(municipalities!$A200,municipality_pv_potential!$E:$E,0),0)/3.6*$AH$4</f>
        <v>27.896666666666665</v>
      </c>
      <c r="AE200" s="12">
        <f t="shared" si="31"/>
        <v>180.03359731221502</v>
      </c>
      <c r="AF200" s="12" cm="1">
        <f t="array" ref="AF200">INDEX(municipality_pv_potential!$H:$H,MATCH(municipalities!$A200,municipality_pv_potential!$E:$E,0),0)/3.6</f>
        <v>166.71111111111111</v>
      </c>
      <c r="AG200" s="12"/>
      <c r="AJ200">
        <v>27.9</v>
      </c>
      <c r="AK200">
        <v>7.2</v>
      </c>
      <c r="AL200">
        <v>12.8</v>
      </c>
      <c r="AM200">
        <v>16.899999999999999</v>
      </c>
      <c r="AN200">
        <v>39.700000000000003</v>
      </c>
    </row>
    <row r="201" spans="1:40" x14ac:dyDescent="0.25">
      <c r="A201" s="5" t="s">
        <v>617</v>
      </c>
      <c r="B201" s="6" t="s">
        <v>618</v>
      </c>
      <c r="C201" s="7" t="s">
        <v>619</v>
      </c>
      <c r="D201" s="7" t="s">
        <v>619</v>
      </c>
      <c r="E201" s="7" t="s">
        <v>22</v>
      </c>
      <c r="F201" s="7" t="s">
        <v>617</v>
      </c>
      <c r="G201" s="7" t="str" cm="1">
        <f t="array" ref="G201">INDEX('municipalities per province'!F:F,MATCH(municipalities!A201,'municipalities per province'!B:B,0),0)</f>
        <v>Noord-Brabant</v>
      </c>
      <c r="H201" s="7" t="str" cm="1">
        <f t="array" ref="H201">INDEX('municipalities per province'!E:E,MATCH(municipalities!$A201,'municipalities per province'!$B:$B,0),0)</f>
        <v>PV30</v>
      </c>
      <c r="I201" s="7" t="str" cm="1">
        <f t="array" ref="I201">INDEX('municipalities per province'!G:G,MATCH(municipalities!$A201,'municipalities per province'!$B:$B,0),0)</f>
        <v>HartvanBrabant</v>
      </c>
      <c r="J201" s="7" t="str" cm="1">
        <f t="array" ref="J201">INDEX('municipalities per province'!H:H,MATCH(municipalities!$A201,'municipalities per province'!$B:$B,0),0)</f>
        <v>ES25</v>
      </c>
      <c r="K201" s="7" cm="1">
        <f t="array" ref="K201">INDEX(coordinates!C:C,MATCH(municipalities!$A201,coordinates!$A:$A,0),0)</f>
        <v>4.9554455106592821</v>
      </c>
      <c r="L201" s="7" cm="1">
        <f t="array" ref="L201">INDEX(coordinates!D:D,MATCH(municipalities!$A201,coordinates!$A:$A,0),0)</f>
        <v>51.635888491821831</v>
      </c>
      <c r="M201" s="8">
        <v>1</v>
      </c>
      <c r="N201" s="9">
        <v>27200</v>
      </c>
      <c r="O201" s="9">
        <v>13598</v>
      </c>
      <c r="P201" s="9">
        <v>13602</v>
      </c>
      <c r="Q201" s="9">
        <v>3</v>
      </c>
      <c r="R201" s="10">
        <v>1268</v>
      </c>
      <c r="S201" s="11">
        <v>70</v>
      </c>
      <c r="T201" s="11">
        <v>30</v>
      </c>
      <c r="U201" s="12">
        <f t="shared" si="24"/>
        <v>34.1</v>
      </c>
      <c r="V201" s="12">
        <f t="shared" si="25"/>
        <v>3.9</v>
      </c>
      <c r="W201" s="12">
        <f t="shared" si="26"/>
        <v>6.5</v>
      </c>
      <c r="X201" s="12">
        <f t="shared" si="27"/>
        <v>8.9</v>
      </c>
      <c r="Y201" s="12">
        <f t="shared" si="28"/>
        <v>146.1</v>
      </c>
      <c r="Z201" s="12" cm="1">
        <f t="array" ref="Z201">INDEX(municipality_wind_potential!$X:$X,MATCH(municipalities!$F201,municipality_wind_potential!$E:$E,0),0)</f>
        <v>7</v>
      </c>
      <c r="AA201" s="12">
        <f t="shared" si="29"/>
        <v>39.199999999999996</v>
      </c>
      <c r="AB201" s="12" cm="1">
        <f t="array" ref="AB201">INDEX(municipality_wind_potential!$Y:$Y,MATCH(municipalities!$F201,municipality_wind_potential!$E:$E,0),0) / 3.6</f>
        <v>103.88055555555556</v>
      </c>
      <c r="AC201" s="12">
        <f t="shared" si="30"/>
        <v>51.761459083273337</v>
      </c>
      <c r="AD201" s="12" cm="1">
        <f t="array" ref="AD201">INDEX(municipality_pv_potential!$G:$G,MATCH(municipalities!$A201,municipality_pv_potential!$E:$E,0),0)/3.6*$AH$4</f>
        <v>47.931111111111107</v>
      </c>
      <c r="AE201" s="12">
        <f t="shared" si="31"/>
        <v>79.274658027357802</v>
      </c>
      <c r="AF201" s="12" cm="1">
        <f t="array" ref="AF201">INDEX(municipality_pv_potential!$H:$H,MATCH(municipalities!$A201,municipality_pv_potential!$E:$E,0),0)/3.6</f>
        <v>73.408333333333331</v>
      </c>
      <c r="AG201" s="12"/>
      <c r="AJ201">
        <v>34.1</v>
      </c>
      <c r="AK201">
        <v>3.9</v>
      </c>
      <c r="AL201">
        <v>6.5</v>
      </c>
      <c r="AM201">
        <v>8.9</v>
      </c>
      <c r="AN201">
        <v>146.1</v>
      </c>
    </row>
    <row r="202" spans="1:40" x14ac:dyDescent="0.25">
      <c r="A202" s="5" t="s">
        <v>620</v>
      </c>
      <c r="B202" s="6" t="s">
        <v>621</v>
      </c>
      <c r="C202" s="7" t="s">
        <v>622</v>
      </c>
      <c r="D202" s="7" t="s">
        <v>622</v>
      </c>
      <c r="E202" s="7" t="s">
        <v>22</v>
      </c>
      <c r="F202" s="7" t="s">
        <v>620</v>
      </c>
      <c r="G202" s="7" t="str" cm="1">
        <f t="array" ref="G202">INDEX('municipalities per province'!F:F,MATCH(municipalities!A202,'municipalities per province'!B:B,0),0)</f>
        <v>Noord-Brabant</v>
      </c>
      <c r="H202" s="7" t="str" cm="1">
        <f t="array" ref="H202">INDEX('municipalities per province'!E:E,MATCH(municipalities!$A202,'municipalities per province'!$B:$B,0),0)</f>
        <v>PV30</v>
      </c>
      <c r="I202" s="7" t="str" cm="1">
        <f t="array" ref="I202">INDEX('municipalities per province'!G:G,MATCH(municipalities!$A202,'municipalities per province'!$B:$B,0),0)</f>
        <v>MetropoolregioEindhoven</v>
      </c>
      <c r="J202" s="7" t="str" cm="1">
        <f t="array" ref="J202">INDEX('municipalities per province'!H:H,MATCH(municipalities!$A202,'municipalities per province'!$B:$B,0),0)</f>
        <v>ES26</v>
      </c>
      <c r="K202" s="7" cm="1">
        <f t="array" ref="K202">INDEX(coordinates!C:C,MATCH(municipalities!$A202,coordinates!$A:$A,0),0)</f>
        <v>5.3146151010804923</v>
      </c>
      <c r="L202" s="7" cm="1">
        <f t="array" ref="L202">INDEX(coordinates!D:D,MATCH(municipalities!$A202,coordinates!$A:$A,0),0)</f>
        <v>51.396521652217317</v>
      </c>
      <c r="M202" s="8">
        <v>1</v>
      </c>
      <c r="N202" s="9">
        <v>20004</v>
      </c>
      <c r="O202" s="9">
        <v>10085</v>
      </c>
      <c r="P202" s="9">
        <v>9919</v>
      </c>
      <c r="Q202" s="9">
        <v>4</v>
      </c>
      <c r="R202" s="10">
        <v>587</v>
      </c>
      <c r="S202" s="11">
        <v>74</v>
      </c>
      <c r="T202" s="11">
        <v>26</v>
      </c>
      <c r="U202" s="12">
        <f t="shared" si="24"/>
        <v>40.799999999999997</v>
      </c>
      <c r="V202" s="12">
        <f t="shared" si="25"/>
        <v>2.9</v>
      </c>
      <c r="W202" s="12">
        <f t="shared" si="26"/>
        <v>4.8</v>
      </c>
      <c r="X202" s="12">
        <f t="shared" si="27"/>
        <v>7</v>
      </c>
      <c r="Y202" s="12">
        <f t="shared" si="28"/>
        <v>267</v>
      </c>
      <c r="Z202" s="12" cm="1">
        <f t="array" ref="Z202">INDEX(municipality_wind_potential!$X:$X,MATCH(municipalities!$F202,municipality_wind_potential!$E:$E,0),0)</f>
        <v>27</v>
      </c>
      <c r="AA202" s="12">
        <f t="shared" si="29"/>
        <v>151.19999999999999</v>
      </c>
      <c r="AB202" s="12" cm="1">
        <f t="array" ref="AB202">INDEX(municipality_wind_potential!$Y:$Y,MATCH(municipalities!$F202,municipality_wind_potential!$E:$E,0),0) / 3.6</f>
        <v>393.26111111111112</v>
      </c>
      <c r="AC202" s="12">
        <f t="shared" si="30"/>
        <v>60.906527477801774</v>
      </c>
      <c r="AD202" s="12" cm="1">
        <f t="array" ref="AD202">INDEX(municipality_pv_potential!$G:$G,MATCH(municipalities!$A202,municipality_pv_potential!$E:$E,0),0)/3.6*$AH$4</f>
        <v>56.399444444444441</v>
      </c>
      <c r="AE202" s="12">
        <f t="shared" si="31"/>
        <v>214.59983201343891</v>
      </c>
      <c r="AF202" s="12" cm="1">
        <f t="array" ref="AF202">INDEX(municipality_pv_potential!$H:$H,MATCH(municipalities!$A202,municipality_pv_potential!$E:$E,0),0)/3.6</f>
        <v>198.71944444444443</v>
      </c>
      <c r="AG202" s="12"/>
      <c r="AJ202">
        <v>40.799999999999997</v>
      </c>
      <c r="AK202">
        <v>2.9</v>
      </c>
      <c r="AL202">
        <v>4.8</v>
      </c>
      <c r="AM202">
        <v>7</v>
      </c>
      <c r="AN202">
        <v>267</v>
      </c>
    </row>
    <row r="203" spans="1:40" x14ac:dyDescent="0.25">
      <c r="A203" s="5" t="s">
        <v>623</v>
      </c>
      <c r="B203" s="6" t="s">
        <v>624</v>
      </c>
      <c r="C203" s="7" t="s">
        <v>625</v>
      </c>
      <c r="D203" s="7" t="s">
        <v>625</v>
      </c>
      <c r="E203" s="7" t="s">
        <v>22</v>
      </c>
      <c r="F203" s="7" t="s">
        <v>623</v>
      </c>
      <c r="G203" s="7" t="str" cm="1">
        <f t="array" ref="G203">INDEX('municipalities per province'!F:F,MATCH(municipalities!A203,'municipalities per province'!B:B,0),0)</f>
        <v>Noord-Brabant</v>
      </c>
      <c r="H203" s="7" t="str" cm="1">
        <f t="array" ref="H203">INDEX('municipalities per province'!E:E,MATCH(municipalities!$A203,'municipalities per province'!$B:$B,0),0)</f>
        <v>PV30</v>
      </c>
      <c r="I203" s="7" t="str" cm="1">
        <f t="array" ref="I203">INDEX('municipalities per province'!G:G,MATCH(municipalities!$A203,'municipalities per province'!$B:$B,0),0)</f>
        <v>MetropoolregioEindhoven</v>
      </c>
      <c r="J203" s="7" t="str" cm="1">
        <f t="array" ref="J203">INDEX('municipalities per province'!H:H,MATCH(municipalities!$A203,'municipalities per province'!$B:$B,0),0)</f>
        <v>ES26</v>
      </c>
      <c r="K203" s="7" cm="1">
        <f t="array" ref="K203">INDEX(coordinates!C:C,MATCH(municipalities!$A203,coordinates!$A:$A,0),0)</f>
        <v>5.4585280603084003</v>
      </c>
      <c r="L203" s="7" cm="1">
        <f t="array" ref="L203">INDEX(coordinates!D:D,MATCH(municipalities!$A203,coordinates!$A:$A,0),0)</f>
        <v>51.450166084043907</v>
      </c>
      <c r="M203" s="8">
        <v>1</v>
      </c>
      <c r="N203" s="9">
        <v>243730</v>
      </c>
      <c r="O203" s="9">
        <v>126416</v>
      </c>
      <c r="P203" s="9">
        <v>117314</v>
      </c>
      <c r="Q203" s="9">
        <v>1</v>
      </c>
      <c r="R203" s="10">
        <v>2831</v>
      </c>
      <c r="S203" s="11">
        <v>43</v>
      </c>
      <c r="T203" s="11">
        <v>56</v>
      </c>
      <c r="U203" s="12">
        <f t="shared" si="24"/>
        <v>31.4</v>
      </c>
      <c r="V203" s="12">
        <f t="shared" si="25"/>
        <v>7.9</v>
      </c>
      <c r="W203" s="12">
        <f t="shared" si="26"/>
        <v>11.6</v>
      </c>
      <c r="X203" s="12">
        <f t="shared" si="27"/>
        <v>14.4</v>
      </c>
      <c r="Y203" s="12">
        <f t="shared" si="28"/>
        <v>32.700000000000003</v>
      </c>
      <c r="Z203" s="12" cm="1">
        <f t="array" ref="Z203">INDEX(municipality_wind_potential!$X:$X,MATCH(municipalities!$F203,municipality_wind_potential!$E:$E,0),0)</f>
        <v>7</v>
      </c>
      <c r="AA203" s="12">
        <f t="shared" si="29"/>
        <v>39.199999999999996</v>
      </c>
      <c r="AB203" s="12" cm="1">
        <f t="array" ref="AB203">INDEX(municipality_wind_potential!$Y:$Y,MATCH(municipalities!$F203,municipality_wind_potential!$E:$E,0),0) / 3.6</f>
        <v>96.461111111111109</v>
      </c>
      <c r="AC203" s="12">
        <f t="shared" si="30"/>
        <v>300.73074154067672</v>
      </c>
      <c r="AD203" s="12" cm="1">
        <f t="array" ref="AD203">INDEX(municipality_pv_potential!$G:$G,MATCH(municipalities!$A203,municipality_pv_potential!$E:$E,0),0)/3.6*$AH$4</f>
        <v>278.47666666666663</v>
      </c>
      <c r="AE203" s="12">
        <f t="shared" si="31"/>
        <v>27.813774898008155</v>
      </c>
      <c r="AF203" s="12" cm="1">
        <f t="array" ref="AF203">INDEX(municipality_pv_potential!$H:$H,MATCH(municipalities!$A203,municipality_pv_potential!$E:$E,0),0)/3.6</f>
        <v>25.755555555555553</v>
      </c>
      <c r="AG203" s="12"/>
      <c r="AJ203">
        <v>31.4</v>
      </c>
      <c r="AK203">
        <v>7.9</v>
      </c>
      <c r="AL203">
        <v>11.6</v>
      </c>
      <c r="AM203">
        <v>14.4</v>
      </c>
      <c r="AN203">
        <v>32.700000000000003</v>
      </c>
    </row>
    <row r="204" spans="1:40" x14ac:dyDescent="0.25">
      <c r="A204" s="5" t="s">
        <v>626</v>
      </c>
      <c r="B204" s="6" t="s">
        <v>627</v>
      </c>
      <c r="C204" s="7" t="s">
        <v>628</v>
      </c>
      <c r="D204" s="7" t="s">
        <v>628</v>
      </c>
      <c r="E204" s="7" t="s">
        <v>22</v>
      </c>
      <c r="F204" s="7" t="s">
        <v>626</v>
      </c>
      <c r="G204" s="7" t="str" cm="1">
        <f t="array" ref="G204">INDEX('municipalities per province'!F:F,MATCH(municipalities!A204,'municipalities per province'!B:B,0),0)</f>
        <v>Noord-Brabant</v>
      </c>
      <c r="H204" s="7" t="str" cm="1">
        <f t="array" ref="H204">INDEX('municipalities per province'!E:E,MATCH(municipalities!$A204,'municipalities per province'!$B:$B,0),0)</f>
        <v>PV30</v>
      </c>
      <c r="I204" s="7" t="str" cm="1">
        <f t="array" ref="I204">INDEX('municipalities per province'!G:G,MATCH(municipalities!$A204,'municipalities per province'!$B:$B,0),0)</f>
        <v>West-Brabant</v>
      </c>
      <c r="J204" s="7" t="str" cm="1">
        <f t="array" ref="J204">INDEX('municipalities per province'!H:H,MATCH(municipalities!$A204,'municipalities per province'!$B:$B,0),0)</f>
        <v>ES28</v>
      </c>
      <c r="K204" s="7" cm="1">
        <f t="array" ref="K204">INDEX(coordinates!C:C,MATCH(municipalities!$A204,coordinates!$A:$A,0),0)</f>
        <v>4.6449592601141658</v>
      </c>
      <c r="L204" s="7" cm="1">
        <f t="array" ref="L204">INDEX(coordinates!D:D,MATCH(municipalities!$A204,coordinates!$A:$A,0),0)</f>
        <v>51.578328011893319</v>
      </c>
      <c r="M204" s="8">
        <v>1</v>
      </c>
      <c r="N204" s="9">
        <v>44578</v>
      </c>
      <c r="O204" s="9">
        <v>22007</v>
      </c>
      <c r="P204" s="9">
        <v>22571</v>
      </c>
      <c r="Q204" s="9">
        <v>2</v>
      </c>
      <c r="R204" s="10">
        <v>1718</v>
      </c>
      <c r="S204" s="11">
        <v>64</v>
      </c>
      <c r="T204" s="11">
        <v>36</v>
      </c>
      <c r="U204" s="12">
        <f t="shared" si="24"/>
        <v>33.799999999999997</v>
      </c>
      <c r="V204" s="12">
        <f t="shared" si="25"/>
        <v>5.0999999999999996</v>
      </c>
      <c r="W204" s="12">
        <f t="shared" si="26"/>
        <v>7.7</v>
      </c>
      <c r="X204" s="12">
        <f t="shared" si="27"/>
        <v>10.1</v>
      </c>
      <c r="Y204" s="12">
        <f t="shared" si="28"/>
        <v>126</v>
      </c>
      <c r="Z204" s="12" cm="1">
        <f t="array" ref="Z204">INDEX(municipality_wind_potential!$X:$X,MATCH(municipalities!$F204,municipality_wind_potential!$E:$E,0),0)</f>
        <v>23</v>
      </c>
      <c r="AA204" s="12">
        <f t="shared" si="29"/>
        <v>128.79999999999998</v>
      </c>
      <c r="AB204" s="12" cm="1">
        <f t="array" ref="AB204">INDEX(municipality_wind_potential!$Y:$Y,MATCH(municipalities!$F204,municipality_wind_potential!$E:$E,0),0) / 3.6</f>
        <v>362.88055555555553</v>
      </c>
      <c r="AC204" s="12">
        <f t="shared" si="30"/>
        <v>87.079433645308384</v>
      </c>
      <c r="AD204" s="12" cm="1">
        <f t="array" ref="AD204">INDEX(municipality_pv_potential!$G:$G,MATCH(municipalities!$A204,municipality_pv_potential!$E:$E,0),0)/3.6*$AH$4</f>
        <v>80.63555555555557</v>
      </c>
      <c r="AE204" s="12">
        <f t="shared" si="31"/>
        <v>149.13906887449005</v>
      </c>
      <c r="AF204" s="12" cm="1">
        <f t="array" ref="AF204">INDEX(municipality_pv_potential!$H:$H,MATCH(municipalities!$A204,municipality_pv_potential!$E:$E,0),0)/3.6</f>
        <v>138.10277777777779</v>
      </c>
      <c r="AG204" s="12"/>
      <c r="AJ204">
        <v>33.799999999999997</v>
      </c>
      <c r="AK204">
        <v>5.0999999999999996</v>
      </c>
      <c r="AL204">
        <v>7.7</v>
      </c>
      <c r="AM204">
        <v>10.1</v>
      </c>
      <c r="AN204">
        <v>126</v>
      </c>
    </row>
    <row r="205" spans="1:40" x14ac:dyDescent="0.25">
      <c r="A205" s="5" t="s">
        <v>629</v>
      </c>
      <c r="B205" s="6" t="s">
        <v>630</v>
      </c>
      <c r="C205" s="7" t="s">
        <v>631</v>
      </c>
      <c r="D205" s="7" t="s">
        <v>631</v>
      </c>
      <c r="E205" s="7" t="s">
        <v>22</v>
      </c>
      <c r="F205" s="7" t="s">
        <v>629</v>
      </c>
      <c r="G205" s="7" t="str" cm="1">
        <f t="array" ref="G205">INDEX('municipalities per province'!F:F,MATCH(municipalities!A205,'municipalities per province'!B:B,0),0)</f>
        <v>Noord-Brabant</v>
      </c>
      <c r="H205" s="7" t="str" cm="1">
        <f t="array" ref="H205">INDEX('municipalities per province'!E:E,MATCH(municipalities!$A205,'municipalities per province'!$B:$B,0),0)</f>
        <v>PV30</v>
      </c>
      <c r="I205" s="7" t="str" cm="1">
        <f t="array" ref="I205">INDEX('municipalities per province'!G:G,MATCH(municipalities!$A205,'municipalities per province'!$B:$B,0),0)</f>
        <v>West-Brabant</v>
      </c>
      <c r="J205" s="7" t="str" cm="1">
        <f t="array" ref="J205">INDEX('municipalities per province'!H:H,MATCH(municipalities!$A205,'municipalities per province'!$B:$B,0),0)</f>
        <v>ES28</v>
      </c>
      <c r="K205" s="7" cm="1">
        <f t="array" ref="K205">INDEX(coordinates!C:C,MATCH(municipalities!$A205,coordinates!$A:$A,0),0)</f>
        <v>4.8815809251352018</v>
      </c>
      <c r="L205" s="7" cm="1">
        <f t="array" ref="L205">INDEX(coordinates!D:D,MATCH(municipalities!$A205,coordinates!$A:$A,0),0)</f>
        <v>51.697143711182576</v>
      </c>
      <c r="M205" s="8">
        <v>1</v>
      </c>
      <c r="N205" s="9">
        <v>22099</v>
      </c>
      <c r="O205" s="9">
        <v>10996</v>
      </c>
      <c r="P205" s="9">
        <v>11103</v>
      </c>
      <c r="Q205" s="9">
        <v>3</v>
      </c>
      <c r="R205" s="10">
        <v>1147</v>
      </c>
      <c r="S205" s="11">
        <v>62</v>
      </c>
      <c r="T205" s="11">
        <v>38</v>
      </c>
      <c r="U205" s="12">
        <f t="shared" si="24"/>
        <v>33.700000000000003</v>
      </c>
      <c r="V205" s="12">
        <f t="shared" si="25"/>
        <v>4.4000000000000004</v>
      </c>
      <c r="W205" s="12">
        <f t="shared" si="26"/>
        <v>7.1</v>
      </c>
      <c r="X205" s="12">
        <f t="shared" si="27"/>
        <v>10.199999999999999</v>
      </c>
      <c r="Y205" s="12">
        <f t="shared" si="28"/>
        <v>106</v>
      </c>
      <c r="Z205" s="12" cm="1">
        <f t="array" ref="Z205">INDEX(municipality_wind_potential!$X:$X,MATCH(municipalities!$F205,municipality_wind_potential!$E:$E,0),0)</f>
        <v>10</v>
      </c>
      <c r="AA205" s="12">
        <f t="shared" si="29"/>
        <v>56</v>
      </c>
      <c r="AB205" s="12" cm="1">
        <f t="array" ref="AB205">INDEX(municipality_wind_potential!$Y:$Y,MATCH(municipalities!$F205,municipality_wind_potential!$E:$E,0),0) / 3.6</f>
        <v>161.28055555555557</v>
      </c>
      <c r="AC205" s="12">
        <f t="shared" si="30"/>
        <v>45.969522438204947</v>
      </c>
      <c r="AD205" s="12" cm="1">
        <f t="array" ref="AD205">INDEX(municipality_pv_potential!$G:$G,MATCH(municipalities!$A205,municipality_pv_potential!$E:$E,0),0)/3.6*$AH$4</f>
        <v>42.567777777777785</v>
      </c>
      <c r="AE205" s="12">
        <f t="shared" si="31"/>
        <v>67.551595872330211</v>
      </c>
      <c r="AF205" s="12" cm="1">
        <f t="array" ref="AF205">INDEX(municipality_pv_potential!$H:$H,MATCH(municipalities!$A205,municipality_pv_potential!$E:$E,0),0)/3.6</f>
        <v>62.552777777777777</v>
      </c>
      <c r="AG205" s="12"/>
      <c r="AJ205">
        <v>33.700000000000003</v>
      </c>
      <c r="AK205">
        <v>4.4000000000000004</v>
      </c>
      <c r="AL205">
        <v>7.1</v>
      </c>
      <c r="AM205">
        <v>10.199999999999999</v>
      </c>
      <c r="AN205">
        <v>106</v>
      </c>
    </row>
    <row r="206" spans="1:40" x14ac:dyDescent="0.25">
      <c r="A206" s="5" t="s">
        <v>632</v>
      </c>
      <c r="B206" s="6" t="s">
        <v>633</v>
      </c>
      <c r="C206" s="7" t="s">
        <v>634</v>
      </c>
      <c r="D206" s="7" t="s">
        <v>634</v>
      </c>
      <c r="E206" s="7" t="s">
        <v>22</v>
      </c>
      <c r="F206" s="7" t="s">
        <v>632</v>
      </c>
      <c r="G206" s="7" t="str" cm="1">
        <f t="array" ref="G206">INDEX('municipalities per province'!F:F,MATCH(municipalities!A206,'municipalities per province'!B:B,0),0)</f>
        <v>Noord-Brabant</v>
      </c>
      <c r="H206" s="7" t="str" cm="1">
        <f t="array" ref="H206">INDEX('municipalities per province'!E:E,MATCH(municipalities!$A206,'municipalities per province'!$B:$B,0),0)</f>
        <v>PV30</v>
      </c>
      <c r="I206" s="7" t="str" cm="1">
        <f t="array" ref="I206">INDEX('municipalities per province'!G:G,MATCH(municipalities!$A206,'municipalities per province'!$B:$B,0),0)</f>
        <v>HartvanBrabant</v>
      </c>
      <c r="J206" s="7" t="str" cm="1">
        <f t="array" ref="J206">INDEX('municipalities per province'!H:H,MATCH(municipalities!$A206,'municipalities per province'!$B:$B,0),0)</f>
        <v>ES25</v>
      </c>
      <c r="K206" s="7" cm="1">
        <f t="array" ref="K206">INDEX(coordinates!C:C,MATCH(municipalities!$A206,coordinates!$A:$A,0),0)</f>
        <v>4.9185822989604517</v>
      </c>
      <c r="L206" s="7" cm="1">
        <f t="array" ref="L206">INDEX(coordinates!D:D,MATCH(municipalities!$A206,coordinates!$A:$A,0),0)</f>
        <v>51.559595744170203</v>
      </c>
      <c r="M206" s="8">
        <v>1</v>
      </c>
      <c r="N206" s="9">
        <v>26815</v>
      </c>
      <c r="O206" s="9">
        <v>13503</v>
      </c>
      <c r="P206" s="9">
        <v>13312</v>
      </c>
      <c r="Q206" s="9">
        <v>3</v>
      </c>
      <c r="R206" s="10">
        <v>1101</v>
      </c>
      <c r="S206" s="11">
        <v>64</v>
      </c>
      <c r="T206" s="11">
        <v>36</v>
      </c>
      <c r="U206" s="12">
        <f t="shared" si="24"/>
        <v>33.4</v>
      </c>
      <c r="V206" s="12">
        <f t="shared" si="25"/>
        <v>4.5</v>
      </c>
      <c r="W206" s="12">
        <f t="shared" si="26"/>
        <v>7.4</v>
      </c>
      <c r="X206" s="12">
        <f t="shared" si="27"/>
        <v>10</v>
      </c>
      <c r="Y206" s="12">
        <f t="shared" si="28"/>
        <v>130.5</v>
      </c>
      <c r="Z206" s="12" cm="1">
        <f t="array" ref="Z206">INDEX(municipality_wind_potential!$X:$X,MATCH(municipalities!$F206,municipality_wind_potential!$E:$E,0),0)</f>
        <v>1</v>
      </c>
      <c r="AA206" s="12">
        <f t="shared" si="29"/>
        <v>5.6</v>
      </c>
      <c r="AB206" s="12" cm="1">
        <f t="array" ref="AB206">INDEX(municipality_wind_potential!$Y:$Y,MATCH(municipalities!$F206,municipality_wind_potential!$E:$E,0),0) / 3.6</f>
        <v>7.4194444444444443</v>
      </c>
      <c r="AC206" s="12">
        <f t="shared" si="30"/>
        <v>64.269258459323254</v>
      </c>
      <c r="AD206" s="12" cm="1">
        <f t="array" ref="AD206">INDEX(municipality_pv_potential!$G:$G,MATCH(municipalities!$A206,municipality_pv_potential!$E:$E,0),0)/3.6*$AH$4</f>
        <v>59.513333333333335</v>
      </c>
      <c r="AE206" s="12">
        <f t="shared" si="31"/>
        <v>147.03923686105111</v>
      </c>
      <c r="AF206" s="12" cm="1">
        <f t="array" ref="AF206">INDEX(municipality_pv_potential!$H:$H,MATCH(municipalities!$A206,municipality_pv_potential!$E:$E,0),0)/3.6</f>
        <v>136.15833333333333</v>
      </c>
      <c r="AG206" s="12"/>
      <c r="AJ206">
        <v>33.4</v>
      </c>
      <c r="AK206">
        <v>4.5</v>
      </c>
      <c r="AL206">
        <v>7.4</v>
      </c>
      <c r="AM206">
        <v>10</v>
      </c>
      <c r="AN206">
        <v>130.5</v>
      </c>
    </row>
    <row r="207" spans="1:40" x14ac:dyDescent="0.25">
      <c r="A207" s="5" t="s">
        <v>635</v>
      </c>
      <c r="B207" s="6" t="s">
        <v>636</v>
      </c>
      <c r="C207" s="7" t="s">
        <v>637</v>
      </c>
      <c r="D207" s="7" t="s">
        <v>637</v>
      </c>
      <c r="E207" s="7" t="s">
        <v>22</v>
      </c>
      <c r="F207" s="7" t="s">
        <v>635</v>
      </c>
      <c r="G207" s="7" t="str" cm="1">
        <f t="array" ref="G207">INDEX('municipalities per province'!F:F,MATCH(municipalities!A207,'municipalities per province'!B:B,0),0)</f>
        <v>Noord-Brabant</v>
      </c>
      <c r="H207" s="7" t="str" cm="1">
        <f t="array" ref="H207">INDEX('municipalities per province'!E:E,MATCH(municipalities!$A207,'municipalities per province'!$B:$B,0),0)</f>
        <v>PV30</v>
      </c>
      <c r="I207" s="7" t="str" cm="1">
        <f t="array" ref="I207">INDEX('municipalities per province'!G:G,MATCH(municipalities!$A207,'municipalities per province'!$B:$B,0),0)</f>
        <v>HartvanBrabant</v>
      </c>
      <c r="J207" s="7" t="str" cm="1">
        <f t="array" ref="J207">INDEX('municipalities per province'!H:H,MATCH(municipalities!$A207,'municipalities per province'!$B:$B,0),0)</f>
        <v>ES25</v>
      </c>
      <c r="K207" s="7" cm="1">
        <f t="array" ref="K207">INDEX(coordinates!C:C,MATCH(municipalities!$A207,coordinates!$A:$A,0),0)</f>
        <v>5.0330711223933804</v>
      </c>
      <c r="L207" s="7" cm="1">
        <f t="array" ref="L207">INDEX(coordinates!D:D,MATCH(municipalities!$A207,coordinates!$A:$A,0),0)</f>
        <v>51.512275740951623</v>
      </c>
      <c r="M207" s="8">
        <v>1</v>
      </c>
      <c r="N207" s="9">
        <v>24177</v>
      </c>
      <c r="O207" s="9">
        <v>11955</v>
      </c>
      <c r="P207" s="9">
        <v>12222</v>
      </c>
      <c r="Q207" s="9">
        <v>3</v>
      </c>
      <c r="R207" s="10">
        <v>1198</v>
      </c>
      <c r="S207" s="11">
        <v>71</v>
      </c>
      <c r="T207" s="11">
        <v>29</v>
      </c>
      <c r="U207" s="12">
        <f t="shared" si="24"/>
        <v>35.799999999999997</v>
      </c>
      <c r="V207" s="12">
        <f t="shared" si="25"/>
        <v>3.8</v>
      </c>
      <c r="W207" s="12">
        <f t="shared" si="26"/>
        <v>6.2</v>
      </c>
      <c r="X207" s="12">
        <f t="shared" si="27"/>
        <v>8.8000000000000007</v>
      </c>
      <c r="Y207" s="12">
        <f t="shared" si="28"/>
        <v>175.7</v>
      </c>
      <c r="Z207" s="12" cm="1">
        <f t="array" ref="Z207">INDEX(municipality_wind_potential!$X:$X,MATCH(municipalities!$F207,municipality_wind_potential!$E:$E,0),0)</f>
        <v>27</v>
      </c>
      <c r="AA207" s="12">
        <f t="shared" si="29"/>
        <v>151.19999999999999</v>
      </c>
      <c r="AB207" s="12" cm="1">
        <f t="array" ref="AB207">INDEX(municipality_wind_potential!$Y:$Y,MATCH(municipalities!$F207,municipality_wind_potential!$E:$E,0),0) / 3.6</f>
        <v>393.26111111111112</v>
      </c>
      <c r="AC207" s="12">
        <f t="shared" si="30"/>
        <v>43.152147828173739</v>
      </c>
      <c r="AD207" s="12" cm="1">
        <f t="array" ref="AD207">INDEX(municipality_pv_potential!$G:$G,MATCH(municipalities!$A207,municipality_pv_potential!$E:$E,0),0)/3.6*$AH$4</f>
        <v>39.958888888888886</v>
      </c>
      <c r="AE207" s="12">
        <f t="shared" si="31"/>
        <v>103.60871130309575</v>
      </c>
      <c r="AF207" s="12" cm="1">
        <f t="array" ref="AF207">INDEX(municipality_pv_potential!$H:$H,MATCH(municipalities!$A207,municipality_pv_potential!$E:$E,0),0)/3.6</f>
        <v>95.941666666666663</v>
      </c>
      <c r="AG207" s="12"/>
      <c r="AJ207">
        <v>35.799999999999997</v>
      </c>
      <c r="AK207">
        <v>3.8</v>
      </c>
      <c r="AL207">
        <v>6.2</v>
      </c>
      <c r="AM207">
        <v>8.8000000000000007</v>
      </c>
      <c r="AN207">
        <v>175.7</v>
      </c>
    </row>
    <row r="208" spans="1:40" x14ac:dyDescent="0.25">
      <c r="A208" s="5" t="s">
        <v>638</v>
      </c>
      <c r="B208" s="6" t="s">
        <v>639</v>
      </c>
      <c r="C208" s="7" t="s">
        <v>640</v>
      </c>
      <c r="D208" s="7" t="s">
        <v>640</v>
      </c>
      <c r="E208" s="7" t="s">
        <v>22</v>
      </c>
      <c r="F208" s="7" t="s">
        <v>638</v>
      </c>
      <c r="G208" s="7" t="str" cm="1">
        <f t="array" ref="G208">INDEX('municipalities per province'!F:F,MATCH(municipalities!A208,'municipalities per province'!B:B,0),0)</f>
        <v>Noord-Brabant</v>
      </c>
      <c r="H208" s="7" t="str" cm="1">
        <f t="array" ref="H208">INDEX('municipalities per province'!E:E,MATCH(municipalities!$A208,'municipalities per province'!$B:$B,0),0)</f>
        <v>PV30</v>
      </c>
      <c r="I208" s="7" t="str" cm="1">
        <f t="array" ref="I208">INDEX('municipalities per province'!G:G,MATCH(municipalities!$A208,'municipalities per province'!$B:$B,0),0)</f>
        <v>MetropoolregioEindhoven</v>
      </c>
      <c r="J208" s="7" t="str" cm="1">
        <f t="array" ref="J208">INDEX('municipalities per province'!H:H,MATCH(municipalities!$A208,'municipalities per province'!$B:$B,0),0)</f>
        <v>ES26</v>
      </c>
      <c r="K208" s="7" cm="1">
        <f t="array" ref="K208">INDEX(coordinates!C:C,MATCH(municipalities!$A208,coordinates!$A:$A,0),0)</f>
        <v>5.6569625791034444</v>
      </c>
      <c r="L208" s="7" cm="1">
        <f t="array" ref="L208">INDEX(coordinates!D:D,MATCH(municipalities!$A208,coordinates!$A:$A,0),0)</f>
        <v>51.476149617948543</v>
      </c>
      <c r="M208" s="8">
        <v>1</v>
      </c>
      <c r="N208" s="9">
        <v>94898</v>
      </c>
      <c r="O208" s="9">
        <v>47921</v>
      </c>
      <c r="P208" s="9">
        <v>46977</v>
      </c>
      <c r="Q208" s="9">
        <v>2</v>
      </c>
      <c r="R208" s="10">
        <v>1822</v>
      </c>
      <c r="S208" s="11">
        <v>54</v>
      </c>
      <c r="T208" s="11">
        <v>46</v>
      </c>
      <c r="U208" s="12">
        <f t="shared" si="24"/>
        <v>31.5</v>
      </c>
      <c r="V208" s="12">
        <f t="shared" si="25"/>
        <v>7.7</v>
      </c>
      <c r="W208" s="12">
        <f t="shared" si="26"/>
        <v>11.9</v>
      </c>
      <c r="X208" s="12">
        <f t="shared" si="27"/>
        <v>15.1</v>
      </c>
      <c r="Y208" s="12">
        <f t="shared" si="28"/>
        <v>50.6</v>
      </c>
      <c r="Z208" s="12" cm="1">
        <f t="array" ref="Z208">INDEX(municipality_wind_potential!$X:$X,MATCH(municipalities!$F208,municipality_wind_potential!$E:$E,0),0)</f>
        <v>9</v>
      </c>
      <c r="AA208" s="12">
        <f t="shared" si="29"/>
        <v>50.4</v>
      </c>
      <c r="AB208" s="12" cm="1">
        <f t="array" ref="AB208">INDEX(municipality_wind_potential!$Y:$Y,MATCH(municipalities!$F208,municipality_wind_potential!$E:$E,0),0) / 3.6</f>
        <v>126.13888888888889</v>
      </c>
      <c r="AC208" s="12">
        <f t="shared" si="30"/>
        <v>146.14110871130313</v>
      </c>
      <c r="AD208" s="12" cm="1">
        <f t="array" ref="AD208">INDEX(municipality_pv_potential!$G:$G,MATCH(municipalities!$A208,municipality_pv_potential!$E:$E,0),0)/3.6*$AH$4</f>
        <v>135.32666666666668</v>
      </c>
      <c r="AE208" s="12">
        <f t="shared" si="31"/>
        <v>53.974682025437957</v>
      </c>
      <c r="AF208" s="12" cm="1">
        <f t="array" ref="AF208">INDEX(municipality_pv_potential!$H:$H,MATCH(municipalities!$A208,municipality_pv_potential!$E:$E,0),0)/3.6</f>
        <v>49.980555555555554</v>
      </c>
      <c r="AG208" s="12"/>
      <c r="AJ208">
        <v>31.5</v>
      </c>
      <c r="AK208">
        <v>7.7</v>
      </c>
      <c r="AL208">
        <v>11.9</v>
      </c>
      <c r="AM208">
        <v>15.1</v>
      </c>
      <c r="AN208">
        <v>50.6</v>
      </c>
    </row>
    <row r="209" spans="1:40" x14ac:dyDescent="0.25">
      <c r="A209" s="5" t="s">
        <v>641</v>
      </c>
      <c r="B209" s="6" t="s">
        <v>642</v>
      </c>
      <c r="C209" s="7" t="s">
        <v>643</v>
      </c>
      <c r="D209" s="7" t="s">
        <v>643</v>
      </c>
      <c r="E209" s="7" t="s">
        <v>22</v>
      </c>
      <c r="F209" s="7" t="s">
        <v>641</v>
      </c>
      <c r="G209" s="7" t="str" cm="1">
        <f t="array" ref="G209">INDEX('municipalities per province'!F:F,MATCH(municipalities!A209,'municipalities per province'!B:B,0),0)</f>
        <v>Noord-Brabant</v>
      </c>
      <c r="H209" s="7" t="str" cm="1">
        <f t="array" ref="H209">INDEX('municipalities per province'!E:E,MATCH(municipalities!$A209,'municipalities per province'!$B:$B,0),0)</f>
        <v>PV30</v>
      </c>
      <c r="I209" s="7" t="str" cm="1">
        <f t="array" ref="I209">INDEX('municipalities per province'!G:G,MATCH(municipalities!$A209,'municipalities per province'!$B:$B,0),0)</f>
        <v>Noordoost-Brabant</v>
      </c>
      <c r="J209" s="7" t="str" cm="1">
        <f t="array" ref="J209">INDEX('municipalities per province'!H:H,MATCH(municipalities!$A209,'municipalities per province'!$B:$B,0),0)</f>
        <v>ES27</v>
      </c>
      <c r="K209" s="7" cm="1">
        <f t="array" ref="K209">INDEX(coordinates!C:C,MATCH(municipalities!$A209,coordinates!$A:$A,0),0)</f>
        <v>5.3519393899751897</v>
      </c>
      <c r="L209" s="7" cm="1">
        <f t="array" ref="L209">INDEX(coordinates!D:D,MATCH(municipalities!$A209,coordinates!$A:$A,0),0)</f>
        <v>51.716799024131568</v>
      </c>
      <c r="M209" s="8">
        <v>1</v>
      </c>
      <c r="N209" s="9">
        <v>158753</v>
      </c>
      <c r="O209" s="9">
        <v>78649</v>
      </c>
      <c r="P209" s="9">
        <v>80104</v>
      </c>
      <c r="Q209" s="9">
        <v>2</v>
      </c>
      <c r="R209" s="10">
        <v>2023</v>
      </c>
      <c r="S209" s="11">
        <v>52</v>
      </c>
      <c r="T209" s="11">
        <v>48</v>
      </c>
      <c r="U209" s="12">
        <f t="shared" si="24"/>
        <v>34.4</v>
      </c>
      <c r="V209" s="12">
        <f t="shared" si="25"/>
        <v>6.6</v>
      </c>
      <c r="W209" s="12">
        <f t="shared" si="26"/>
        <v>10.1</v>
      </c>
      <c r="X209" s="12">
        <f t="shared" si="27"/>
        <v>12.9</v>
      </c>
      <c r="Y209" s="12">
        <f t="shared" si="28"/>
        <v>76.900000000000006</v>
      </c>
      <c r="Z209" s="12" cm="1">
        <f t="array" ref="Z209">INDEX(municipality_wind_potential!$X:$X,MATCH(municipalities!$F209,municipality_wind_potential!$E:$E,0),0)</f>
        <v>42</v>
      </c>
      <c r="AA209" s="12">
        <f t="shared" si="29"/>
        <v>235.2</v>
      </c>
      <c r="AB209" s="12" cm="1">
        <f t="array" ref="AB209">INDEX(municipality_wind_potential!$Y:$Y,MATCH(municipalities!$F209,municipality_wind_potential!$E:$E,0),0) / 3.6</f>
        <v>615.86111111111109</v>
      </c>
      <c r="AC209" s="12">
        <f t="shared" si="30"/>
        <v>213.90148788096951</v>
      </c>
      <c r="AD209" s="12" cm="1">
        <f t="array" ref="AD209">INDEX(municipality_pv_potential!$G:$G,MATCH(municipalities!$A209,municipality_pv_potential!$E:$E,0),0)/3.6*$AH$4</f>
        <v>198.07277777777779</v>
      </c>
      <c r="AE209" s="12">
        <f t="shared" si="31"/>
        <v>219.7084233261339</v>
      </c>
      <c r="AF209" s="12" cm="1">
        <f t="array" ref="AF209">INDEX(municipality_pv_potential!$H:$H,MATCH(municipalities!$A209,municipality_pv_potential!$E:$E,0),0)/3.6</f>
        <v>203.45</v>
      </c>
      <c r="AG209" s="12"/>
      <c r="AJ209">
        <v>34.4</v>
      </c>
      <c r="AK209">
        <v>6.6</v>
      </c>
      <c r="AL209">
        <v>10.1</v>
      </c>
      <c r="AM209">
        <v>12.9</v>
      </c>
      <c r="AN209">
        <v>76.900000000000006</v>
      </c>
    </row>
    <row r="210" spans="1:40" x14ac:dyDescent="0.25">
      <c r="A210" s="5" t="s">
        <v>644</v>
      </c>
      <c r="B210" s="6" t="s">
        <v>645</v>
      </c>
      <c r="C210" s="7" t="s">
        <v>646</v>
      </c>
      <c r="D210" s="7" t="s">
        <v>646</v>
      </c>
      <c r="E210" s="7" t="s">
        <v>22</v>
      </c>
      <c r="F210" s="7" t="s">
        <v>644</v>
      </c>
      <c r="G210" s="7" t="str" cm="1">
        <f t="array" ref="G210">INDEX('municipalities per province'!F:F,MATCH(municipalities!A210,'municipalities per province'!B:B,0),0)</f>
        <v>Noord-Brabant</v>
      </c>
      <c r="H210" s="7" t="str" cm="1">
        <f t="array" ref="H210">INDEX('municipalities per province'!E:E,MATCH(municipalities!$A210,'municipalities per province'!$B:$B,0),0)</f>
        <v>PV30</v>
      </c>
      <c r="I210" s="7" t="str" cm="1">
        <f t="array" ref="I210">INDEX('municipalities per province'!G:G,MATCH(municipalities!$A210,'municipalities per province'!$B:$B,0),0)</f>
        <v>HartvanBrabant</v>
      </c>
      <c r="J210" s="7" t="str" cm="1">
        <f t="array" ref="J210">INDEX('municipalities per province'!H:H,MATCH(municipalities!$A210,'municipalities per province'!$B:$B,0),0)</f>
        <v>ES25</v>
      </c>
      <c r="K210" s="7" cm="1">
        <f t="array" ref="K210">INDEX(coordinates!C:C,MATCH(municipalities!$A210,coordinates!$A:$A,0),0)</f>
        <v>5.1602010924458916</v>
      </c>
      <c r="L210" s="7" cm="1">
        <f t="array" ref="L210">INDEX(coordinates!D:D,MATCH(municipalities!$A210,coordinates!$A:$A,0),0)</f>
        <v>51.696771083170518</v>
      </c>
      <c r="M210" s="8">
        <v>1</v>
      </c>
      <c r="N210" s="9">
        <v>45830</v>
      </c>
      <c r="O210" s="9">
        <v>22926</v>
      </c>
      <c r="P210" s="9">
        <v>22904</v>
      </c>
      <c r="Q210" s="9">
        <v>3</v>
      </c>
      <c r="R210" s="10">
        <v>1118</v>
      </c>
      <c r="S210" s="11">
        <v>68</v>
      </c>
      <c r="T210" s="11">
        <v>32</v>
      </c>
      <c r="U210" s="12">
        <f t="shared" si="24"/>
        <v>35.4</v>
      </c>
      <c r="V210" s="12">
        <f t="shared" si="25"/>
        <v>4.0999999999999996</v>
      </c>
      <c r="W210" s="12">
        <f t="shared" si="26"/>
        <v>6.6</v>
      </c>
      <c r="X210" s="12">
        <f t="shared" si="27"/>
        <v>9.1</v>
      </c>
      <c r="Y210" s="12">
        <f t="shared" si="28"/>
        <v>158</v>
      </c>
      <c r="Z210" s="12" cm="1">
        <f t="array" ref="Z210">INDEX(municipality_wind_potential!$X:$X,MATCH(municipalities!$F210,municipality_wind_potential!$E:$E,0),0)</f>
        <v>46</v>
      </c>
      <c r="AA210" s="12">
        <f t="shared" si="29"/>
        <v>257.59999999999997</v>
      </c>
      <c r="AB210" s="12" cm="1">
        <f t="array" ref="AB210">INDEX(municipality_wind_potential!$Y:$Y,MATCH(municipalities!$F210,municipality_wind_potential!$E:$E,0),0) / 3.6</f>
        <v>682.63888888888891</v>
      </c>
      <c r="AC210" s="12">
        <f t="shared" si="30"/>
        <v>85.214782817374612</v>
      </c>
      <c r="AD210" s="12" cm="1">
        <f t="array" ref="AD210">INDEX(municipality_pv_potential!$G:$G,MATCH(municipalities!$A210,municipality_pv_potential!$E:$E,0),0)/3.6*$AH$4</f>
        <v>78.908888888888896</v>
      </c>
      <c r="AE210" s="12">
        <f t="shared" si="31"/>
        <v>183.07535397168226</v>
      </c>
      <c r="AF210" s="12" cm="1">
        <f t="array" ref="AF210">INDEX(municipality_pv_potential!$H:$H,MATCH(municipalities!$A210,municipality_pv_potential!$E:$E,0),0)/3.6</f>
        <v>169.52777777777777</v>
      </c>
      <c r="AG210" s="12"/>
      <c r="AJ210">
        <v>35.4</v>
      </c>
      <c r="AK210">
        <v>4.0999999999999996</v>
      </c>
      <c r="AL210">
        <v>6.6</v>
      </c>
      <c r="AM210">
        <v>9.1</v>
      </c>
      <c r="AN210">
        <v>158</v>
      </c>
    </row>
    <row r="211" spans="1:40" x14ac:dyDescent="0.25">
      <c r="A211" s="5" t="s">
        <v>647</v>
      </c>
      <c r="B211" s="6" t="s">
        <v>648</v>
      </c>
      <c r="C211" s="7" t="s">
        <v>649</v>
      </c>
      <c r="D211" s="7" t="s">
        <v>649</v>
      </c>
      <c r="E211" s="7" t="s">
        <v>22</v>
      </c>
      <c r="F211" s="7" t="s">
        <v>647</v>
      </c>
      <c r="G211" s="7" t="str" cm="1">
        <f t="array" ref="G211">INDEX('municipalities per province'!F:F,MATCH(municipalities!A211,'municipalities per province'!B:B,0),0)</f>
        <v>Noord-Brabant</v>
      </c>
      <c r="H211" s="7" t="str" cm="1">
        <f t="array" ref="H211">INDEX('municipalities per province'!E:E,MATCH(municipalities!$A211,'municipalities per province'!$B:$B,0),0)</f>
        <v>PV30</v>
      </c>
      <c r="I211" s="7" t="str" cm="1">
        <f t="array" ref="I211">INDEX('municipalities per province'!G:G,MATCH(municipalities!$A211,'municipalities per province'!$B:$B,0),0)</f>
        <v>HartvanBrabant</v>
      </c>
      <c r="J211" s="7" t="str" cm="1">
        <f t="array" ref="J211">INDEX('municipalities per province'!H:H,MATCH(municipalities!$A211,'municipalities per province'!$B:$B,0),0)</f>
        <v>ES25</v>
      </c>
      <c r="K211" s="7" cm="1">
        <f t="array" ref="K211">INDEX(coordinates!C:C,MATCH(municipalities!$A211,coordinates!$A:$A,0),0)</f>
        <v>5.1454553868470763</v>
      </c>
      <c r="L211" s="7" cm="1">
        <f t="array" ref="L211">INDEX(coordinates!D:D,MATCH(municipalities!$A211,coordinates!$A:$A,0),0)</f>
        <v>51.479531338784277</v>
      </c>
      <c r="M211" s="8">
        <v>1</v>
      </c>
      <c r="N211" s="9">
        <v>15949</v>
      </c>
      <c r="O211" s="9">
        <v>7959</v>
      </c>
      <c r="P211" s="9">
        <v>7990</v>
      </c>
      <c r="Q211" s="9">
        <v>4</v>
      </c>
      <c r="R211" s="10">
        <v>595</v>
      </c>
      <c r="S211" s="11">
        <v>75</v>
      </c>
      <c r="T211" s="11">
        <v>25</v>
      </c>
      <c r="U211" s="12">
        <f t="shared" si="24"/>
        <v>37.5</v>
      </c>
      <c r="V211" s="12">
        <f t="shared" si="25"/>
        <v>3.3</v>
      </c>
      <c r="W211" s="12">
        <f t="shared" si="26"/>
        <v>5.4</v>
      </c>
      <c r="X211" s="12">
        <f t="shared" si="27"/>
        <v>7.3</v>
      </c>
      <c r="Y211" s="12">
        <f t="shared" si="28"/>
        <v>287.10000000000002</v>
      </c>
      <c r="Z211" s="12" cm="1">
        <f t="array" ref="Z211">INDEX(municipality_wind_potential!$X:$X,MATCH(municipalities!$F211,municipality_wind_potential!$E:$E,0),0)</f>
        <v>58</v>
      </c>
      <c r="AA211" s="12">
        <f t="shared" si="29"/>
        <v>324.79999999999995</v>
      </c>
      <c r="AB211" s="12" cm="1">
        <f t="array" ref="AB211">INDEX(municipality_wind_potential!$Y:$Y,MATCH(municipalities!$F211,municipality_wind_potential!$E:$E,0),0) / 3.6</f>
        <v>860.71944444444443</v>
      </c>
      <c r="AC211" s="12">
        <f t="shared" si="30"/>
        <v>58.596712263018965</v>
      </c>
      <c r="AD211" s="12" cm="1">
        <f t="array" ref="AD211">INDEX(municipality_pv_potential!$G:$G,MATCH(municipalities!$A211,municipality_pv_potential!$E:$E,0),0)/3.6*$AH$4</f>
        <v>54.260555555555563</v>
      </c>
      <c r="AE211" s="12">
        <f t="shared" si="31"/>
        <v>248.12814974802015</v>
      </c>
      <c r="AF211" s="12" cm="1">
        <f t="array" ref="AF211">INDEX(municipality_pv_potential!$H:$H,MATCH(municipalities!$A211,municipality_pv_potential!$E:$E,0),0)/3.6</f>
        <v>229.76666666666665</v>
      </c>
      <c r="AG211" s="12"/>
      <c r="AJ211">
        <v>37.5</v>
      </c>
      <c r="AK211">
        <v>3.3</v>
      </c>
      <c r="AL211">
        <v>5.4</v>
      </c>
      <c r="AM211">
        <v>7.3</v>
      </c>
      <c r="AN211">
        <v>287.10000000000002</v>
      </c>
    </row>
    <row r="212" spans="1:40" x14ac:dyDescent="0.25">
      <c r="A212" s="5" t="s">
        <v>650</v>
      </c>
      <c r="B212" s="6" t="s">
        <v>651</v>
      </c>
      <c r="C212" s="7" t="s">
        <v>652</v>
      </c>
      <c r="D212" s="7" t="s">
        <v>652</v>
      </c>
      <c r="E212" s="7" t="s">
        <v>22</v>
      </c>
      <c r="F212" s="7" t="s">
        <v>650</v>
      </c>
      <c r="G212" s="7" t="str" cm="1">
        <f t="array" ref="G212">INDEX('municipalities per province'!F:F,MATCH(municipalities!A212,'municipalities per province'!B:B,0),0)</f>
        <v>Noord-Brabant</v>
      </c>
      <c r="H212" s="7" t="str" cm="1">
        <f t="array" ref="H212">INDEX('municipalities per province'!E:E,MATCH(municipalities!$A212,'municipalities per province'!$B:$B,0),0)</f>
        <v>PV30</v>
      </c>
      <c r="I212" s="7" t="str" cm="1">
        <f t="array" ref="I212">INDEX('municipalities per province'!G:G,MATCH(municipalities!$A212,'municipalities per province'!$B:$B,0),0)</f>
        <v>HartvanBrabant</v>
      </c>
      <c r="J212" s="7" t="str" cm="1">
        <f t="array" ref="J212">INDEX('municipalities per province'!H:H,MATCH(municipalities!$A212,'municipalities per province'!$B:$B,0),0)</f>
        <v>ES25</v>
      </c>
      <c r="K212" s="7" cm="1">
        <f t="array" ref="K212">INDEX(coordinates!C:C,MATCH(municipalities!$A212,coordinates!$A:$A,0),0)</f>
        <v>5.0475399003613077</v>
      </c>
      <c r="L212" s="7" cm="1">
        <f t="array" ref="L212">INDEX(coordinates!D:D,MATCH(municipalities!$A212,coordinates!$A:$A,0),0)</f>
        <v>51.640571924346567</v>
      </c>
      <c r="M212" s="8">
        <v>1</v>
      </c>
      <c r="N212" s="9">
        <v>23797</v>
      </c>
      <c r="O212" s="9">
        <v>11761</v>
      </c>
      <c r="P212" s="9">
        <v>12036</v>
      </c>
      <c r="Q212" s="9">
        <v>3</v>
      </c>
      <c r="R212" s="10">
        <v>1060</v>
      </c>
      <c r="S212" s="11">
        <v>65</v>
      </c>
      <c r="T212" s="11">
        <v>35</v>
      </c>
      <c r="U212" s="12">
        <f t="shared" si="24"/>
        <v>34.799999999999997</v>
      </c>
      <c r="V212" s="12">
        <f t="shared" si="25"/>
        <v>4.2</v>
      </c>
      <c r="W212" s="12">
        <f t="shared" si="26"/>
        <v>7</v>
      </c>
      <c r="X212" s="12">
        <f t="shared" si="27"/>
        <v>9.8000000000000007</v>
      </c>
      <c r="Y212" s="12">
        <f t="shared" si="28"/>
        <v>133</v>
      </c>
      <c r="Z212" s="12" cm="1">
        <f t="array" ref="Z212">INDEX(municipality_wind_potential!$X:$X,MATCH(municipalities!$F212,municipality_wind_potential!$E:$E,0),0)</f>
        <v>32</v>
      </c>
      <c r="AA212" s="12">
        <f t="shared" si="29"/>
        <v>179.2</v>
      </c>
      <c r="AB212" s="12" cm="1">
        <f t="array" ref="AB212">INDEX(municipality_wind_potential!$Y:$Y,MATCH(municipalities!$F212,municipality_wind_potential!$E:$E,0),0) / 3.6</f>
        <v>467.46111111111105</v>
      </c>
      <c r="AC212" s="12">
        <f t="shared" si="30"/>
        <v>44.662227021838255</v>
      </c>
      <c r="AD212" s="12" cm="1">
        <f t="array" ref="AD212">INDEX(municipality_pv_potential!$G:$G,MATCH(municipalities!$A212,municipality_pv_potential!$E:$E,0),0)/3.6*$AH$4</f>
        <v>41.357222222222219</v>
      </c>
      <c r="AE212" s="12">
        <f t="shared" si="31"/>
        <v>80.762538996880252</v>
      </c>
      <c r="AF212" s="12" cm="1">
        <f t="array" ref="AF212">INDEX(municipality_pv_potential!$H:$H,MATCH(municipalities!$A212,municipality_pv_potential!$E:$E,0),0)/3.6</f>
        <v>74.786111111111111</v>
      </c>
      <c r="AG212" s="12"/>
      <c r="AJ212">
        <v>34.799999999999997</v>
      </c>
      <c r="AK212">
        <v>4.2</v>
      </c>
      <c r="AL212">
        <v>7</v>
      </c>
      <c r="AM212">
        <v>9.8000000000000007</v>
      </c>
      <c r="AN212">
        <v>133</v>
      </c>
    </row>
    <row r="213" spans="1:40" x14ac:dyDescent="0.25">
      <c r="A213" s="5" t="s">
        <v>653</v>
      </c>
      <c r="B213" s="6" t="s">
        <v>654</v>
      </c>
      <c r="C213" s="7" t="s">
        <v>655</v>
      </c>
      <c r="D213" s="7" t="s">
        <v>655</v>
      </c>
      <c r="E213" s="7" t="s">
        <v>22</v>
      </c>
      <c r="F213" s="7" t="s">
        <v>653</v>
      </c>
      <c r="G213" s="7" t="str" cm="1">
        <f t="array" ref="G213">INDEX('municipalities per province'!F:F,MATCH(municipalities!A213,'municipalities per province'!B:B,0),0)</f>
        <v>Noord-Brabant</v>
      </c>
      <c r="H213" s="7" t="str" cm="1">
        <f t="array" ref="H213">INDEX('municipalities per province'!E:E,MATCH(municipalities!$A213,'municipalities per province'!$B:$B,0),0)</f>
        <v>PV30</v>
      </c>
      <c r="I213" s="7" t="str" cm="1">
        <f t="array" ref="I213">INDEX('municipalities per province'!G:G,MATCH(municipalities!$A213,'municipalities per province'!$B:$B,0),0)</f>
        <v>MetropoolregioEindhoven</v>
      </c>
      <c r="J213" s="7" t="str" cm="1">
        <f t="array" ref="J213">INDEX('municipalities per province'!H:H,MATCH(municipalities!$A213,'municipalities per province'!$B:$B,0),0)</f>
        <v>ES26</v>
      </c>
      <c r="K213" s="7" cm="1">
        <f t="array" ref="K213">INDEX(coordinates!C:C,MATCH(municipalities!$A213,coordinates!$A:$A,0),0)</f>
        <v>5.5494609670530544</v>
      </c>
      <c r="L213" s="7" cm="1">
        <f t="array" ref="L213">INDEX(coordinates!D:D,MATCH(municipalities!$A213,coordinates!$A:$A,0),0)</f>
        <v>51.478609489912998</v>
      </c>
      <c r="M213" s="8">
        <v>1</v>
      </c>
      <c r="N213" s="9">
        <v>24015</v>
      </c>
      <c r="O213" s="9">
        <v>11877</v>
      </c>
      <c r="P213" s="9">
        <v>12138</v>
      </c>
      <c r="Q213" s="9">
        <v>3</v>
      </c>
      <c r="R213" s="10">
        <v>1144</v>
      </c>
      <c r="S213" s="11">
        <v>75</v>
      </c>
      <c r="T213" s="11">
        <v>25</v>
      </c>
      <c r="U213" s="12">
        <f t="shared" si="24"/>
        <v>39.4</v>
      </c>
      <c r="V213" s="12">
        <f t="shared" si="25"/>
        <v>3.6</v>
      </c>
      <c r="W213" s="12">
        <f t="shared" si="26"/>
        <v>5.2</v>
      </c>
      <c r="X213" s="12">
        <f t="shared" si="27"/>
        <v>6.9</v>
      </c>
      <c r="Y213" s="12">
        <f t="shared" si="28"/>
        <v>258.3</v>
      </c>
      <c r="Z213" s="12" cm="1">
        <f t="array" ref="Z213">INDEX(municipality_wind_potential!$X:$X,MATCH(municipalities!$F213,municipality_wind_potential!$E:$E,0),0)</f>
        <v>12</v>
      </c>
      <c r="AA213" s="12">
        <f t="shared" si="29"/>
        <v>67.199999999999989</v>
      </c>
      <c r="AB213" s="12" cm="1">
        <f t="array" ref="AB213">INDEX(municipality_wind_potential!$Y:$Y,MATCH(municipalities!$F213,municipality_wind_potential!$E:$E,0),0) / 3.6</f>
        <v>178.08055555555555</v>
      </c>
      <c r="AC213" s="12">
        <f t="shared" si="30"/>
        <v>47.036237101031922</v>
      </c>
      <c r="AD213" s="12" cm="1">
        <f t="array" ref="AD213">INDEX(municipality_pv_potential!$G:$G,MATCH(municipalities!$A213,municipality_pv_potential!$E:$E,0),0)/3.6*$AH$4</f>
        <v>43.555555555555557</v>
      </c>
      <c r="AE213" s="12">
        <f t="shared" si="31"/>
        <v>70.572354211663068</v>
      </c>
      <c r="AF213" s="12" cm="1">
        <f t="array" ref="AF213">INDEX(municipality_pv_potential!$H:$H,MATCH(municipalities!$A213,municipality_pv_potential!$E:$E,0),0)/3.6</f>
        <v>65.349999999999994</v>
      </c>
      <c r="AG213" s="12"/>
      <c r="AJ213">
        <v>39.4</v>
      </c>
      <c r="AK213">
        <v>3.6</v>
      </c>
      <c r="AL213">
        <v>5.2</v>
      </c>
      <c r="AM213">
        <v>6.9</v>
      </c>
      <c r="AN213">
        <v>258.3</v>
      </c>
    </row>
    <row r="214" spans="1:40" x14ac:dyDescent="0.25">
      <c r="A214" s="5" t="s">
        <v>656</v>
      </c>
      <c r="B214" s="6" t="s">
        <v>657</v>
      </c>
      <c r="C214" s="7" t="s">
        <v>658</v>
      </c>
      <c r="D214" s="7" t="s">
        <v>658</v>
      </c>
      <c r="E214" s="7" t="s">
        <v>22</v>
      </c>
      <c r="F214" s="7" t="s">
        <v>656</v>
      </c>
      <c r="G214" s="7" t="str" cm="1">
        <f t="array" ref="G214">INDEX('municipalities per province'!F:F,MATCH(municipalities!A214,'municipalities per province'!B:B,0),0)</f>
        <v>Noord-Brabant</v>
      </c>
      <c r="H214" s="7" t="str" cm="1">
        <f t="array" ref="H214">INDEX('municipalities per province'!E:E,MATCH(municipalities!$A214,'municipalities per province'!$B:$B,0),0)</f>
        <v>PV30</v>
      </c>
      <c r="I214" s="7" t="str" cm="1">
        <f t="array" ref="I214">INDEX('municipalities per province'!G:G,MATCH(municipalities!$A214,'municipalities per province'!$B:$B,0),0)</f>
        <v>MetropoolregioEindhoven</v>
      </c>
      <c r="J214" s="7" t="str" cm="1">
        <f t="array" ref="J214">INDEX('municipalities per province'!H:H,MATCH(municipalities!$A214,'municipalities per province'!$B:$B,0),0)</f>
        <v>ES26</v>
      </c>
      <c r="K214" s="7" cm="1">
        <f t="array" ref="K214">INDEX(coordinates!C:C,MATCH(municipalities!$A214,coordinates!$A:$A,0),0)</f>
        <v>5.2898015058919636</v>
      </c>
      <c r="L214" s="7" cm="1">
        <f t="array" ref="L214">INDEX(coordinates!D:D,MATCH(municipalities!$A214,coordinates!$A:$A,0),0)</f>
        <v>51.492625037173838</v>
      </c>
      <c r="M214" s="8">
        <v>1</v>
      </c>
      <c r="N214" s="9">
        <v>19217</v>
      </c>
      <c r="O214" s="9">
        <v>9717</v>
      </c>
      <c r="P214" s="9">
        <v>9500</v>
      </c>
      <c r="Q214" s="9">
        <v>4</v>
      </c>
      <c r="R214" s="10">
        <v>628</v>
      </c>
      <c r="S214" s="11">
        <v>75</v>
      </c>
      <c r="T214" s="11">
        <v>24</v>
      </c>
      <c r="U214" s="12">
        <f t="shared" si="24"/>
        <v>38.5</v>
      </c>
      <c r="V214" s="12">
        <f t="shared" si="25"/>
        <v>3.1</v>
      </c>
      <c r="W214" s="12">
        <f t="shared" si="26"/>
        <v>4.5999999999999996</v>
      </c>
      <c r="X214" s="12">
        <f t="shared" si="27"/>
        <v>6.5</v>
      </c>
      <c r="Y214" s="12">
        <f t="shared" si="28"/>
        <v>297.2</v>
      </c>
      <c r="Z214" s="12" cm="1">
        <f t="array" ref="Z214">INDEX(municipality_wind_potential!$X:$X,MATCH(municipalities!$F214,municipality_wind_potential!$E:$E,0),0)</f>
        <v>49</v>
      </c>
      <c r="AA214" s="12">
        <f t="shared" si="29"/>
        <v>274.39999999999998</v>
      </c>
      <c r="AB214" s="12" cm="1">
        <f t="array" ref="AB214">INDEX(municipality_wind_potential!$Y:$Y,MATCH(municipalities!$F214,municipality_wind_potential!$E:$E,0),0) / 3.6</f>
        <v>719.73888888888882</v>
      </c>
      <c r="AC214" s="12">
        <f t="shared" si="30"/>
        <v>64.886609071274307</v>
      </c>
      <c r="AD214" s="12" cm="1">
        <f t="array" ref="AD214">INDEX(municipality_pv_potential!$G:$G,MATCH(municipalities!$A214,municipality_pv_potential!$E:$E,0),0)/3.6*$AH$4</f>
        <v>60.085000000000008</v>
      </c>
      <c r="AE214" s="12">
        <f t="shared" si="31"/>
        <v>234.5152387808975</v>
      </c>
      <c r="AF214" s="12" cm="1">
        <f t="array" ref="AF214">INDEX(municipality_pv_potential!$H:$H,MATCH(municipalities!$A214,municipality_pv_potential!$E:$E,0),0)/3.6</f>
        <v>217.1611111111111</v>
      </c>
      <c r="AG214" s="12"/>
      <c r="AJ214">
        <v>38.5</v>
      </c>
      <c r="AK214">
        <v>3.1</v>
      </c>
      <c r="AL214">
        <v>4.5999999999999996</v>
      </c>
      <c r="AM214">
        <v>6.5</v>
      </c>
      <c r="AN214">
        <v>297.2</v>
      </c>
    </row>
    <row r="215" spans="1:40" x14ac:dyDescent="0.25">
      <c r="A215" s="5" t="s">
        <v>659</v>
      </c>
      <c r="B215" s="6" t="s">
        <v>660</v>
      </c>
      <c r="C215" s="7" t="s">
        <v>661</v>
      </c>
      <c r="D215" s="7" t="s">
        <v>661</v>
      </c>
      <c r="E215" s="7" t="s">
        <v>22</v>
      </c>
      <c r="F215" s="7" t="s">
        <v>659</v>
      </c>
      <c r="G215" s="7" t="str" cm="1">
        <f t="array" ref="G215">INDEX('municipalities per province'!F:F,MATCH(municipalities!A215,'municipalities per province'!B:B,0),0)</f>
        <v>Noord-Brabant</v>
      </c>
      <c r="H215" s="7" t="str" cm="1">
        <f t="array" ref="H215">INDEX('municipalities per province'!E:E,MATCH(municipalities!$A215,'municipalities per province'!$B:$B,0),0)</f>
        <v>PV30</v>
      </c>
      <c r="I215" s="7" t="str" cm="1">
        <f t="array" ref="I215">INDEX('municipalities per province'!G:G,MATCH(municipalities!$A215,'municipalities per province'!$B:$B,0),0)</f>
        <v>HartvanBrabant</v>
      </c>
      <c r="J215" s="7" t="str" cm="1">
        <f t="array" ref="J215">INDEX('municipalities per province'!H:H,MATCH(municipalities!$A215,'municipalities per province'!$B:$B,0),0)</f>
        <v>ES25</v>
      </c>
      <c r="K215" s="7" cm="1">
        <f t="array" ref="K215">INDEX(coordinates!C:C,MATCH(municipalities!$A215,coordinates!$A:$A,0),0)</f>
        <v>5.2044958437850219</v>
      </c>
      <c r="L215" s="7" cm="1">
        <f t="array" ref="L215">INDEX(coordinates!D:D,MATCH(municipalities!$A215,coordinates!$A:$A,0),0)</f>
        <v>51.562478859063567</v>
      </c>
      <c r="M215" s="8">
        <v>1</v>
      </c>
      <c r="N215" s="9">
        <v>32941</v>
      </c>
      <c r="O215" s="9">
        <v>16387</v>
      </c>
      <c r="P215" s="9">
        <v>16554</v>
      </c>
      <c r="Q215" s="9">
        <v>4</v>
      </c>
      <c r="R215" s="10">
        <v>936</v>
      </c>
      <c r="S215" s="11">
        <v>68</v>
      </c>
      <c r="T215" s="11">
        <v>31</v>
      </c>
      <c r="U215" s="12">
        <f t="shared" si="24"/>
        <v>39.200000000000003</v>
      </c>
      <c r="V215" s="12">
        <f t="shared" si="25"/>
        <v>4.0999999999999996</v>
      </c>
      <c r="W215" s="12">
        <f t="shared" si="26"/>
        <v>6.8</v>
      </c>
      <c r="X215" s="12">
        <f t="shared" si="27"/>
        <v>9.1</v>
      </c>
      <c r="Y215" s="12">
        <f t="shared" si="28"/>
        <v>217.8</v>
      </c>
      <c r="Z215" s="12" cm="1">
        <f t="array" ref="Z215">INDEX(municipality_wind_potential!$X:$X,MATCH(municipalities!$F215,municipality_wind_potential!$E:$E,0),0)</f>
        <v>30</v>
      </c>
      <c r="AA215" s="12">
        <f t="shared" si="29"/>
        <v>168</v>
      </c>
      <c r="AB215" s="12" cm="1">
        <f t="array" ref="AB215">INDEX(municipality_wind_potential!$Y:$Y,MATCH(municipalities!$F215,municipality_wind_potential!$E:$E,0),0) / 3.6</f>
        <v>437.78055555555557</v>
      </c>
      <c r="AC215" s="12">
        <f t="shared" si="30"/>
        <v>59.955603551715861</v>
      </c>
      <c r="AD215" s="12" cm="1">
        <f t="array" ref="AD215">INDEX(municipality_pv_potential!$G:$G,MATCH(municipalities!$A215,municipality_pv_potential!$E:$E,0),0)/3.6*$AH$4</f>
        <v>55.518888888888888</v>
      </c>
      <c r="AE215" s="12">
        <f t="shared" si="31"/>
        <v>150.52495800335976</v>
      </c>
      <c r="AF215" s="12" cm="1">
        <f t="array" ref="AF215">INDEX(municipality_pv_potential!$H:$H,MATCH(municipalities!$A215,municipality_pv_potential!$E:$E,0),0)/3.6</f>
        <v>139.38611111111112</v>
      </c>
      <c r="AG215" s="12"/>
      <c r="AJ215">
        <v>39.200000000000003</v>
      </c>
      <c r="AK215">
        <v>4.0999999999999996</v>
      </c>
      <c r="AL215">
        <v>6.8</v>
      </c>
      <c r="AM215">
        <v>9.1</v>
      </c>
      <c r="AN215">
        <v>217.8</v>
      </c>
    </row>
    <row r="216" spans="1:40" x14ac:dyDescent="0.25">
      <c r="A216" s="5" t="s">
        <v>662</v>
      </c>
      <c r="B216" s="6" t="s">
        <v>663</v>
      </c>
      <c r="C216" s="7" t="s">
        <v>664</v>
      </c>
      <c r="D216" s="7" t="s">
        <v>664</v>
      </c>
      <c r="E216" s="7" t="s">
        <v>22</v>
      </c>
      <c r="F216" s="7" t="s">
        <v>662</v>
      </c>
      <c r="G216" s="7" t="str" cm="1">
        <f t="array" ref="G216">INDEX('municipalities per province'!F:F,MATCH(municipalities!A216,'municipalities per province'!B:B,0),0)</f>
        <v>Noord-Brabant</v>
      </c>
      <c r="H216" s="7" t="str" cm="1">
        <f t="array" ref="H216">INDEX('municipalities per province'!E:E,MATCH(municipalities!$A216,'municipalities per province'!$B:$B,0),0)</f>
        <v>PV30</v>
      </c>
      <c r="I216" s="7" t="str" cm="1">
        <f t="array" ref="I216">INDEX('municipalities per province'!G:G,MATCH(municipalities!$A216,'municipalities per province'!$B:$B,0),0)</f>
        <v>West-Brabant</v>
      </c>
      <c r="J216" s="7" t="str" cm="1">
        <f t="array" ref="J216">INDEX('municipalities per province'!H:H,MATCH(municipalities!$A216,'municipalities per province'!$B:$B,0),0)</f>
        <v>ES28</v>
      </c>
      <c r="K216" s="7" cm="1">
        <f t="array" ref="K216">INDEX(coordinates!C:C,MATCH(municipalities!$A216,coordinates!$A:$A,0),0)</f>
        <v>4.8640620161255157</v>
      </c>
      <c r="L216" s="7" cm="1">
        <f t="array" ref="L216">INDEX(coordinates!D:D,MATCH(municipalities!$A216,coordinates!$A:$A,0),0)</f>
        <v>51.637782896029023</v>
      </c>
      <c r="M216" s="8">
        <v>1</v>
      </c>
      <c r="N216" s="9">
        <v>57425</v>
      </c>
      <c r="O216" s="9">
        <v>28247</v>
      </c>
      <c r="P216" s="9">
        <v>29178</v>
      </c>
      <c r="Q216" s="9">
        <v>2</v>
      </c>
      <c r="R216" s="10">
        <v>1572</v>
      </c>
      <c r="S216" s="11">
        <v>61</v>
      </c>
      <c r="T216" s="11">
        <v>39</v>
      </c>
      <c r="U216" s="12">
        <f t="shared" si="24"/>
        <v>34</v>
      </c>
      <c r="V216" s="12">
        <f t="shared" si="25"/>
        <v>5.2</v>
      </c>
      <c r="W216" s="12">
        <f t="shared" si="26"/>
        <v>8</v>
      </c>
      <c r="X216" s="12">
        <f t="shared" si="27"/>
        <v>11</v>
      </c>
      <c r="Y216" s="12">
        <f t="shared" si="28"/>
        <v>103.1</v>
      </c>
      <c r="Z216" s="12" cm="1">
        <f t="array" ref="Z216">INDEX(municipality_wind_potential!$X:$X,MATCH(municipalities!$F216,municipality_wind_potential!$E:$E,0),0)</f>
        <v>24</v>
      </c>
      <c r="AA216" s="12">
        <f t="shared" si="29"/>
        <v>134.39999999999998</v>
      </c>
      <c r="AB216" s="12" cm="1">
        <f t="array" ref="AB216">INDEX(municipality_wind_potential!$Y:$Y,MATCH(municipalities!$F216,municipality_wind_potential!$E:$E,0),0) / 3.6</f>
        <v>348.73888888888888</v>
      </c>
      <c r="AC216" s="12">
        <f t="shared" si="30"/>
        <v>111.81785457163429</v>
      </c>
      <c r="AD216" s="12" cm="1">
        <f t="array" ref="AD216">INDEX(municipality_pv_potential!$G:$G,MATCH(municipalities!$A216,municipality_pv_potential!$E:$E,0),0)/3.6*$AH$4</f>
        <v>103.54333333333335</v>
      </c>
      <c r="AE216" s="12">
        <f t="shared" si="31"/>
        <v>141.03971682265421</v>
      </c>
      <c r="AF216" s="12" cm="1">
        <f t="array" ref="AF216">INDEX(municipality_pv_potential!$H:$H,MATCH(municipalities!$A216,municipality_pv_potential!$E:$E,0),0)/3.6</f>
        <v>130.60277777777779</v>
      </c>
      <c r="AG216" s="12"/>
      <c r="AJ216">
        <v>34</v>
      </c>
      <c r="AK216">
        <v>5.2</v>
      </c>
      <c r="AL216">
        <v>8</v>
      </c>
      <c r="AM216">
        <v>11</v>
      </c>
      <c r="AN216">
        <v>103.1</v>
      </c>
    </row>
    <row r="217" spans="1:40" x14ac:dyDescent="0.25">
      <c r="A217" s="5" t="s">
        <v>665</v>
      </c>
      <c r="B217" s="6" t="s">
        <v>666</v>
      </c>
      <c r="C217" s="7" t="s">
        <v>667</v>
      </c>
      <c r="D217" s="7" t="s">
        <v>667</v>
      </c>
      <c r="E217" s="7" t="s">
        <v>22</v>
      </c>
      <c r="F217" s="7" t="s">
        <v>665</v>
      </c>
      <c r="G217" s="7" t="str" cm="1">
        <f t="array" ref="G217">INDEX('municipalities per province'!F:F,MATCH(municipalities!A217,'municipalities per province'!B:B,0),0)</f>
        <v>Noord-Brabant</v>
      </c>
      <c r="H217" s="7" t="str" cm="1">
        <f t="array" ref="H217">INDEX('municipalities per province'!E:E,MATCH(municipalities!$A217,'municipalities per province'!$B:$B,0),0)</f>
        <v>PV30</v>
      </c>
      <c r="I217" s="7" t="str" cm="1">
        <f t="array" ref="I217">INDEX('municipalities per province'!G:G,MATCH(municipalities!$A217,'municipalities per province'!$B:$B,0),0)</f>
        <v>Noordoost-Brabant</v>
      </c>
      <c r="J217" s="7" t="str" cm="1">
        <f t="array" ref="J217">INDEX('municipalities per province'!H:H,MATCH(municipalities!$A217,'municipalities per province'!$B:$B,0),0)</f>
        <v>ES27</v>
      </c>
      <c r="K217" s="7" cm="1">
        <f t="array" ref="K217">INDEX(coordinates!C:C,MATCH(municipalities!$A217,coordinates!$A:$A,0),0)</f>
        <v>5.5264050028839362</v>
      </c>
      <c r="L217" s="7" cm="1">
        <f t="array" ref="L217">INDEX(coordinates!D:D,MATCH(municipalities!$A217,coordinates!$A:$A,0),0)</f>
        <v>51.781549373923077</v>
      </c>
      <c r="M217" s="8">
        <v>1</v>
      </c>
      <c r="N217" s="9">
        <v>94437</v>
      </c>
      <c r="O217" s="9">
        <v>47631</v>
      </c>
      <c r="P217" s="9">
        <v>46806</v>
      </c>
      <c r="Q217" s="9">
        <v>3</v>
      </c>
      <c r="R217" s="10">
        <v>1435</v>
      </c>
      <c r="S217" s="11">
        <v>63</v>
      </c>
      <c r="T217" s="11">
        <v>37</v>
      </c>
      <c r="U217" s="12">
        <f t="shared" si="24"/>
        <v>33.200000000000003</v>
      </c>
      <c r="V217" s="12">
        <f t="shared" si="25"/>
        <v>5.4</v>
      </c>
      <c r="W217" s="12">
        <f t="shared" si="26"/>
        <v>8.6999999999999993</v>
      </c>
      <c r="X217" s="12">
        <f t="shared" si="27"/>
        <v>11.7</v>
      </c>
      <c r="Y217" s="12">
        <f t="shared" si="28"/>
        <v>95.6</v>
      </c>
      <c r="Z217" s="12" cm="1">
        <f t="array" ref="Z217">INDEX(municipality_wind_potential!$X:$X,MATCH(municipalities!$F217,municipality_wind_potential!$E:$E,0),0)</f>
        <v>86</v>
      </c>
      <c r="AA217" s="12">
        <f t="shared" si="29"/>
        <v>481.59999999999997</v>
      </c>
      <c r="AB217" s="12" cm="1">
        <f t="array" ref="AB217">INDEX(municipality_wind_potential!$Y:$Y,MATCH(municipalities!$F217,municipality_wind_potential!$E:$E,0),0) / 3.6</f>
        <v>1387.0083333333332</v>
      </c>
      <c r="AC217" s="12">
        <f t="shared" si="30"/>
        <v>201.23470122390208</v>
      </c>
      <c r="AD217" s="12" cm="1">
        <f t="array" ref="AD217">INDEX(municipality_pv_potential!$G:$G,MATCH(municipalities!$A217,municipality_pv_potential!$E:$E,0),0)/3.6*$AH$4</f>
        <v>186.34333333333333</v>
      </c>
      <c r="AE217" s="12">
        <f t="shared" si="31"/>
        <v>506.54847612191031</v>
      </c>
      <c r="AF217" s="12" cm="1">
        <f t="array" ref="AF217">INDEX(municipality_pv_potential!$H:$H,MATCH(municipalities!$A217,municipality_pv_potential!$E:$E,0),0)/3.6</f>
        <v>469.06388888888893</v>
      </c>
      <c r="AG217" s="12"/>
      <c r="AJ217">
        <v>33.200000000000003</v>
      </c>
      <c r="AK217">
        <v>5.4</v>
      </c>
      <c r="AL217">
        <v>8.6999999999999993</v>
      </c>
      <c r="AM217">
        <v>11.7</v>
      </c>
      <c r="AN217">
        <v>95.6</v>
      </c>
    </row>
    <row r="218" spans="1:40" x14ac:dyDescent="0.25">
      <c r="A218" s="5" t="s">
        <v>668</v>
      </c>
      <c r="B218" s="6" t="s">
        <v>669</v>
      </c>
      <c r="C218" s="7" t="s">
        <v>670</v>
      </c>
      <c r="D218" s="7" t="s">
        <v>670</v>
      </c>
      <c r="E218" s="7" t="s">
        <v>22</v>
      </c>
      <c r="F218" s="7" t="s">
        <v>668</v>
      </c>
      <c r="G218" s="7" t="str" cm="1">
        <f t="array" ref="G218">INDEX('municipalities per province'!F:F,MATCH(municipalities!A218,'municipalities per province'!B:B,0),0)</f>
        <v>Noord-Brabant</v>
      </c>
      <c r="H218" s="7" t="str" cm="1">
        <f t="array" ref="H218">INDEX('municipalities per province'!E:E,MATCH(municipalities!$A218,'municipalities per province'!$B:$B,0),0)</f>
        <v>PV30</v>
      </c>
      <c r="I218" s="7" t="str" cm="1">
        <f t="array" ref="I218">INDEX('municipalities per province'!G:G,MATCH(municipalities!$A218,'municipalities per province'!$B:$B,0),0)</f>
        <v>West-Brabant</v>
      </c>
      <c r="J218" s="7" t="str" cm="1">
        <f t="array" ref="J218">INDEX('municipalities per province'!H:H,MATCH(municipalities!$A218,'municipalities per province'!$B:$B,0),0)</f>
        <v>ES28</v>
      </c>
      <c r="K218" s="7" cm="1">
        <f t="array" ref="K218">INDEX(coordinates!C:C,MATCH(municipalities!$A218,coordinates!$A:$A,0),0)</f>
        <v>4.5585728859437236</v>
      </c>
      <c r="L218" s="7" cm="1">
        <f t="array" ref="L218">INDEX(coordinates!D:D,MATCH(municipalities!$A218,coordinates!$A:$A,0),0)</f>
        <v>51.522677945331402</v>
      </c>
      <c r="M218" s="8">
        <v>1</v>
      </c>
      <c r="N218" s="9">
        <v>23636</v>
      </c>
      <c r="O218" s="9">
        <v>11917</v>
      </c>
      <c r="P218" s="9">
        <v>11719</v>
      </c>
      <c r="Q218" s="9">
        <v>4</v>
      </c>
      <c r="R218" s="10">
        <v>690</v>
      </c>
      <c r="S218" s="11">
        <v>67</v>
      </c>
      <c r="T218" s="11">
        <v>33</v>
      </c>
      <c r="U218" s="12">
        <f t="shared" si="24"/>
        <v>32.9</v>
      </c>
      <c r="V218" s="12">
        <f t="shared" si="25"/>
        <v>5.2</v>
      </c>
      <c r="W218" s="12">
        <f t="shared" si="26"/>
        <v>8.4</v>
      </c>
      <c r="X218" s="12">
        <f t="shared" si="27"/>
        <v>11.4</v>
      </c>
      <c r="Y218" s="12">
        <f t="shared" si="28"/>
        <v>154.30000000000001</v>
      </c>
      <c r="Z218" s="12" cm="1">
        <f t="array" ref="Z218">INDEX(municipality_wind_potential!$X:$X,MATCH(municipalities!$F218,municipality_wind_potential!$E:$E,0),0)</f>
        <v>14</v>
      </c>
      <c r="AA218" s="12">
        <f t="shared" si="29"/>
        <v>78.399999999999991</v>
      </c>
      <c r="AB218" s="12" cm="1">
        <f t="array" ref="AB218">INDEX(municipality_wind_potential!$Y:$Y,MATCH(municipalities!$F218,municipality_wind_potential!$E:$E,0),0) / 3.6</f>
        <v>207.76111111111112</v>
      </c>
      <c r="AC218" s="12">
        <f t="shared" si="30"/>
        <v>56.760859131269513</v>
      </c>
      <c r="AD218" s="12" cm="1">
        <f t="array" ref="AD218">INDEX(municipality_pv_potential!$G:$G,MATCH(municipalities!$A218,municipality_pv_potential!$E:$E,0),0)/3.6*$AH$4</f>
        <v>52.560555555555567</v>
      </c>
      <c r="AE218" s="12">
        <f t="shared" si="31"/>
        <v>167.71058315334776</v>
      </c>
      <c r="AF218" s="12" cm="1">
        <f t="array" ref="AF218">INDEX(municipality_pv_potential!$H:$H,MATCH(municipalities!$A218,municipality_pv_potential!$E:$E,0),0)/3.6</f>
        <v>155.30000000000001</v>
      </c>
      <c r="AG218" s="12"/>
      <c r="AJ218">
        <v>32.9</v>
      </c>
      <c r="AK218">
        <v>5.2</v>
      </c>
      <c r="AL218">
        <v>8.4</v>
      </c>
      <c r="AM218">
        <v>11.4</v>
      </c>
      <c r="AN218">
        <v>154.30000000000001</v>
      </c>
    </row>
    <row r="219" spans="1:40" x14ac:dyDescent="0.25">
      <c r="A219" s="5" t="s">
        <v>671</v>
      </c>
      <c r="B219" s="6" t="s">
        <v>672</v>
      </c>
      <c r="C219" s="7" t="s">
        <v>673</v>
      </c>
      <c r="D219" s="7" t="s">
        <v>673</v>
      </c>
      <c r="E219" s="7" t="s">
        <v>22</v>
      </c>
      <c r="F219" s="7" t="s">
        <v>671</v>
      </c>
      <c r="G219" s="7" t="str" cm="1">
        <f t="array" ref="G219">INDEX('municipalities per province'!F:F,MATCH(municipalities!A219,'municipalities per province'!B:B,0),0)</f>
        <v>Noord-Brabant</v>
      </c>
      <c r="H219" s="7" t="str" cm="1">
        <f t="array" ref="H219">INDEX('municipalities per province'!E:E,MATCH(municipalities!$A219,'municipalities per province'!$B:$B,0),0)</f>
        <v>PV30</v>
      </c>
      <c r="I219" s="7" t="str" cm="1">
        <f t="array" ref="I219">INDEX('municipalities per province'!G:G,MATCH(municipalities!$A219,'municipalities per province'!$B:$B,0),0)</f>
        <v>Noordoost-Brabant</v>
      </c>
      <c r="J219" s="7" t="str" cm="1">
        <f t="array" ref="J219">INDEX('municipalities per province'!H:H,MATCH(municipalities!$A219,'municipalities per province'!$B:$B,0),0)</f>
        <v>ES27</v>
      </c>
      <c r="K219" s="7" cm="1">
        <f t="array" ref="K219">INDEX(coordinates!C:C,MATCH(municipalities!$A219,coordinates!$A:$A,0),0)</f>
        <v>5.3781415444002256</v>
      </c>
      <c r="L219" s="7" cm="1">
        <f t="array" ref="L219">INDEX(coordinates!D:D,MATCH(municipalities!$A219,coordinates!$A:$A,0),0)</f>
        <v>51.657078309547842</v>
      </c>
      <c r="M219" s="8">
        <v>1</v>
      </c>
      <c r="N219" s="9">
        <v>30135</v>
      </c>
      <c r="O219" s="9">
        <v>15150</v>
      </c>
      <c r="P219" s="9">
        <v>14985</v>
      </c>
      <c r="Q219" s="9">
        <v>4</v>
      </c>
      <c r="R219" s="10">
        <v>657</v>
      </c>
      <c r="S219" s="11">
        <v>75</v>
      </c>
      <c r="T219" s="11">
        <v>25</v>
      </c>
      <c r="U219" s="12">
        <f t="shared" si="24"/>
        <v>38.1</v>
      </c>
      <c r="V219" s="12">
        <f t="shared" si="25"/>
        <v>3.1</v>
      </c>
      <c r="W219" s="12">
        <f t="shared" si="26"/>
        <v>4.9000000000000004</v>
      </c>
      <c r="X219" s="12">
        <f t="shared" si="27"/>
        <v>6.9</v>
      </c>
      <c r="Y219" s="12">
        <f t="shared" si="28"/>
        <v>253.9</v>
      </c>
      <c r="Z219" s="12" cm="1">
        <f t="array" ref="Z219">INDEX(municipality_wind_potential!$X:$X,MATCH(municipalities!$F219,municipality_wind_potential!$E:$E,0),0)</f>
        <v>15</v>
      </c>
      <c r="AA219" s="12">
        <f t="shared" si="29"/>
        <v>84</v>
      </c>
      <c r="AB219" s="12" cm="1">
        <f t="array" ref="AB219">INDEX(municipality_wind_potential!$Y:$Y,MATCH(municipalities!$F219,municipality_wind_potential!$E:$E,0),0) / 3.6</f>
        <v>222.6</v>
      </c>
      <c r="AC219" s="12">
        <f t="shared" si="30"/>
        <v>61.943844492440611</v>
      </c>
      <c r="AD219" s="12" cm="1">
        <f t="array" ref="AD219">INDEX(municipality_pv_potential!$G:$G,MATCH(municipalities!$A219,municipality_pv_potential!$E:$E,0),0)/3.6*$AH$4</f>
        <v>57.360000000000007</v>
      </c>
      <c r="AE219" s="12">
        <f t="shared" si="31"/>
        <v>153.74970002399806</v>
      </c>
      <c r="AF219" s="12" cm="1">
        <f t="array" ref="AF219">INDEX(municipality_pv_potential!$H:$H,MATCH(municipalities!$A219,municipality_pv_potential!$E:$E,0),0)/3.6</f>
        <v>142.37222222222221</v>
      </c>
      <c r="AG219" s="12"/>
      <c r="AJ219">
        <v>38.1</v>
      </c>
      <c r="AK219">
        <v>3.1</v>
      </c>
      <c r="AL219">
        <v>4.9000000000000004</v>
      </c>
      <c r="AM219">
        <v>6.9</v>
      </c>
      <c r="AN219">
        <v>253.9</v>
      </c>
    </row>
    <row r="220" spans="1:40" x14ac:dyDescent="0.25">
      <c r="A220" s="5" t="s">
        <v>674</v>
      </c>
      <c r="B220" s="6" t="s">
        <v>675</v>
      </c>
      <c r="C220" s="7" t="s">
        <v>676</v>
      </c>
      <c r="D220" s="7" t="s">
        <v>676</v>
      </c>
      <c r="E220" s="7" t="s">
        <v>22</v>
      </c>
      <c r="F220" s="7" t="s">
        <v>674</v>
      </c>
      <c r="G220" s="7" t="str" cm="1">
        <f t="array" ref="G220">INDEX('municipalities per province'!F:F,MATCH(municipalities!A220,'municipalities per province'!B:B,0),0)</f>
        <v>Noord-Brabant</v>
      </c>
      <c r="H220" s="7" t="str" cm="1">
        <f t="array" ref="H220">INDEX('municipalities per province'!E:E,MATCH(municipalities!$A220,'municipalities per province'!$B:$B,0),0)</f>
        <v>PV30</v>
      </c>
      <c r="I220" s="7" t="str" cm="1">
        <f t="array" ref="I220">INDEX('municipalities per province'!G:G,MATCH(municipalities!$A220,'municipalities per province'!$B:$B,0),0)</f>
        <v>MetropoolregioEindhoven</v>
      </c>
      <c r="J220" s="7" t="str" cm="1">
        <f t="array" ref="J220">INDEX('municipalities per province'!H:H,MATCH(municipalities!$A220,'municipalities per province'!$B:$B,0),0)</f>
        <v>ES26</v>
      </c>
      <c r="K220" s="7" cm="1">
        <f t="array" ref="K220">INDEX(coordinates!C:C,MATCH(municipalities!$A220,coordinates!$A:$A,0),0)</f>
        <v>5.6914037169417302</v>
      </c>
      <c r="L220" s="7" cm="1">
        <f t="array" ref="L220">INDEX(coordinates!D:D,MATCH(municipalities!$A220,coordinates!$A:$A,0),0)</f>
        <v>51.378751748438859</v>
      </c>
      <c r="M220" s="8">
        <v>1</v>
      </c>
      <c r="N220" s="9">
        <v>20061</v>
      </c>
      <c r="O220" s="9">
        <v>10208</v>
      </c>
      <c r="P220" s="9">
        <v>9853</v>
      </c>
      <c r="Q220" s="9">
        <v>4</v>
      </c>
      <c r="R220" s="10">
        <v>754</v>
      </c>
      <c r="S220" s="11">
        <v>72</v>
      </c>
      <c r="T220" s="11">
        <v>28</v>
      </c>
      <c r="U220" s="12">
        <f t="shared" si="24"/>
        <v>35.799999999999997</v>
      </c>
      <c r="V220" s="12">
        <f t="shared" si="25"/>
        <v>3.9</v>
      </c>
      <c r="W220" s="12">
        <f t="shared" si="26"/>
        <v>6.5</v>
      </c>
      <c r="X220" s="12">
        <f t="shared" si="27"/>
        <v>9.1</v>
      </c>
      <c r="Y220" s="12">
        <f t="shared" si="28"/>
        <v>212.1</v>
      </c>
      <c r="Z220" s="12" cm="1">
        <f t="array" ref="Z220">INDEX(municipality_wind_potential!$X:$X,MATCH(municipalities!$F220,municipality_wind_potential!$E:$E,0),0)</f>
        <v>33</v>
      </c>
      <c r="AA220" s="12">
        <f t="shared" si="29"/>
        <v>184.79999999999998</v>
      </c>
      <c r="AB220" s="12" cm="1">
        <f t="array" ref="AB220">INDEX(municipality_wind_potential!$Y:$Y,MATCH(municipalities!$F220,municipality_wind_potential!$E:$E,0),0) / 3.6</f>
        <v>489.71944444444443</v>
      </c>
      <c r="AC220" s="12">
        <f t="shared" si="30"/>
        <v>78.234341252699778</v>
      </c>
      <c r="AD220" s="12" cm="1">
        <f t="array" ref="AD220">INDEX(municipality_pv_potential!$G:$G,MATCH(municipalities!$A220,municipality_pv_potential!$E:$E,0),0)/3.6*$AH$4</f>
        <v>72.444999999999993</v>
      </c>
      <c r="AE220" s="12">
        <f t="shared" si="31"/>
        <v>212.42200623950083</v>
      </c>
      <c r="AF220" s="12" cm="1">
        <f t="array" ref="AF220">INDEX(municipality_pv_potential!$H:$H,MATCH(municipalities!$A220,municipality_pv_potential!$E:$E,0),0)/3.6</f>
        <v>196.70277777777778</v>
      </c>
      <c r="AG220" s="12"/>
      <c r="AJ220">
        <v>35.799999999999997</v>
      </c>
      <c r="AK220">
        <v>3.9</v>
      </c>
      <c r="AL220">
        <v>6.5</v>
      </c>
      <c r="AM220">
        <v>9.1</v>
      </c>
      <c r="AN220">
        <v>212.1</v>
      </c>
    </row>
    <row r="221" spans="1:40" x14ac:dyDescent="0.25">
      <c r="A221" s="5" t="s">
        <v>677</v>
      </c>
      <c r="B221" s="6" t="s">
        <v>678</v>
      </c>
      <c r="C221" s="7" t="s">
        <v>679</v>
      </c>
      <c r="D221" s="7" t="s">
        <v>679</v>
      </c>
      <c r="E221" s="7" t="s">
        <v>22</v>
      </c>
      <c r="F221" s="7" t="s">
        <v>677</v>
      </c>
      <c r="G221" s="7" t="str" cm="1">
        <f t="array" ref="G221">INDEX('municipalities per province'!F:F,MATCH(municipalities!A221,'municipalities per province'!B:B,0),0)</f>
        <v>Noord-Brabant</v>
      </c>
      <c r="H221" s="7" t="str" cm="1">
        <f t="array" ref="H221">INDEX('municipalities per province'!E:E,MATCH(municipalities!$A221,'municipalities per province'!$B:$B,0),0)</f>
        <v>PV30</v>
      </c>
      <c r="I221" s="7" t="str" cm="1">
        <f t="array" ref="I221">INDEX('municipalities per province'!G:G,MATCH(municipalities!$A221,'municipalities per province'!$B:$B,0),0)</f>
        <v>MetropoolregioEindhoven</v>
      </c>
      <c r="J221" s="7" t="str" cm="1">
        <f t="array" ref="J221">INDEX('municipalities per province'!H:H,MATCH(municipalities!$A221,'municipalities per province'!$B:$B,0),0)</f>
        <v>ES26</v>
      </c>
      <c r="K221" s="7" cm="1">
        <f t="array" ref="K221">INDEX(coordinates!C:C,MATCH(municipalities!$A221,coordinates!$A:$A,0),0)</f>
        <v>5.4824621499858601</v>
      </c>
      <c r="L221" s="7" cm="1">
        <f t="array" ref="L221">INDEX(coordinates!D:D,MATCH(municipalities!$A221,coordinates!$A:$A,0),0)</f>
        <v>51.516375127398227</v>
      </c>
      <c r="M221" s="8">
        <v>1</v>
      </c>
      <c r="N221" s="9">
        <v>18010</v>
      </c>
      <c r="O221" s="9">
        <v>8889</v>
      </c>
      <c r="P221" s="9">
        <v>9121</v>
      </c>
      <c r="Q221" s="9">
        <v>4</v>
      </c>
      <c r="R221" s="10">
        <v>720</v>
      </c>
      <c r="S221" s="11">
        <v>75</v>
      </c>
      <c r="T221" s="11">
        <v>25</v>
      </c>
      <c r="U221" s="12">
        <f t="shared" si="24"/>
        <v>39.4</v>
      </c>
      <c r="V221" s="12">
        <f t="shared" si="25"/>
        <v>3.6</v>
      </c>
      <c r="W221" s="12">
        <f t="shared" si="26"/>
        <v>5.4</v>
      </c>
      <c r="X221" s="12">
        <f t="shared" si="27"/>
        <v>6.8</v>
      </c>
      <c r="Y221" s="12">
        <f t="shared" si="28"/>
        <v>218</v>
      </c>
      <c r="Z221" s="12" cm="1">
        <f t="array" ref="Z221">INDEX(municipality_wind_potential!$X:$X,MATCH(municipalities!$F221,municipality_wind_potential!$E:$E,0),0)</f>
        <v>6</v>
      </c>
      <c r="AA221" s="12">
        <f t="shared" si="29"/>
        <v>33.599999999999994</v>
      </c>
      <c r="AB221" s="12" cm="1">
        <f t="array" ref="AB221">INDEX(municipality_wind_potential!$Y:$Y,MATCH(municipalities!$F221,municipality_wind_potential!$E:$E,0),0) / 3.6</f>
        <v>89.038888888888891</v>
      </c>
      <c r="AC221" s="12">
        <f t="shared" si="30"/>
        <v>43.663906887448995</v>
      </c>
      <c r="AD221" s="12" cm="1">
        <f t="array" ref="AD221">INDEX(municipality_pv_potential!$G:$G,MATCH(municipalities!$A221,municipality_pv_potential!$E:$E,0),0)/3.6*$AH$4</f>
        <v>40.432777777777773</v>
      </c>
      <c r="AE221" s="12">
        <f t="shared" si="31"/>
        <v>47.726181905447561</v>
      </c>
      <c r="AF221" s="12" cm="1">
        <f t="array" ref="AF221">INDEX(municipality_pv_potential!$H:$H,MATCH(municipalities!$A221,municipality_pv_potential!$E:$E,0),0)/3.6</f>
        <v>44.194444444444443</v>
      </c>
      <c r="AG221" s="12"/>
      <c r="AJ221">
        <v>39.4</v>
      </c>
      <c r="AK221">
        <v>3.6</v>
      </c>
      <c r="AL221">
        <v>5.4</v>
      </c>
      <c r="AM221">
        <v>6.8</v>
      </c>
      <c r="AN221">
        <v>218</v>
      </c>
    </row>
    <row r="222" spans="1:40" x14ac:dyDescent="0.25">
      <c r="A222" s="5" t="s">
        <v>680</v>
      </c>
      <c r="B222" s="6" t="s">
        <v>681</v>
      </c>
      <c r="C222" s="7" t="s">
        <v>682</v>
      </c>
      <c r="D222" s="7" t="s">
        <v>682</v>
      </c>
      <c r="E222" s="7" t="s">
        <v>22</v>
      </c>
      <c r="F222" s="7" t="s">
        <v>680</v>
      </c>
      <c r="G222" s="7" t="str" cm="1">
        <f t="array" ref="G222">INDEX('municipalities per province'!F:F,MATCH(municipalities!A222,'municipalities per province'!B:B,0),0)</f>
        <v>Noord-Brabant</v>
      </c>
      <c r="H222" s="7" t="str" cm="1">
        <f t="array" ref="H222">INDEX('municipalities per province'!E:E,MATCH(municipalities!$A222,'municipalities per province'!$B:$B,0),0)</f>
        <v>PV30</v>
      </c>
      <c r="I222" s="7" t="str" cm="1">
        <f t="array" ref="I222">INDEX('municipalities per province'!G:G,MATCH(municipalities!$A222,'municipalities per province'!$B:$B,0),0)</f>
        <v>West-Brabant</v>
      </c>
      <c r="J222" s="7" t="str" cm="1">
        <f t="array" ref="J222">INDEX('municipalities per province'!H:H,MATCH(municipalities!$A222,'municipalities per province'!$B:$B,0),0)</f>
        <v>ES28</v>
      </c>
      <c r="K222" s="7" cm="1">
        <f t="array" ref="K222">INDEX(coordinates!C:C,MATCH(municipalities!$A222,coordinates!$A:$A,0),0)</f>
        <v>4.3001199487788053</v>
      </c>
      <c r="L222" s="7" cm="1">
        <f t="array" ref="L222">INDEX(coordinates!D:D,MATCH(municipalities!$A222,coordinates!$A:$A,0),0)</f>
        <v>51.645486333547908</v>
      </c>
      <c r="M222" s="8">
        <v>1</v>
      </c>
      <c r="N222" s="9">
        <v>24610</v>
      </c>
      <c r="O222" s="9">
        <v>12429</v>
      </c>
      <c r="P222" s="9">
        <v>12181</v>
      </c>
      <c r="Q222" s="9">
        <v>4</v>
      </c>
      <c r="R222" s="10">
        <v>746</v>
      </c>
      <c r="S222" s="11">
        <v>70</v>
      </c>
      <c r="T222" s="11">
        <v>30</v>
      </c>
      <c r="U222" s="12">
        <f t="shared" si="24"/>
        <v>33.1</v>
      </c>
      <c r="V222" s="12">
        <f t="shared" si="25"/>
        <v>4.4000000000000004</v>
      </c>
      <c r="W222" s="12">
        <f t="shared" si="26"/>
        <v>6.9</v>
      </c>
      <c r="X222" s="12">
        <f t="shared" si="27"/>
        <v>9.5</v>
      </c>
      <c r="Y222" s="12">
        <f t="shared" si="28"/>
        <v>102</v>
      </c>
      <c r="Z222" s="12" cm="1">
        <f t="array" ref="Z222">INDEX(municipality_wind_potential!$X:$X,MATCH(municipalities!$F222,municipality_wind_potential!$E:$E,0),0)</f>
        <v>108</v>
      </c>
      <c r="AA222" s="12">
        <f t="shared" si="29"/>
        <v>604.79999999999995</v>
      </c>
      <c r="AB222" s="12" cm="1">
        <f t="array" ref="AB222">INDEX(municipality_wind_potential!$Y:$Y,MATCH(municipalities!$F222,municipality_wind_potential!$E:$E,0),0) / 3.6</f>
        <v>1908.338888888889</v>
      </c>
      <c r="AC222" s="12">
        <f t="shared" si="30"/>
        <v>82.426205903527745</v>
      </c>
      <c r="AD222" s="12" cm="1">
        <f t="array" ref="AD222">INDEX(municipality_pv_potential!$G:$G,MATCH(municipalities!$A222,municipality_pv_potential!$E:$E,0),0)/3.6*$AH$4</f>
        <v>76.326666666666682</v>
      </c>
      <c r="AE222" s="12">
        <f t="shared" si="31"/>
        <v>590.37377009839224</v>
      </c>
      <c r="AF222" s="12" cm="1">
        <f t="array" ref="AF222">INDEX(municipality_pv_potential!$H:$H,MATCH(municipalities!$A222,municipality_pv_potential!$E:$E,0),0)/3.6</f>
        <v>546.68611111111113</v>
      </c>
      <c r="AG222" s="12"/>
      <c r="AJ222">
        <v>33.1</v>
      </c>
      <c r="AK222">
        <v>4.4000000000000004</v>
      </c>
      <c r="AL222">
        <v>6.9</v>
      </c>
      <c r="AM222">
        <v>9.5</v>
      </c>
      <c r="AN222">
        <v>102</v>
      </c>
    </row>
    <row r="223" spans="1:40" x14ac:dyDescent="0.25">
      <c r="A223" s="5" t="s">
        <v>683</v>
      </c>
      <c r="B223" s="6" t="s">
        <v>684</v>
      </c>
      <c r="C223" s="7" t="s">
        <v>685</v>
      </c>
      <c r="D223" s="7" t="s">
        <v>685</v>
      </c>
      <c r="E223" s="7" t="s">
        <v>22</v>
      </c>
      <c r="F223" s="7" t="s">
        <v>683</v>
      </c>
      <c r="G223" s="7" t="str" cm="1">
        <f t="array" ref="G223">INDEX('municipalities per province'!F:F,MATCH(municipalities!A223,'municipalities per province'!B:B,0),0)</f>
        <v>Noord-Holland</v>
      </c>
      <c r="H223" s="7" t="str" cm="1">
        <f t="array" ref="H223">INDEX('municipalities per province'!E:E,MATCH(municipalities!$A223,'municipalities per province'!$B:$B,0),0)</f>
        <v>PV27</v>
      </c>
      <c r="I223" s="7" t="str" cm="1">
        <f t="array" ref="I223">INDEX('municipalities per province'!G:G,MATCH(municipalities!$A223,'municipalities per province'!$B:$B,0),0)</f>
        <v>Noord-HollandZuid</v>
      </c>
      <c r="J223" s="7" t="str" cm="1">
        <f t="array" ref="J223">INDEX('municipalities per province'!H:H,MATCH(municipalities!$A223,'municipalities per province'!$B:$B,0),0)</f>
        <v>ES16</v>
      </c>
      <c r="K223" s="7" cm="1">
        <f t="array" ref="K223">INDEX(coordinates!C:C,MATCH(municipalities!$A223,coordinates!$A:$A,0),0)</f>
        <v>5.1086099283874562</v>
      </c>
      <c r="L223" s="7" cm="1">
        <f t="array" ref="L223">INDEX(coordinates!D:D,MATCH(municipalities!$A223,coordinates!$A:$A,0),0)</f>
        <v>52.445864833356261</v>
      </c>
      <c r="M223" s="8">
        <v>1</v>
      </c>
      <c r="N223" s="9">
        <v>17609</v>
      </c>
      <c r="O223" s="9">
        <v>8587</v>
      </c>
      <c r="P223" s="9">
        <v>9022</v>
      </c>
      <c r="Q223" s="9">
        <v>4</v>
      </c>
      <c r="R223" s="10">
        <v>655</v>
      </c>
      <c r="S223" s="11">
        <v>70</v>
      </c>
      <c r="T223" s="11">
        <v>30</v>
      </c>
      <c r="U223" s="12">
        <f t="shared" si="24"/>
        <v>39.4</v>
      </c>
      <c r="V223" s="12">
        <f t="shared" si="25"/>
        <v>4.2</v>
      </c>
      <c r="W223" s="12">
        <f t="shared" si="26"/>
        <v>6</v>
      </c>
      <c r="X223" s="12">
        <f t="shared" si="27"/>
        <v>7.9</v>
      </c>
      <c r="Y223" s="12">
        <f t="shared" si="28"/>
        <v>254.7</v>
      </c>
      <c r="Z223" s="12" cm="1">
        <f t="array" ref="Z223">INDEX(municipality_wind_potential!$X:$X,MATCH(municipalities!$F223,municipality_wind_potential!$E:$E,0),0)</f>
        <v>39</v>
      </c>
      <c r="AA223" s="12">
        <f t="shared" si="29"/>
        <v>218.39999999999998</v>
      </c>
      <c r="AB223" s="12" cm="1">
        <f t="array" ref="AB223">INDEX(municipality_wind_potential!$Y:$Y,MATCH(municipalities!$F223,municipality_wind_potential!$E:$E,0),0) / 3.6</f>
        <v>692.32777777777778</v>
      </c>
      <c r="AC223" s="12">
        <f t="shared" si="30"/>
        <v>24.026877849772017</v>
      </c>
      <c r="AD223" s="12" cm="1">
        <f t="array" ref="AD223">INDEX(municipality_pv_potential!$G:$G,MATCH(municipalities!$A223,municipality_pv_potential!$E:$E,0),0)/3.6*$AH$4</f>
        <v>22.248888888888889</v>
      </c>
      <c r="AE223" s="12">
        <f t="shared" si="31"/>
        <v>208.45032397408207</v>
      </c>
      <c r="AF223" s="12" cm="1">
        <f t="array" ref="AF223">INDEX(municipality_pv_potential!$H:$H,MATCH(municipalities!$A223,municipality_pv_potential!$E:$E,0),0)/3.6</f>
        <v>193.02499999999998</v>
      </c>
      <c r="AG223" s="12"/>
      <c r="AJ223">
        <v>39.4</v>
      </c>
      <c r="AK223">
        <v>4.2</v>
      </c>
      <c r="AL223">
        <v>6</v>
      </c>
      <c r="AM223">
        <v>7.9</v>
      </c>
      <c r="AN223">
        <v>254.7</v>
      </c>
    </row>
    <row r="224" spans="1:40" x14ac:dyDescent="0.25">
      <c r="A224" s="5" t="s">
        <v>686</v>
      </c>
      <c r="B224" s="6" t="s">
        <v>687</v>
      </c>
      <c r="C224" s="7" t="s">
        <v>688</v>
      </c>
      <c r="D224" s="7" t="s">
        <v>688</v>
      </c>
      <c r="E224" s="7" t="s">
        <v>22</v>
      </c>
      <c r="F224" s="7" t="s">
        <v>686</v>
      </c>
      <c r="G224" s="7" t="str" cm="1">
        <f t="array" ref="G224">INDEX('municipalities per province'!F:F,MATCH(municipalities!A224,'municipalities per province'!B:B,0),0)</f>
        <v>Noord-Brabant</v>
      </c>
      <c r="H224" s="7" t="str" cm="1">
        <f t="array" ref="H224">INDEX('municipalities per province'!E:E,MATCH(municipalities!$A224,'municipalities per province'!$B:$B,0),0)</f>
        <v>PV30</v>
      </c>
      <c r="I224" s="7" t="str" cm="1">
        <f t="array" ref="I224">INDEX('municipalities per province'!G:G,MATCH(municipalities!$A224,'municipalities per province'!$B:$B,0),0)</f>
        <v>HartvanBrabant</v>
      </c>
      <c r="J224" s="7" t="str" cm="1">
        <f t="array" ref="J224">INDEX('municipalities per province'!H:H,MATCH(municipalities!$A224,'municipalities per province'!$B:$B,0),0)</f>
        <v>ES25</v>
      </c>
      <c r="K224" s="7" cm="1">
        <f t="array" ref="K224">INDEX(coordinates!C:C,MATCH(municipalities!$A224,coordinates!$A:$A,0),0)</f>
        <v>5.0774045201644764</v>
      </c>
      <c r="L224" s="7" cm="1">
        <f t="array" ref="L224">INDEX(coordinates!D:D,MATCH(municipalities!$A224,coordinates!$A:$A,0),0)</f>
        <v>51.583423000125393</v>
      </c>
      <c r="M224" s="8">
        <v>1</v>
      </c>
      <c r="N224" s="9">
        <v>227707</v>
      </c>
      <c r="O224" s="9">
        <v>113509</v>
      </c>
      <c r="P224" s="9">
        <v>114198</v>
      </c>
      <c r="Q224" s="9">
        <v>1</v>
      </c>
      <c r="R224" s="10">
        <v>2875</v>
      </c>
      <c r="S224" s="11">
        <v>50</v>
      </c>
      <c r="T224" s="11">
        <v>50</v>
      </c>
      <c r="U224" s="12">
        <f t="shared" si="24"/>
        <v>29.7</v>
      </c>
      <c r="V224" s="12">
        <f t="shared" si="25"/>
        <v>8</v>
      </c>
      <c r="W224" s="12">
        <f t="shared" si="26"/>
        <v>11.8</v>
      </c>
      <c r="X224" s="12">
        <f t="shared" si="27"/>
        <v>15</v>
      </c>
      <c r="Y224" s="12">
        <f t="shared" si="28"/>
        <v>33.9</v>
      </c>
      <c r="Z224" s="12" cm="1">
        <f t="array" ref="Z224">INDEX(municipality_wind_potential!$X:$X,MATCH(municipalities!$F224,municipality_wind_potential!$E:$E,0),0)</f>
        <v>23</v>
      </c>
      <c r="AA224" s="12">
        <f t="shared" si="29"/>
        <v>128.79999999999998</v>
      </c>
      <c r="AB224" s="12" cm="1">
        <f t="array" ref="AB224">INDEX(municipality_wind_potential!$Y:$Y,MATCH(municipalities!$F224,municipality_wind_potential!$E:$E,0),0) / 3.6</f>
        <v>341.31944444444446</v>
      </c>
      <c r="AC224" s="12">
        <f t="shared" si="30"/>
        <v>309.46784257259418</v>
      </c>
      <c r="AD224" s="12" cm="1">
        <f t="array" ref="AD224">INDEX(municipality_pv_potential!$G:$G,MATCH(municipalities!$A224,municipality_pv_potential!$E:$E,0),0)/3.6*$AH$4</f>
        <v>286.5672222222222</v>
      </c>
      <c r="AE224" s="12">
        <f t="shared" si="31"/>
        <v>135.44216462682985</v>
      </c>
      <c r="AF224" s="12" cm="1">
        <f t="array" ref="AF224">INDEX(municipality_pv_potential!$H:$H,MATCH(municipalities!$A224,municipality_pv_potential!$E:$E,0),0)/3.6</f>
        <v>125.41944444444444</v>
      </c>
      <c r="AG224" s="12"/>
      <c r="AJ224">
        <v>29.7</v>
      </c>
      <c r="AK224">
        <v>8</v>
      </c>
      <c r="AL224">
        <v>11.8</v>
      </c>
      <c r="AM224">
        <v>15</v>
      </c>
      <c r="AN224">
        <v>33.9</v>
      </c>
    </row>
    <row r="225" spans="1:40" x14ac:dyDescent="0.25">
      <c r="A225" s="5" t="s">
        <v>689</v>
      </c>
      <c r="B225" s="6" t="s">
        <v>690</v>
      </c>
      <c r="C225" s="7" t="s">
        <v>691</v>
      </c>
      <c r="D225" s="7" t="s">
        <v>691</v>
      </c>
      <c r="E225" s="7" t="s">
        <v>22</v>
      </c>
      <c r="F225" s="7" t="s">
        <v>689</v>
      </c>
      <c r="G225" s="7" t="str" cm="1">
        <f t="array" ref="G225">INDEX('municipalities per province'!F:F,MATCH(municipalities!A225,'municipalities per province'!B:B,0),0)</f>
        <v>Noord-Brabant</v>
      </c>
      <c r="H225" s="7" t="str" cm="1">
        <f t="array" ref="H225">INDEX('municipalities per province'!E:E,MATCH(municipalities!$A225,'municipalities per province'!$B:$B,0),0)</f>
        <v>PV30</v>
      </c>
      <c r="I225" s="7" t="str" cm="1">
        <f t="array" ref="I225">INDEX('municipalities per province'!G:G,MATCH(municipalities!$A225,'municipalities per province'!$B:$B,0),0)</f>
        <v>MetropoolregioEindhoven</v>
      </c>
      <c r="J225" s="7" t="str" cm="1">
        <f t="array" ref="J225">INDEX('municipalities per province'!H:H,MATCH(municipalities!$A225,'municipalities per province'!$B:$B,0),0)</f>
        <v>ES26</v>
      </c>
      <c r="K225" s="7" cm="1">
        <f t="array" ref="K225">INDEX(coordinates!C:C,MATCH(municipalities!$A225,coordinates!$A:$A,0),0)</f>
        <v>5.4492473706850504</v>
      </c>
      <c r="L225" s="7" cm="1">
        <f t="array" ref="L225">INDEX(coordinates!D:D,MATCH(municipalities!$A225,coordinates!$A:$A,0),0)</f>
        <v>51.323767180448371</v>
      </c>
      <c r="M225" s="8">
        <v>1</v>
      </c>
      <c r="N225" s="9">
        <v>31527</v>
      </c>
      <c r="O225" s="9">
        <v>15618</v>
      </c>
      <c r="P225" s="9">
        <v>15909</v>
      </c>
      <c r="Q225" s="9">
        <v>2</v>
      </c>
      <c r="R225" s="10">
        <v>1501</v>
      </c>
      <c r="S225" s="11">
        <v>60</v>
      </c>
      <c r="T225" s="11">
        <v>40</v>
      </c>
      <c r="U225" s="12">
        <f t="shared" si="24"/>
        <v>34</v>
      </c>
      <c r="V225" s="12">
        <f t="shared" si="25"/>
        <v>4.7</v>
      </c>
      <c r="W225" s="12">
        <f t="shared" si="26"/>
        <v>7.6</v>
      </c>
      <c r="X225" s="12">
        <f t="shared" si="27"/>
        <v>10.6</v>
      </c>
      <c r="Y225" s="12">
        <f t="shared" si="28"/>
        <v>121.1</v>
      </c>
      <c r="Z225" s="12" cm="1">
        <f t="array" ref="Z225">INDEX(municipality_wind_potential!$X:$X,MATCH(municipalities!$F225,municipality_wind_potential!$E:$E,0),0)</f>
        <v>37</v>
      </c>
      <c r="AA225" s="12">
        <f t="shared" si="29"/>
        <v>207.2</v>
      </c>
      <c r="AB225" s="12" cm="1">
        <f t="array" ref="AB225">INDEX(municipality_wind_potential!$Y:$Y,MATCH(municipalities!$F225,municipality_wind_potential!$E:$E,0),0) / 3.6</f>
        <v>541.66111111111115</v>
      </c>
      <c r="AC225" s="12">
        <f t="shared" si="30"/>
        <v>61.12371010319174</v>
      </c>
      <c r="AD225" s="12" cm="1">
        <f t="array" ref="AD225">INDEX(municipality_pv_potential!$G:$G,MATCH(municipalities!$A225,municipality_pv_potential!$E:$E,0),0)/3.6*$AH$4</f>
        <v>56.600555555555552</v>
      </c>
      <c r="AE225" s="12">
        <f t="shared" si="31"/>
        <v>96.98224142068635</v>
      </c>
      <c r="AF225" s="12" cm="1">
        <f t="array" ref="AF225">INDEX(municipality_pv_potential!$H:$H,MATCH(municipalities!$A225,municipality_pv_potential!$E:$E,0),0)/3.6</f>
        <v>89.805555555555557</v>
      </c>
      <c r="AG225" s="12"/>
      <c r="AJ225">
        <v>34</v>
      </c>
      <c r="AK225">
        <v>4.7</v>
      </c>
      <c r="AL225">
        <v>7.6</v>
      </c>
      <c r="AM225">
        <v>10.6</v>
      </c>
      <c r="AN225">
        <v>121.1</v>
      </c>
    </row>
    <row r="226" spans="1:40" x14ac:dyDescent="0.25">
      <c r="A226" s="5" t="s">
        <v>692</v>
      </c>
      <c r="B226" s="6" t="s">
        <v>693</v>
      </c>
      <c r="C226" s="7" t="s">
        <v>694</v>
      </c>
      <c r="D226" s="7" t="s">
        <v>694</v>
      </c>
      <c r="E226" s="7" t="s">
        <v>22</v>
      </c>
      <c r="F226" s="7" t="s">
        <v>692</v>
      </c>
      <c r="G226" s="7" t="str" cm="1">
        <f t="array" ref="G226">INDEX('municipalities per province'!F:F,MATCH(municipalities!A226,'municipalities per province'!B:B,0),0)</f>
        <v>Noord-Brabant</v>
      </c>
      <c r="H226" s="7" t="str" cm="1">
        <f t="array" ref="H226">INDEX('municipalities per province'!E:E,MATCH(municipalities!$A226,'municipalities per province'!$B:$B,0),0)</f>
        <v>PV30</v>
      </c>
      <c r="I226" s="7" t="str" cm="1">
        <f t="array" ref="I226">INDEX('municipalities per province'!G:G,MATCH(municipalities!$A226,'municipalities per province'!$B:$B,0),0)</f>
        <v>MetropoolregioEindhoven</v>
      </c>
      <c r="J226" s="7" t="str" cm="1">
        <f t="array" ref="J226">INDEX('municipalities per province'!H:H,MATCH(municipalities!$A226,'municipalities per province'!$B:$B,0),0)</f>
        <v>ES26</v>
      </c>
      <c r="K226" s="7" cm="1">
        <f t="array" ref="K226">INDEX(coordinates!C:C,MATCH(municipalities!$A226,coordinates!$A:$A,0),0)</f>
        <v>5.3832101701122097</v>
      </c>
      <c r="L226" s="7" cm="1">
        <f t="array" ref="L226">INDEX(coordinates!D:D,MATCH(municipalities!$A226,coordinates!$A:$A,0),0)</f>
        <v>51.411857774839213</v>
      </c>
      <c r="M226" s="8">
        <v>1</v>
      </c>
      <c r="N226" s="9">
        <v>46417</v>
      </c>
      <c r="O226" s="9">
        <v>23363</v>
      </c>
      <c r="P226" s="9">
        <v>23054</v>
      </c>
      <c r="Q226" s="9">
        <v>2</v>
      </c>
      <c r="R226" s="10">
        <v>1684</v>
      </c>
      <c r="S226" s="11">
        <v>67</v>
      </c>
      <c r="T226" s="11">
        <v>33</v>
      </c>
      <c r="U226" s="12">
        <f t="shared" si="24"/>
        <v>36.4</v>
      </c>
      <c r="V226" s="12">
        <f t="shared" si="25"/>
        <v>3.8</v>
      </c>
      <c r="W226" s="12">
        <f t="shared" si="26"/>
        <v>5.9</v>
      </c>
      <c r="X226" s="12">
        <f t="shared" si="27"/>
        <v>8.1</v>
      </c>
      <c r="Y226" s="12">
        <f t="shared" si="28"/>
        <v>186.5</v>
      </c>
      <c r="Z226" s="12" cm="1">
        <f t="array" ref="Z226">INDEX(municipality_wind_potential!$X:$X,MATCH(municipalities!$F226,municipality_wind_potential!$E:$E,0),0)</f>
        <v>2</v>
      </c>
      <c r="AA226" s="12">
        <f t="shared" si="29"/>
        <v>11.2</v>
      </c>
      <c r="AB226" s="12" cm="1">
        <f t="array" ref="AB226">INDEX(municipality_wind_potential!$Y:$Y,MATCH(municipalities!$F226,municipality_wind_potential!$E:$E,0),0) / 3.6</f>
        <v>29.680555555555554</v>
      </c>
      <c r="AC226" s="12">
        <f t="shared" si="30"/>
        <v>73.765298776097907</v>
      </c>
      <c r="AD226" s="12" cm="1">
        <f t="array" ref="AD226">INDEX(municipality_pv_potential!$G:$G,MATCH(municipalities!$A226,municipality_pv_potential!$E:$E,0),0)/3.6*$AH$4</f>
        <v>68.306666666666658</v>
      </c>
      <c r="AE226" s="12">
        <f t="shared" si="31"/>
        <v>46.886249100072</v>
      </c>
      <c r="AF226" s="12" cm="1">
        <f t="array" ref="AF226">INDEX(municipality_pv_potential!$H:$H,MATCH(municipalities!$A226,municipality_pv_potential!$E:$E,0),0)/3.6</f>
        <v>43.416666666666671</v>
      </c>
      <c r="AG226" s="12"/>
      <c r="AJ226">
        <v>36.4</v>
      </c>
      <c r="AK226">
        <v>3.8</v>
      </c>
      <c r="AL226">
        <v>5.9</v>
      </c>
      <c r="AM226">
        <v>8.1</v>
      </c>
      <c r="AN226">
        <v>186.5</v>
      </c>
    </row>
    <row r="227" spans="1:40" x14ac:dyDescent="0.25">
      <c r="A227" s="5" t="s">
        <v>695</v>
      </c>
      <c r="B227" s="6" t="s">
        <v>696</v>
      </c>
      <c r="C227" s="7" t="s">
        <v>697</v>
      </c>
      <c r="D227" s="7" t="s">
        <v>697</v>
      </c>
      <c r="E227" s="7" t="s">
        <v>22</v>
      </c>
      <c r="F227" s="7" t="s">
        <v>695</v>
      </c>
      <c r="G227" s="7" t="str" cm="1">
        <f t="array" ref="G227">INDEX('municipalities per province'!F:F,MATCH(municipalities!A227,'municipalities per province'!B:B,0),0)</f>
        <v>Noord-Brabant</v>
      </c>
      <c r="H227" s="7" t="str" cm="1">
        <f t="array" ref="H227">INDEX('municipalities per province'!E:E,MATCH(municipalities!$A227,'municipalities per province'!$B:$B,0),0)</f>
        <v>PV30</v>
      </c>
      <c r="I227" s="7" t="str" cm="1">
        <f t="array" ref="I227">INDEX('municipalities per province'!G:G,MATCH(municipalities!$A227,'municipalities per province'!$B:$B,0),0)</f>
        <v>Noordoost-Brabant</v>
      </c>
      <c r="J227" s="7" t="str" cm="1">
        <f t="array" ref="J227">INDEX('municipalities per province'!H:H,MATCH(municipalities!$A227,'municipalities per province'!$B:$B,0),0)</f>
        <v>ES27</v>
      </c>
      <c r="K227" s="7" cm="1">
        <f t="array" ref="K227">INDEX(coordinates!C:C,MATCH(municipalities!$A227,coordinates!$A:$A,0),0)</f>
        <v>5.2426069059661016</v>
      </c>
      <c r="L227" s="7" cm="1">
        <f t="array" ref="L227">INDEX(coordinates!D:D,MATCH(municipalities!$A227,coordinates!$A:$A,0),0)</f>
        <v>51.65035919457808</v>
      </c>
      <c r="M227" s="8">
        <v>1</v>
      </c>
      <c r="N227" s="9">
        <v>32113</v>
      </c>
      <c r="O227" s="9">
        <v>16017</v>
      </c>
      <c r="P227" s="9">
        <v>16096</v>
      </c>
      <c r="Q227" s="9">
        <v>3</v>
      </c>
      <c r="R227" s="10">
        <v>1174</v>
      </c>
      <c r="S227" s="11">
        <v>65</v>
      </c>
      <c r="T227" s="11">
        <v>35</v>
      </c>
      <c r="U227" s="12">
        <f t="shared" si="24"/>
        <v>43</v>
      </c>
      <c r="V227" s="12">
        <f t="shared" si="25"/>
        <v>3.8</v>
      </c>
      <c r="W227" s="12">
        <f t="shared" si="26"/>
        <v>6.1</v>
      </c>
      <c r="X227" s="12">
        <f t="shared" si="27"/>
        <v>8.3000000000000007</v>
      </c>
      <c r="Y227" s="12">
        <f t="shared" si="28"/>
        <v>203.8</v>
      </c>
      <c r="Z227" s="12" cm="1">
        <f t="array" ref="Z227">INDEX(municipality_wind_potential!$X:$X,MATCH(municipalities!$F227,municipality_wind_potential!$E:$E,0),0)</f>
        <v>16</v>
      </c>
      <c r="AA227" s="12">
        <f t="shared" si="29"/>
        <v>89.6</v>
      </c>
      <c r="AB227" s="12" cm="1">
        <f t="array" ref="AB227">INDEX(municipality_wind_potential!$Y:$Y,MATCH(municipalities!$F227,municipality_wind_potential!$E:$E,0),0) / 3.6</f>
        <v>230.01944444444445</v>
      </c>
      <c r="AC227" s="12">
        <f t="shared" si="30"/>
        <v>39.707223422126233</v>
      </c>
      <c r="AD227" s="12" cm="1">
        <f t="array" ref="AD227">INDEX(municipality_pv_potential!$G:$G,MATCH(municipalities!$A227,municipality_pv_potential!$E:$E,0),0)/3.6*$AH$4</f>
        <v>36.768888888888895</v>
      </c>
      <c r="AE227" s="12">
        <f t="shared" si="31"/>
        <v>55.165586753059756</v>
      </c>
      <c r="AF227" s="12" cm="1">
        <f t="array" ref="AF227">INDEX(municipality_pv_potential!$H:$H,MATCH(municipalities!$A227,municipality_pv_potential!$E:$E,0),0)/3.6</f>
        <v>51.083333333333336</v>
      </c>
      <c r="AG227" s="12"/>
      <c r="AJ227">
        <v>43</v>
      </c>
      <c r="AK227">
        <v>3.8</v>
      </c>
      <c r="AL227">
        <v>6.1</v>
      </c>
      <c r="AM227">
        <v>8.3000000000000007</v>
      </c>
      <c r="AN227">
        <v>203.8</v>
      </c>
    </row>
    <row r="228" spans="1:40" x14ac:dyDescent="0.25">
      <c r="A228" s="5" t="s">
        <v>698</v>
      </c>
      <c r="B228" s="6" t="s">
        <v>699</v>
      </c>
      <c r="C228" s="7" t="s">
        <v>700</v>
      </c>
      <c r="D228" s="7" t="s">
        <v>700</v>
      </c>
      <c r="E228" s="7" t="s">
        <v>22</v>
      </c>
      <c r="F228" s="7" t="s">
        <v>698</v>
      </c>
      <c r="G228" s="7" t="str" cm="1">
        <f t="array" ref="G228">INDEX('municipalities per province'!F:F,MATCH(municipalities!A228,'municipalities per province'!B:B,0),0)</f>
        <v>Noord-Brabant</v>
      </c>
      <c r="H228" s="7" t="str" cm="1">
        <f t="array" ref="H228">INDEX('municipalities per province'!E:E,MATCH(municipalities!$A228,'municipalities per province'!$B:$B,0),0)</f>
        <v>PV30</v>
      </c>
      <c r="I228" s="7" t="str" cm="1">
        <f t="array" ref="I228">INDEX('municipalities per province'!G:G,MATCH(municipalities!$A228,'municipalities per province'!$B:$B,0),0)</f>
        <v>MetropoolregioEindhoven</v>
      </c>
      <c r="J228" s="7" t="str" cm="1">
        <f t="array" ref="J228">INDEX('municipalities per province'!H:H,MATCH(municipalities!$A228,'municipalities per province'!$B:$B,0),0)</f>
        <v>ES26</v>
      </c>
      <c r="K228" s="7" cm="1">
        <f t="array" ref="K228">INDEX(coordinates!C:C,MATCH(municipalities!$A228,coordinates!$A:$A,0),0)</f>
        <v>5.4648704975364639</v>
      </c>
      <c r="L228" s="7" cm="1">
        <f t="array" ref="L228">INDEX(coordinates!D:D,MATCH(municipalities!$A228,coordinates!$A:$A,0),0)</f>
        <v>51.387291238331279</v>
      </c>
      <c r="M228" s="8">
        <v>1</v>
      </c>
      <c r="N228" s="9">
        <v>17980</v>
      </c>
      <c r="O228" s="9">
        <v>8945</v>
      </c>
      <c r="P228" s="9">
        <v>9035</v>
      </c>
      <c r="Q228" s="9">
        <v>4</v>
      </c>
      <c r="R228" s="10">
        <v>889</v>
      </c>
      <c r="S228" s="11">
        <v>74</v>
      </c>
      <c r="T228" s="11">
        <v>26</v>
      </c>
      <c r="U228" s="12">
        <f t="shared" si="24"/>
        <v>43</v>
      </c>
      <c r="V228" s="12">
        <f t="shared" si="25"/>
        <v>4.2</v>
      </c>
      <c r="W228" s="12">
        <f t="shared" si="26"/>
        <v>6.1</v>
      </c>
      <c r="X228" s="12">
        <f t="shared" si="27"/>
        <v>7.8</v>
      </c>
      <c r="Y228" s="12">
        <f t="shared" si="28"/>
        <v>264.3</v>
      </c>
      <c r="Z228" s="12" cm="1">
        <f t="array" ref="Z228">INDEX(municipality_wind_potential!$X:$X,MATCH(municipalities!$F228,municipality_wind_potential!$E:$E,0),0)</f>
        <v>9</v>
      </c>
      <c r="AA228" s="12">
        <f t="shared" si="29"/>
        <v>50.4</v>
      </c>
      <c r="AB228" s="12" cm="1">
        <f t="array" ref="AB228">INDEX(municipality_wind_potential!$Y:$Y,MATCH(municipalities!$F228,municipality_wind_potential!$E:$E,0),0) / 3.6</f>
        <v>133.5611111111111</v>
      </c>
      <c r="AC228" s="12">
        <f t="shared" si="30"/>
        <v>26.561075113990885</v>
      </c>
      <c r="AD228" s="12" cm="1">
        <f t="array" ref="AD228">INDEX(municipality_pv_potential!$G:$G,MATCH(municipalities!$A228,municipality_pv_potential!$E:$E,0),0)/3.6*$AH$4</f>
        <v>24.59555555555556</v>
      </c>
      <c r="AE228" s="12">
        <f t="shared" si="31"/>
        <v>31.002519798416124</v>
      </c>
      <c r="AF228" s="12" cm="1">
        <f t="array" ref="AF228">INDEX(municipality_pv_potential!$H:$H,MATCH(municipalities!$A228,municipality_pv_potential!$E:$E,0),0)/3.6</f>
        <v>28.708333333333332</v>
      </c>
      <c r="AG228" s="12"/>
      <c r="AJ228">
        <v>43</v>
      </c>
      <c r="AK228">
        <v>4.2</v>
      </c>
      <c r="AL228">
        <v>6.1</v>
      </c>
      <c r="AM228">
        <v>7.8</v>
      </c>
      <c r="AN228">
        <v>264.3</v>
      </c>
    </row>
    <row r="229" spans="1:40" x14ac:dyDescent="0.25">
      <c r="A229" s="5" t="s">
        <v>701</v>
      </c>
      <c r="B229" s="6" t="s">
        <v>702</v>
      </c>
      <c r="C229" s="7" t="s">
        <v>703</v>
      </c>
      <c r="D229" s="7" t="s">
        <v>703</v>
      </c>
      <c r="E229" s="7" t="s">
        <v>22</v>
      </c>
      <c r="F229" s="7" t="s">
        <v>701</v>
      </c>
      <c r="G229" s="7" t="str" cm="1">
        <f t="array" ref="G229">INDEX('municipalities per province'!F:F,MATCH(municipalities!A229,'municipalities per province'!B:B,0),0)</f>
        <v>Noord-Brabant</v>
      </c>
      <c r="H229" s="7" t="str" cm="1">
        <f t="array" ref="H229">INDEX('municipalities per province'!E:E,MATCH(municipalities!$A229,'municipalities per province'!$B:$B,0),0)</f>
        <v>PV30</v>
      </c>
      <c r="I229" s="7" t="str" cm="1">
        <f t="array" ref="I229">INDEX('municipalities per province'!G:G,MATCH(municipalities!$A229,'municipalities per province'!$B:$B,0),0)</f>
        <v>HartvanBrabant</v>
      </c>
      <c r="J229" s="7" t="str" cm="1">
        <f t="array" ref="J229">INDEX('municipalities per province'!H:H,MATCH(municipalities!$A229,'municipalities per province'!$B:$B,0),0)</f>
        <v>ES25</v>
      </c>
      <c r="K229" s="7" cm="1">
        <f t="array" ref="K229">INDEX(coordinates!C:C,MATCH(municipalities!$A229,coordinates!$A:$A,0),0)</f>
        <v>5.0118203892786983</v>
      </c>
      <c r="L229" s="7" cm="1">
        <f t="array" ref="L229">INDEX(coordinates!D:D,MATCH(municipalities!$A229,coordinates!$A:$A,0),0)</f>
        <v>51.692314188029421</v>
      </c>
      <c r="M229" s="8">
        <v>1</v>
      </c>
      <c r="N229" s="9">
        <v>49952</v>
      </c>
      <c r="O229" s="9">
        <v>24990</v>
      </c>
      <c r="P229" s="9">
        <v>24962</v>
      </c>
      <c r="Q229" s="9">
        <v>3</v>
      </c>
      <c r="R229" s="10">
        <v>1350</v>
      </c>
      <c r="S229" s="11">
        <v>60</v>
      </c>
      <c r="T229" s="11">
        <v>40</v>
      </c>
      <c r="U229" s="12">
        <f t="shared" si="24"/>
        <v>33.1</v>
      </c>
      <c r="V229" s="12">
        <f t="shared" si="25"/>
        <v>5.2</v>
      </c>
      <c r="W229" s="12">
        <f t="shared" si="26"/>
        <v>8.6</v>
      </c>
      <c r="X229" s="12">
        <f t="shared" si="27"/>
        <v>11.6</v>
      </c>
      <c r="Y229" s="12">
        <f t="shared" si="28"/>
        <v>94.5</v>
      </c>
      <c r="Z229" s="12" cm="1">
        <f t="array" ref="Z229">INDEX(municipality_wind_potential!$X:$X,MATCH(municipalities!$F229,municipality_wind_potential!$E:$E,0),0)</f>
        <v>33</v>
      </c>
      <c r="AA229" s="12">
        <f t="shared" si="29"/>
        <v>184.79999999999998</v>
      </c>
      <c r="AB229" s="12" cm="1">
        <f t="array" ref="AB229">INDEX(municipality_wind_potential!$Y:$Y,MATCH(municipalities!$F229,municipality_wind_potential!$E:$E,0),0) / 3.6</f>
        <v>524.16111111111115</v>
      </c>
      <c r="AC229" s="12">
        <f t="shared" si="30"/>
        <v>104.88480921526278</v>
      </c>
      <c r="AD229" s="12" cm="1">
        <f t="array" ref="AD229">INDEX(municipality_pv_potential!$G:$G,MATCH(municipalities!$A229,municipality_pv_potential!$E:$E,0),0)/3.6*$AH$4</f>
        <v>97.123333333333335</v>
      </c>
      <c r="AE229" s="12">
        <f t="shared" si="31"/>
        <v>177.87976961843052</v>
      </c>
      <c r="AF229" s="12" cm="1">
        <f t="array" ref="AF229">INDEX(municipality_pv_potential!$H:$H,MATCH(municipalities!$A229,municipality_pv_potential!$E:$E,0),0)/3.6</f>
        <v>164.71666666666667</v>
      </c>
      <c r="AG229" s="12"/>
      <c r="AJ229">
        <v>33.1</v>
      </c>
      <c r="AK229">
        <v>5.2</v>
      </c>
      <c r="AL229">
        <v>8.6</v>
      </c>
      <c r="AM229">
        <v>11.6</v>
      </c>
      <c r="AN229">
        <v>94.5</v>
      </c>
    </row>
    <row r="230" spans="1:40" x14ac:dyDescent="0.25">
      <c r="A230" s="5" t="s">
        <v>704</v>
      </c>
      <c r="B230" s="6" t="s">
        <v>705</v>
      </c>
      <c r="C230" s="7" t="s">
        <v>706</v>
      </c>
      <c r="D230" s="7" t="s">
        <v>706</v>
      </c>
      <c r="E230" s="7" t="s">
        <v>22</v>
      </c>
      <c r="F230" s="7" t="s">
        <v>704</v>
      </c>
      <c r="G230" s="7" t="str" cm="1">
        <f t="array" ref="G230">INDEX('municipalities per province'!F:F,MATCH(municipalities!A230,'municipalities per province'!B:B,0),0)</f>
        <v>Noord-Brabant</v>
      </c>
      <c r="H230" s="7" t="str" cm="1">
        <f t="array" ref="H230">INDEX('municipalities per province'!E:E,MATCH(municipalities!$A230,'municipalities per province'!$B:$B,0),0)</f>
        <v>PV30</v>
      </c>
      <c r="I230" s="7" t="str" cm="1">
        <f t="array" ref="I230">INDEX('municipalities per province'!G:G,MATCH(municipalities!$A230,'municipalities per province'!$B:$B,0),0)</f>
        <v>West-Brabant</v>
      </c>
      <c r="J230" s="7" t="str" cm="1">
        <f t="array" ref="J230">INDEX('municipalities per province'!H:H,MATCH(municipalities!$A230,'municipalities per province'!$B:$B,0),0)</f>
        <v>ES28</v>
      </c>
      <c r="K230" s="7" cm="1">
        <f t="array" ref="K230">INDEX(coordinates!C:C,MATCH(municipalities!$A230,coordinates!$A:$A,0),0)</f>
        <v>4.3422564979817322</v>
      </c>
      <c r="L230" s="7" cm="1">
        <f t="array" ref="L230">INDEX(coordinates!D:D,MATCH(municipalities!$A230,coordinates!$A:$A,0),0)</f>
        <v>51.408299913549577</v>
      </c>
      <c r="M230" s="8">
        <v>1</v>
      </c>
      <c r="N230" s="9">
        <v>22191</v>
      </c>
      <c r="O230" s="9">
        <v>11115</v>
      </c>
      <c r="P230" s="9">
        <v>11076</v>
      </c>
      <c r="Q230" s="9">
        <v>4</v>
      </c>
      <c r="R230" s="10">
        <v>668</v>
      </c>
      <c r="S230" s="11">
        <v>72</v>
      </c>
      <c r="T230" s="11">
        <v>27</v>
      </c>
      <c r="U230" s="12">
        <f t="shared" si="24"/>
        <v>33.299999999999997</v>
      </c>
      <c r="V230" s="12">
        <f t="shared" si="25"/>
        <v>4.3</v>
      </c>
      <c r="W230" s="12">
        <f t="shared" si="26"/>
        <v>6.4</v>
      </c>
      <c r="X230" s="12">
        <f t="shared" si="27"/>
        <v>8.4</v>
      </c>
      <c r="Y230" s="12">
        <f t="shared" si="28"/>
        <v>152.5</v>
      </c>
      <c r="Z230" s="12" cm="1">
        <f t="array" ref="Z230">INDEX(municipality_wind_potential!$X:$X,MATCH(municipalities!$F230,municipality_wind_potential!$E:$E,0),0)</f>
        <v>36</v>
      </c>
      <c r="AA230" s="12">
        <f t="shared" si="29"/>
        <v>201.6</v>
      </c>
      <c r="AB230" s="12" cm="1">
        <f t="array" ref="AB230">INDEX(municipality_wind_potential!$Y:$Y,MATCH(municipalities!$F230,municipality_wind_potential!$E:$E,0),0) / 3.6</f>
        <v>534.23888888888882</v>
      </c>
      <c r="AC230" s="12">
        <f t="shared" si="30"/>
        <v>54.272858171346293</v>
      </c>
      <c r="AD230" s="12" cm="1">
        <f t="array" ref="AD230">INDEX(municipality_pv_potential!$G:$G,MATCH(municipalities!$A230,municipality_pv_potential!$E:$E,0),0)/3.6*$AH$4</f>
        <v>50.256666666666668</v>
      </c>
      <c r="AE230" s="12">
        <f t="shared" si="31"/>
        <v>163.33993280537555</v>
      </c>
      <c r="AF230" s="12" cm="1">
        <f t="array" ref="AF230">INDEX(municipality_pv_potential!$H:$H,MATCH(municipalities!$A230,municipality_pv_potential!$E:$E,0),0)/3.6</f>
        <v>151.25277777777777</v>
      </c>
      <c r="AG230" s="12"/>
      <c r="AJ230">
        <v>33.299999999999997</v>
      </c>
      <c r="AK230">
        <v>4.3</v>
      </c>
      <c r="AL230">
        <v>6.4</v>
      </c>
      <c r="AM230">
        <v>8.4</v>
      </c>
      <c r="AN230">
        <v>152.5</v>
      </c>
    </row>
    <row r="231" spans="1:40" x14ac:dyDescent="0.25">
      <c r="A231" s="5" t="s">
        <v>707</v>
      </c>
      <c r="B231" s="6" t="s">
        <v>708</v>
      </c>
      <c r="C231" s="7" t="s">
        <v>709</v>
      </c>
      <c r="D231" s="7" t="s">
        <v>709</v>
      </c>
      <c r="E231" s="7" t="s">
        <v>22</v>
      </c>
      <c r="F231" s="7" t="s">
        <v>707</v>
      </c>
      <c r="G231" s="7" t="str" cm="1">
        <f t="array" ref="G231">INDEX('municipalities per province'!F:F,MATCH(municipalities!A231,'municipalities per province'!B:B,0),0)</f>
        <v>Noord-Brabant</v>
      </c>
      <c r="H231" s="7" t="str" cm="1">
        <f t="array" ref="H231">INDEX('municipalities per province'!E:E,MATCH(municipalities!$A231,'municipalities per province'!$B:$B,0),0)</f>
        <v>PV30</v>
      </c>
      <c r="I231" s="7" t="str" cm="1">
        <f t="array" ref="I231">INDEX('municipalities per province'!G:G,MATCH(municipalities!$A231,'municipalities per province'!$B:$B,0),0)</f>
        <v>West-Brabant</v>
      </c>
      <c r="J231" s="7" t="str" cm="1">
        <f t="array" ref="J231">INDEX('municipalities per province'!H:H,MATCH(municipalities!$A231,'municipalities per province'!$B:$B,0),0)</f>
        <v>ES28</v>
      </c>
      <c r="K231" s="7" cm="1">
        <f t="array" ref="K231">INDEX(coordinates!C:C,MATCH(municipalities!$A231,coordinates!$A:$A,0),0)</f>
        <v>4.6426594155151104</v>
      </c>
      <c r="L231" s="7" cm="1">
        <f t="array" ref="L231">INDEX(coordinates!D:D,MATCH(municipalities!$A231,coordinates!$A:$A,0),0)</f>
        <v>51.479806521087703</v>
      </c>
      <c r="M231" s="8">
        <v>1</v>
      </c>
      <c r="N231" s="9">
        <v>22518</v>
      </c>
      <c r="O231" s="9">
        <v>11499</v>
      </c>
      <c r="P231" s="9">
        <v>11019</v>
      </c>
      <c r="Q231" s="9">
        <v>4</v>
      </c>
      <c r="R231" s="10">
        <v>592</v>
      </c>
      <c r="S231" s="11">
        <v>75</v>
      </c>
      <c r="T231" s="11">
        <v>25</v>
      </c>
      <c r="U231" s="12">
        <f t="shared" si="24"/>
        <v>35.200000000000003</v>
      </c>
      <c r="V231" s="12">
        <f t="shared" si="25"/>
        <v>4.0999999999999996</v>
      </c>
      <c r="W231" s="12">
        <f t="shared" si="26"/>
        <v>5.8</v>
      </c>
      <c r="X231" s="12">
        <f t="shared" si="27"/>
        <v>7.8</v>
      </c>
      <c r="Y231" s="12">
        <f t="shared" si="28"/>
        <v>251.2</v>
      </c>
      <c r="Z231" s="12" cm="1">
        <f t="array" ref="Z231">INDEX(municipality_wind_potential!$X:$X,MATCH(municipalities!$F231,municipality_wind_potential!$E:$E,0),0)</f>
        <v>72</v>
      </c>
      <c r="AA231" s="12">
        <f t="shared" si="29"/>
        <v>403.2</v>
      </c>
      <c r="AB231" s="12" cm="1">
        <f t="array" ref="AB231">INDEX(municipality_wind_potential!$Y:$Y,MATCH(municipalities!$F231,municipality_wind_potential!$E:$E,0),0) / 3.6</f>
        <v>1153.1527777777778</v>
      </c>
      <c r="AC231" s="12">
        <f t="shared" si="30"/>
        <v>72.930165586753049</v>
      </c>
      <c r="AD231" s="12" cm="1">
        <f t="array" ref="AD231">INDEX(municipality_pv_potential!$G:$G,MATCH(municipalities!$A231,municipality_pv_potential!$E:$E,0),0)/3.6*$AH$4</f>
        <v>67.533333333333331</v>
      </c>
      <c r="AE231" s="12">
        <f t="shared" si="31"/>
        <v>359.08627309815211</v>
      </c>
      <c r="AF231" s="12" cm="1">
        <f t="array" ref="AF231">INDEX(municipality_pv_potential!$H:$H,MATCH(municipalities!$A231,municipality_pv_potential!$E:$E,0),0)/3.6</f>
        <v>332.51388888888886</v>
      </c>
      <c r="AG231" s="12"/>
      <c r="AJ231">
        <v>35.200000000000003</v>
      </c>
      <c r="AK231">
        <v>4.0999999999999996</v>
      </c>
      <c r="AL231">
        <v>5.8</v>
      </c>
      <c r="AM231">
        <v>7.8</v>
      </c>
      <c r="AN231">
        <v>251.2</v>
      </c>
    </row>
    <row r="232" spans="1:40" x14ac:dyDescent="0.25">
      <c r="A232" s="5" t="s">
        <v>710</v>
      </c>
      <c r="B232" s="6" t="s">
        <v>711</v>
      </c>
      <c r="C232" s="7" t="s">
        <v>712</v>
      </c>
      <c r="D232" s="7" t="s">
        <v>712</v>
      </c>
      <c r="E232" s="7" t="s">
        <v>22</v>
      </c>
      <c r="F232" s="7" t="s">
        <v>710</v>
      </c>
      <c r="G232" s="7" t="str" cm="1">
        <f t="array" ref="G232">INDEX('municipalities per province'!F:F,MATCH(municipalities!A232,'municipalities per province'!B:B,0),0)</f>
        <v>Noord-Holland</v>
      </c>
      <c r="H232" s="7" t="str" cm="1">
        <f t="array" ref="H232">INDEX('municipalities per province'!E:E,MATCH(municipalities!$A232,'municipalities per province'!$B:$B,0),0)</f>
        <v>PV27</v>
      </c>
      <c r="I232" s="7" t="str" cm="1">
        <f t="array" ref="I232">INDEX('municipalities per province'!G:G,MATCH(municipalities!$A232,'municipalities per province'!$B:$B,0),0)</f>
        <v>Noord-HollandZuid</v>
      </c>
      <c r="J232" s="7" t="str" cm="1">
        <f t="array" ref="J232">INDEX('municipalities per province'!H:H,MATCH(municipalities!$A232,'municipalities per province'!$B:$B,0),0)</f>
        <v>ES16</v>
      </c>
      <c r="K232" s="7" cm="1">
        <f t="array" ref="K232">INDEX(coordinates!C:C,MATCH(municipalities!$A232,coordinates!$A:$A,0),0)</f>
        <v>4.8551241594976977</v>
      </c>
      <c r="L232" s="7" cm="1">
        <f t="array" ref="L232">INDEX(coordinates!D:D,MATCH(municipalities!$A232,coordinates!$A:$A,0),0)</f>
        <v>52.502000256701947</v>
      </c>
      <c r="M232" s="8">
        <v>1</v>
      </c>
      <c r="N232" s="9">
        <v>16612</v>
      </c>
      <c r="O232" s="9">
        <v>8172</v>
      </c>
      <c r="P232" s="9">
        <v>8440</v>
      </c>
      <c r="Q232" s="9">
        <v>3</v>
      </c>
      <c r="R232" s="10">
        <v>1491</v>
      </c>
      <c r="S232" s="11">
        <v>64</v>
      </c>
      <c r="T232" s="11">
        <v>36</v>
      </c>
      <c r="U232" s="12">
        <f t="shared" si="24"/>
        <v>35.700000000000003</v>
      </c>
      <c r="V232" s="12">
        <f t="shared" si="25"/>
        <v>3.8</v>
      </c>
      <c r="W232" s="12">
        <f t="shared" si="26"/>
        <v>6.2</v>
      </c>
      <c r="X232" s="12">
        <f t="shared" si="27"/>
        <v>8.6</v>
      </c>
      <c r="Y232" s="12">
        <f t="shared" si="28"/>
        <v>174.6</v>
      </c>
      <c r="Z232" s="12" cm="1">
        <f t="array" ref="Z232">INDEX(municipality_wind_potential!$X:$X,MATCH(municipalities!$F232,municipality_wind_potential!$E:$E,0),0)</f>
        <v>36</v>
      </c>
      <c r="AA232" s="12">
        <f t="shared" si="29"/>
        <v>201.6</v>
      </c>
      <c r="AB232" s="12" cm="1">
        <f t="array" ref="AB232">INDEX(municipality_wind_potential!$Y:$Y,MATCH(municipalities!$F232,municipality_wind_potential!$E:$E,0),0) / 3.6</f>
        <v>630.19722222222219</v>
      </c>
      <c r="AC232" s="12">
        <f t="shared" si="30"/>
        <v>25.35097192224622</v>
      </c>
      <c r="AD232" s="12" cm="1">
        <f t="array" ref="AD232">INDEX(municipality_pv_potential!$G:$G,MATCH(municipalities!$A232,municipality_pv_potential!$E:$E,0),0)/3.6*$AH$4</f>
        <v>23.475000000000001</v>
      </c>
      <c r="AE232" s="12">
        <f t="shared" si="31"/>
        <v>128.82169426445887</v>
      </c>
      <c r="AF232" s="12" cm="1">
        <f t="array" ref="AF232">INDEX(municipality_pv_potential!$H:$H,MATCH(municipalities!$A232,municipality_pv_potential!$E:$E,0),0)/3.6</f>
        <v>119.28888888888889</v>
      </c>
      <c r="AG232" s="12"/>
      <c r="AJ232">
        <v>35.700000000000003</v>
      </c>
      <c r="AK232">
        <v>3.8</v>
      </c>
      <c r="AL232">
        <v>6.2</v>
      </c>
      <c r="AM232">
        <v>8.6</v>
      </c>
      <c r="AN232">
        <v>174.6</v>
      </c>
    </row>
    <row r="233" spans="1:40" x14ac:dyDescent="0.25">
      <c r="A233" s="5" t="s">
        <v>713</v>
      </c>
      <c r="B233" s="6" t="s">
        <v>714</v>
      </c>
      <c r="C233" s="7" t="s">
        <v>715</v>
      </c>
      <c r="D233" s="7" t="s">
        <v>715</v>
      </c>
      <c r="E233" s="7" t="s">
        <v>22</v>
      </c>
      <c r="F233" s="7" t="s">
        <v>713</v>
      </c>
      <c r="G233" s="7" t="str" cm="1">
        <f t="array" ref="G233">INDEX('municipalities per province'!F:F,MATCH(municipalities!A233,'municipalities per province'!B:B,0),0)</f>
        <v>Limburg</v>
      </c>
      <c r="H233" s="7" t="str" cm="1">
        <f t="array" ref="H233">INDEX('municipalities per province'!E:E,MATCH(municipalities!$A233,'municipalities per province'!$B:$B,0),0)</f>
        <v>PV31</v>
      </c>
      <c r="I233" s="7" t="str" cm="1">
        <f t="array" ref="I233">INDEX('municipalities per province'!G:G,MATCH(municipalities!$A233,'municipalities per province'!$B:$B,0),0)</f>
        <v>Zuid-Limburg</v>
      </c>
      <c r="J233" s="7" t="str" cm="1">
        <f t="array" ref="J233">INDEX('municipalities per province'!H:H,MATCH(municipalities!$A233,'municipalities per province'!$B:$B,0),0)</f>
        <v>ES30</v>
      </c>
      <c r="K233" s="7" cm="1">
        <f t="array" ref="K233">INDEX(coordinates!C:C,MATCH(municipalities!$A233,coordinates!$A:$A,0),0)</f>
        <v>6.0329899892006598</v>
      </c>
      <c r="L233" s="7" cm="1">
        <f t="array" ref="L233">INDEX(coordinates!D:D,MATCH(municipalities!$A233,coordinates!$A:$A,0),0)</f>
        <v>50.906431347080471</v>
      </c>
      <c r="M233" s="8">
        <v>1</v>
      </c>
      <c r="N233" s="9">
        <v>37175</v>
      </c>
      <c r="O233" s="9">
        <v>18307</v>
      </c>
      <c r="P233" s="9">
        <v>18868</v>
      </c>
      <c r="Q233" s="9">
        <v>3</v>
      </c>
      <c r="R233" s="10">
        <v>1455</v>
      </c>
      <c r="S233" s="11">
        <v>63</v>
      </c>
      <c r="T233" s="11">
        <v>36</v>
      </c>
      <c r="U233" s="12">
        <f t="shared" si="24"/>
        <v>30.3</v>
      </c>
      <c r="V233" s="12">
        <f t="shared" si="25"/>
        <v>7</v>
      </c>
      <c r="W233" s="12">
        <f t="shared" si="26"/>
        <v>11.2</v>
      </c>
      <c r="X233" s="12">
        <f t="shared" si="27"/>
        <v>14.4</v>
      </c>
      <c r="Y233" s="12">
        <f t="shared" si="28"/>
        <v>68.5</v>
      </c>
      <c r="Z233" s="12" cm="1">
        <f t="array" ref="Z233">INDEX(municipality_wind_potential!$X:$X,MATCH(municipalities!$F233,municipality_wind_potential!$E:$E,0),0)</f>
        <v>2</v>
      </c>
      <c r="AA233" s="12">
        <f t="shared" si="29"/>
        <v>11.2</v>
      </c>
      <c r="AB233" s="12" cm="1">
        <f t="array" ref="AB233">INDEX(municipality_wind_potential!$Y:$Y,MATCH(municipalities!$F233,municipality_wind_potential!$E:$E,0),0) / 3.6</f>
        <v>22.261111111111109</v>
      </c>
      <c r="AC233" s="12">
        <f t="shared" si="30"/>
        <v>54.086873050155987</v>
      </c>
      <c r="AD233" s="12" cm="1">
        <f t="array" ref="AD233">INDEX(municipality_pv_potential!$G:$G,MATCH(municipalities!$A233,municipality_pv_potential!$E:$E,0),0)/3.6*$AH$4</f>
        <v>50.084444444444443</v>
      </c>
      <c r="AE233" s="12">
        <f t="shared" si="31"/>
        <v>27.474802015838733</v>
      </c>
      <c r="AF233" s="12" cm="1">
        <f t="array" ref="AF233">INDEX(municipality_pv_potential!$H:$H,MATCH(municipalities!$A233,municipality_pv_potential!$E:$E,0),0)/3.6</f>
        <v>25.441666666666666</v>
      </c>
      <c r="AG233" s="12"/>
      <c r="AJ233">
        <v>30.3</v>
      </c>
      <c r="AK233">
        <v>7</v>
      </c>
      <c r="AL233">
        <v>11.2</v>
      </c>
      <c r="AM233">
        <v>14.4</v>
      </c>
      <c r="AN233">
        <v>68.5</v>
      </c>
    </row>
    <row r="234" spans="1:40" x14ac:dyDescent="0.25">
      <c r="A234" s="5" t="s">
        <v>716</v>
      </c>
      <c r="B234" s="6" t="s">
        <v>717</v>
      </c>
      <c r="C234" s="7" t="s">
        <v>718</v>
      </c>
      <c r="D234" s="7" t="s">
        <v>718</v>
      </c>
      <c r="E234" s="7" t="s">
        <v>22</v>
      </c>
      <c r="F234" s="7" t="s">
        <v>716</v>
      </c>
      <c r="G234" s="7" t="str" cm="1">
        <f t="array" ref="G234">INDEX('municipalities per province'!F:F,MATCH(municipalities!A234,'municipalities per province'!B:B,0),0)</f>
        <v>Limburg</v>
      </c>
      <c r="H234" s="7" t="str" cm="1">
        <f t="array" ref="H234">INDEX('municipalities per province'!E:E,MATCH(municipalities!$A234,'municipalities per province'!$B:$B,0),0)</f>
        <v>PV31</v>
      </c>
      <c r="I234" s="7" t="str" cm="1">
        <f t="array" ref="I234">INDEX('municipalities per province'!G:G,MATCH(municipalities!$A234,'municipalities per province'!$B:$B,0),0)</f>
        <v>Zuid-Limburg</v>
      </c>
      <c r="J234" s="7" t="str" cm="1">
        <f t="array" ref="J234">INDEX('municipalities per province'!H:H,MATCH(municipalities!$A234,'municipalities per province'!$B:$B,0),0)</f>
        <v>ES30</v>
      </c>
      <c r="K234" s="7" cm="1">
        <f t="array" ref="K234">INDEX(coordinates!C:C,MATCH(municipalities!$A234,coordinates!$A:$A,0),0)</f>
        <v>5.8091365438443576</v>
      </c>
      <c r="L234" s="7" cm="1">
        <f t="array" ref="L234">INDEX(coordinates!D:D,MATCH(municipalities!$A234,coordinates!$A:$A,0),0)</f>
        <v>50.930863909875413</v>
      </c>
      <c r="M234" s="8">
        <v>1</v>
      </c>
      <c r="N234" s="9">
        <v>16132</v>
      </c>
      <c r="O234" s="9">
        <v>7850</v>
      </c>
      <c r="P234" s="9">
        <v>8282</v>
      </c>
      <c r="Q234" s="9">
        <v>4</v>
      </c>
      <c r="R234" s="10">
        <v>887</v>
      </c>
      <c r="S234" s="11">
        <v>70</v>
      </c>
      <c r="T234" s="11">
        <v>30</v>
      </c>
      <c r="U234" s="12">
        <f t="shared" si="24"/>
        <v>33.5</v>
      </c>
      <c r="V234" s="12">
        <f t="shared" si="25"/>
        <v>4.7</v>
      </c>
      <c r="W234" s="12">
        <f t="shared" si="26"/>
        <v>7.5</v>
      </c>
      <c r="X234" s="12">
        <f t="shared" si="27"/>
        <v>10.4</v>
      </c>
      <c r="Y234" s="12">
        <f t="shared" si="28"/>
        <v>140.9</v>
      </c>
      <c r="Z234" s="12" cm="1">
        <f t="array" ref="Z234">INDEX(municipality_wind_potential!$X:$X,MATCH(municipalities!$F234,municipality_wind_potential!$E:$E,0),0)</f>
        <v>0</v>
      </c>
      <c r="AA234" s="12">
        <f t="shared" si="29"/>
        <v>0</v>
      </c>
      <c r="AB234" s="12" cm="1">
        <f t="array" ref="AB234">INDEX(municipality_wind_potential!$Y:$Y,MATCH(municipalities!$F234,municipality_wind_potential!$E:$E,0),0) / 3.6</f>
        <v>0</v>
      </c>
      <c r="AC234" s="12">
        <f t="shared" si="30"/>
        <v>32.160427165826732</v>
      </c>
      <c r="AD234" s="12" cm="1">
        <f t="array" ref="AD234">INDEX(municipality_pv_potential!$G:$G,MATCH(municipalities!$A234,municipality_pv_potential!$E:$E,0),0)/3.6*$AH$4</f>
        <v>29.780555555555555</v>
      </c>
      <c r="AE234" s="12">
        <f t="shared" si="31"/>
        <v>50.989920806335483</v>
      </c>
      <c r="AF234" s="12" cm="1">
        <f t="array" ref="AF234">INDEX(municipality_pv_potential!$H:$H,MATCH(municipalities!$A234,municipality_pv_potential!$E:$E,0),0)/3.6</f>
        <v>47.216666666666661</v>
      </c>
      <c r="AG234" s="12"/>
      <c r="AJ234">
        <v>33.5</v>
      </c>
      <c r="AK234">
        <v>4.7</v>
      </c>
      <c r="AL234">
        <v>7.5</v>
      </c>
      <c r="AM234">
        <v>10.4</v>
      </c>
      <c r="AN234">
        <v>140.9</v>
      </c>
    </row>
    <row r="235" spans="1:40" x14ac:dyDescent="0.25">
      <c r="A235" s="5" t="s">
        <v>719</v>
      </c>
      <c r="B235" s="6" t="s">
        <v>720</v>
      </c>
      <c r="C235" s="7" t="s">
        <v>721</v>
      </c>
      <c r="D235" s="7" t="s">
        <v>721</v>
      </c>
      <c r="E235" s="7" t="s">
        <v>22</v>
      </c>
      <c r="F235" s="7" t="s">
        <v>719</v>
      </c>
      <c r="G235" s="7" t="str" cm="1">
        <f t="array" ref="G235">INDEX('municipalities per province'!F:F,MATCH(municipalities!A235,'municipalities per province'!B:B,0),0)</f>
        <v>Limburg</v>
      </c>
      <c r="H235" s="7" t="str" cm="1">
        <f t="array" ref="H235">INDEX('municipalities per province'!E:E,MATCH(municipalities!$A235,'municipalities per province'!$B:$B,0),0)</f>
        <v>PV31</v>
      </c>
      <c r="I235" s="7" t="str" cm="1">
        <f t="array" ref="I235">INDEX('municipalities per province'!G:G,MATCH(municipalities!$A235,'municipalities per province'!$B:$B,0),0)</f>
        <v>Noord-enMidden-Limburg</v>
      </c>
      <c r="J235" s="7" t="str" cm="1">
        <f t="array" ref="J235">INDEX('municipalities per province'!H:H,MATCH(municipalities!$A235,'municipalities per province'!$B:$B,0),0)</f>
        <v>ES29</v>
      </c>
      <c r="K235" s="7" cm="1">
        <f t="array" ref="K235">INDEX(coordinates!C:C,MATCH(municipalities!$A235,coordinates!$A:$A,0),0)</f>
        <v>6.0689631088048701</v>
      </c>
      <c r="L235" s="7" cm="1">
        <f t="array" ref="L235">INDEX(coordinates!D:D,MATCH(municipalities!$A235,coordinates!$A:$A,0),0)</f>
        <v>51.269166370052311</v>
      </c>
      <c r="M235" s="8">
        <v>1</v>
      </c>
      <c r="N235" s="9">
        <v>13449</v>
      </c>
      <c r="O235" s="9">
        <v>6762</v>
      </c>
      <c r="P235" s="9">
        <v>6687</v>
      </c>
      <c r="Q235" s="9">
        <v>4</v>
      </c>
      <c r="R235" s="10">
        <v>762</v>
      </c>
      <c r="S235" s="11">
        <v>67</v>
      </c>
      <c r="T235" s="11">
        <v>33</v>
      </c>
      <c r="U235" s="12">
        <f t="shared" si="24"/>
        <v>31.7</v>
      </c>
      <c r="V235" s="12">
        <f t="shared" si="25"/>
        <v>5.0999999999999996</v>
      </c>
      <c r="W235" s="12">
        <f t="shared" si="26"/>
        <v>8.5</v>
      </c>
      <c r="X235" s="12">
        <f t="shared" si="27"/>
        <v>11.6</v>
      </c>
      <c r="Y235" s="12">
        <f t="shared" si="28"/>
        <v>121.6</v>
      </c>
      <c r="Z235" s="12" cm="1">
        <f t="array" ref="Z235">INDEX(municipality_wind_potential!$X:$X,MATCH(municipalities!$F235,municipality_wind_potential!$E:$E,0),0)</f>
        <v>15</v>
      </c>
      <c r="AA235" s="12">
        <f t="shared" si="29"/>
        <v>84</v>
      </c>
      <c r="AB235" s="12" cm="1">
        <f t="array" ref="AB235">INDEX(municipality_wind_potential!$Y:$Y,MATCH(municipalities!$F235,municipality_wind_potential!$E:$E,0),0) / 3.6</f>
        <v>222.6</v>
      </c>
      <c r="AC235" s="12">
        <f t="shared" si="30"/>
        <v>27.95176385889129</v>
      </c>
      <c r="AD235" s="12" cm="1">
        <f t="array" ref="AD235">INDEX(municipality_pv_potential!$G:$G,MATCH(municipalities!$A235,municipality_pv_potential!$E:$E,0),0)/3.6*$AH$4</f>
        <v>25.883333333333333</v>
      </c>
      <c r="AE235" s="12">
        <f t="shared" si="31"/>
        <v>71.289296856251497</v>
      </c>
      <c r="AF235" s="12" cm="1">
        <f t="array" ref="AF235">INDEX(municipality_pv_potential!$H:$H,MATCH(municipalities!$A235,municipality_pv_potential!$E:$E,0),0)/3.6</f>
        <v>66.013888888888886</v>
      </c>
      <c r="AG235" s="12"/>
      <c r="AJ235">
        <v>31.7</v>
      </c>
      <c r="AK235">
        <v>5.0999999999999996</v>
      </c>
      <c r="AL235">
        <v>8.5</v>
      </c>
      <c r="AM235">
        <v>11.6</v>
      </c>
      <c r="AN235">
        <v>121.6</v>
      </c>
    </row>
    <row r="236" spans="1:40" x14ac:dyDescent="0.25">
      <c r="A236" s="5" t="s">
        <v>722</v>
      </c>
      <c r="B236" s="6" t="s">
        <v>723</v>
      </c>
      <c r="C236" s="7" t="s">
        <v>724</v>
      </c>
      <c r="D236" s="7" t="s">
        <v>724</v>
      </c>
      <c r="E236" s="7" t="s">
        <v>22</v>
      </c>
      <c r="F236" s="7" t="s">
        <v>722</v>
      </c>
      <c r="G236" s="7" t="str" cm="1">
        <f t="array" ref="G236">INDEX('municipalities per province'!F:F,MATCH(municipalities!A236,'municipalities per province'!B:B,0),0)</f>
        <v>Limburg</v>
      </c>
      <c r="H236" s="7" t="str" cm="1">
        <f t="array" ref="H236">INDEX('municipalities per province'!E:E,MATCH(municipalities!$A236,'municipalities per province'!$B:$B,0),0)</f>
        <v>PV31</v>
      </c>
      <c r="I236" s="7" t="str" cm="1">
        <f t="array" ref="I236">INDEX('municipalities per province'!G:G,MATCH(municipalities!$A236,'municipalities per province'!$B:$B,0),0)</f>
        <v>Noord-enMidden-Limburg</v>
      </c>
      <c r="J236" s="7" t="str" cm="1">
        <f t="array" ref="J236">INDEX('municipalities per province'!H:H,MATCH(municipalities!$A236,'municipalities per province'!$B:$B,0),0)</f>
        <v>ES29</v>
      </c>
      <c r="K236" s="7" cm="1">
        <f t="array" ref="K236">INDEX(coordinates!C:C,MATCH(municipalities!$A236,coordinates!$A:$A,0),0)</f>
        <v>6.0893039790532342</v>
      </c>
      <c r="L236" s="7" cm="1">
        <f t="array" ref="L236">INDEX(coordinates!D:D,MATCH(municipalities!$A236,coordinates!$A:$A,0),0)</f>
        <v>51.59194214032533</v>
      </c>
      <c r="M236" s="8">
        <v>1</v>
      </c>
      <c r="N236" s="9">
        <v>13119</v>
      </c>
      <c r="O236" s="9">
        <v>6604</v>
      </c>
      <c r="P236" s="9">
        <v>6515</v>
      </c>
      <c r="Q236" s="9">
        <v>5</v>
      </c>
      <c r="R236" s="10">
        <v>315</v>
      </c>
      <c r="S236" s="11">
        <v>71</v>
      </c>
      <c r="T236" s="11">
        <v>29</v>
      </c>
      <c r="U236" s="12">
        <f t="shared" si="24"/>
        <v>32.700000000000003</v>
      </c>
      <c r="V236" s="12">
        <f t="shared" si="25"/>
        <v>4.2</v>
      </c>
      <c r="W236" s="12">
        <f t="shared" si="26"/>
        <v>7</v>
      </c>
      <c r="X236" s="12">
        <f t="shared" si="27"/>
        <v>9.9</v>
      </c>
      <c r="Y236" s="12">
        <f t="shared" si="28"/>
        <v>142.69999999999999</v>
      </c>
      <c r="Z236" s="12" cm="1">
        <f t="array" ref="Z236">INDEX(municipality_wind_potential!$X:$X,MATCH(municipalities!$F236,municipality_wind_potential!$E:$E,0),0)</f>
        <v>85</v>
      </c>
      <c r="AA236" s="12">
        <f t="shared" si="29"/>
        <v>475.99999999999994</v>
      </c>
      <c r="AB236" s="12" cm="1">
        <f t="array" ref="AB236">INDEX(municipality_wind_potential!$Y:$Y,MATCH(municipalities!$F236,municipality_wind_potential!$E:$E,0),0) / 3.6</f>
        <v>1253.9805555555556</v>
      </c>
      <c r="AC236" s="12">
        <f t="shared" si="30"/>
        <v>37.693184545236392</v>
      </c>
      <c r="AD236" s="12" cm="1">
        <f t="array" ref="AD236">INDEX(municipality_pv_potential!$G:$G,MATCH(municipalities!$A236,municipality_pv_potential!$E:$E,0),0)/3.6*$AH$4</f>
        <v>34.903888888888893</v>
      </c>
      <c r="AE236" s="12">
        <f t="shared" si="31"/>
        <v>233.30333573314135</v>
      </c>
      <c r="AF236" s="12" cm="1">
        <f t="array" ref="AF236">INDEX(municipality_pv_potential!$H:$H,MATCH(municipalities!$A236,municipality_pv_potential!$E:$E,0),0)/3.6</f>
        <v>216.03888888888889</v>
      </c>
      <c r="AG236" s="12"/>
      <c r="AJ236">
        <v>32.700000000000003</v>
      </c>
      <c r="AK236">
        <v>4.2</v>
      </c>
      <c r="AL236">
        <v>7</v>
      </c>
      <c r="AM236">
        <v>9.9</v>
      </c>
      <c r="AN236">
        <v>142.69999999999999</v>
      </c>
    </row>
    <row r="237" spans="1:40" x14ac:dyDescent="0.25">
      <c r="A237" s="5" t="s">
        <v>725</v>
      </c>
      <c r="B237" s="6" t="s">
        <v>726</v>
      </c>
      <c r="C237" s="7" t="s">
        <v>727</v>
      </c>
      <c r="D237" s="7" t="s">
        <v>727</v>
      </c>
      <c r="E237" s="7" t="s">
        <v>22</v>
      </c>
      <c r="F237" s="7" t="s">
        <v>725</v>
      </c>
      <c r="G237" s="7" t="str" cm="1">
        <f t="array" ref="G237">INDEX('municipalities per province'!F:F,MATCH(municipalities!A237,'municipalities per province'!B:B,0),0)</f>
        <v>Limburg</v>
      </c>
      <c r="H237" s="7" t="str" cm="1">
        <f t="array" ref="H237">INDEX('municipalities per province'!E:E,MATCH(municipalities!$A237,'municipalities per province'!$B:$B,0),0)</f>
        <v>PV31</v>
      </c>
      <c r="I237" s="7" t="str" cm="1">
        <f t="array" ref="I237">INDEX('municipalities per province'!G:G,MATCH(municipalities!$A237,'municipalities per province'!$B:$B,0),0)</f>
        <v>Zuid-Limburg</v>
      </c>
      <c r="J237" s="7" t="str" cm="1">
        <f t="array" ref="J237">INDEX('municipalities per province'!H:H,MATCH(municipalities!$A237,'municipalities per province'!$B:$B,0),0)</f>
        <v>ES30</v>
      </c>
      <c r="K237" s="7" cm="1">
        <f t="array" ref="K237">INDEX(coordinates!C:C,MATCH(municipalities!$A237,coordinates!$A:$A,0),0)</f>
        <v>5.9780011015271617</v>
      </c>
      <c r="L237" s="7" cm="1">
        <f t="array" ref="L237">INDEX(coordinates!D:D,MATCH(municipalities!$A237,coordinates!$A:$A,0),0)</f>
        <v>50.942941410714241</v>
      </c>
      <c r="M237" s="8">
        <v>1</v>
      </c>
      <c r="N237" s="9">
        <v>27682</v>
      </c>
      <c r="O237" s="9">
        <v>13599</v>
      </c>
      <c r="P237" s="9">
        <v>14083</v>
      </c>
      <c r="Q237" s="9">
        <v>2</v>
      </c>
      <c r="R237" s="10">
        <v>1665</v>
      </c>
      <c r="S237" s="11">
        <v>61</v>
      </c>
      <c r="T237" s="11">
        <v>39</v>
      </c>
      <c r="U237" s="12">
        <f t="shared" si="24"/>
        <v>29.4</v>
      </c>
      <c r="V237" s="12">
        <f t="shared" si="25"/>
        <v>7.1</v>
      </c>
      <c r="W237" s="12">
        <f t="shared" si="26"/>
        <v>11.4</v>
      </c>
      <c r="X237" s="12">
        <f t="shared" si="27"/>
        <v>14.8</v>
      </c>
      <c r="Y237" s="12">
        <f t="shared" si="28"/>
        <v>50.7</v>
      </c>
      <c r="Z237" s="12" cm="1">
        <f t="array" ref="Z237">INDEX(municipality_wind_potential!$X:$X,MATCH(municipalities!$F237,municipality_wind_potential!$E:$E,0),0)</f>
        <v>1</v>
      </c>
      <c r="AA237" s="12">
        <f t="shared" si="29"/>
        <v>5.6</v>
      </c>
      <c r="AB237" s="12" cm="1">
        <f t="array" ref="AB237">INDEX(municipality_wind_potential!$Y:$Y,MATCH(municipalities!$F237,municipality_wind_potential!$E:$E,0),0) / 3.6</f>
        <v>7.4194444444444443</v>
      </c>
      <c r="AC237" s="12">
        <f t="shared" si="30"/>
        <v>38.609311255099591</v>
      </c>
      <c r="AD237" s="12" cm="1">
        <f t="array" ref="AD237">INDEX(municipality_pv_potential!$G:$G,MATCH(municipalities!$A237,municipality_pv_potential!$E:$E,0),0)/3.6*$AH$4</f>
        <v>35.752222222222223</v>
      </c>
      <c r="AE237" s="12">
        <f t="shared" si="31"/>
        <v>4.7396208303335738</v>
      </c>
      <c r="AF237" s="12" cm="1">
        <f t="array" ref="AF237">INDEX(municipality_pv_potential!$H:$H,MATCH(municipalities!$A237,municipality_pv_potential!$E:$E,0),0)/3.6</f>
        <v>4.3888888888888893</v>
      </c>
      <c r="AG237" s="12"/>
      <c r="AJ237">
        <v>29.4</v>
      </c>
      <c r="AK237">
        <v>7.1</v>
      </c>
      <c r="AL237">
        <v>11.4</v>
      </c>
      <c r="AM237">
        <v>14.8</v>
      </c>
      <c r="AN237">
        <v>50.7</v>
      </c>
    </row>
    <row r="238" spans="1:40" x14ac:dyDescent="0.25">
      <c r="A238" s="5" t="s">
        <v>728</v>
      </c>
      <c r="B238" s="6" t="s">
        <v>729</v>
      </c>
      <c r="C238" s="7" t="s">
        <v>730</v>
      </c>
      <c r="D238" s="7" t="s">
        <v>730</v>
      </c>
      <c r="E238" s="7" t="s">
        <v>22</v>
      </c>
      <c r="F238" s="7" t="s">
        <v>728</v>
      </c>
      <c r="G238" s="7" t="str" cm="1">
        <f t="array" ref="G238">INDEX('municipalities per province'!F:F,MATCH(municipalities!A238,'municipalities per province'!B:B,0),0)</f>
        <v>Limburg</v>
      </c>
      <c r="H238" s="7" t="str" cm="1">
        <f t="array" ref="H238">INDEX('municipalities per province'!E:E,MATCH(municipalities!$A238,'municipalities per province'!$B:$B,0),0)</f>
        <v>PV31</v>
      </c>
      <c r="I238" s="7" t="str" cm="1">
        <f t="array" ref="I238">INDEX('municipalities per province'!G:G,MATCH(municipalities!$A238,'municipalities per province'!$B:$B,0),0)</f>
        <v>Noord-enMidden-Limburg</v>
      </c>
      <c r="J238" s="7" t="str" cm="1">
        <f t="array" ref="J238">INDEX('municipalities per province'!H:H,MATCH(municipalities!$A238,'municipalities per province'!$B:$B,0),0)</f>
        <v>ES29</v>
      </c>
      <c r="K238" s="7" cm="1">
        <f t="array" ref="K238">INDEX(coordinates!C:C,MATCH(municipalities!$A238,coordinates!$A:$A,0),0)</f>
        <v>5.9870983497005836</v>
      </c>
      <c r="L238" s="7" cm="1">
        <f t="array" ref="L238">INDEX(coordinates!D:D,MATCH(municipalities!$A238,coordinates!$A:$A,0),0)</f>
        <v>51.699285632184747</v>
      </c>
      <c r="M238" s="8">
        <v>1</v>
      </c>
      <c r="N238" s="9">
        <v>17764</v>
      </c>
      <c r="O238" s="9">
        <v>8985</v>
      </c>
      <c r="P238" s="9">
        <v>8779</v>
      </c>
      <c r="Q238" s="9">
        <v>4</v>
      </c>
      <c r="R238" s="10">
        <v>661</v>
      </c>
      <c r="S238" s="11">
        <v>66</v>
      </c>
      <c r="T238" s="11">
        <v>34</v>
      </c>
      <c r="U238" s="12">
        <f t="shared" si="24"/>
        <v>33.1</v>
      </c>
      <c r="V238" s="12">
        <f t="shared" si="25"/>
        <v>4.5</v>
      </c>
      <c r="W238" s="12">
        <f t="shared" si="26"/>
        <v>7.2</v>
      </c>
      <c r="X238" s="12">
        <f t="shared" si="27"/>
        <v>9.4</v>
      </c>
      <c r="Y238" s="12">
        <f t="shared" si="28"/>
        <v>145.80000000000001</v>
      </c>
      <c r="Z238" s="12" cm="1">
        <f t="array" ref="Z238">INDEX(municipality_wind_potential!$X:$X,MATCH(municipalities!$F238,municipality_wind_potential!$E:$E,0),0)</f>
        <v>26</v>
      </c>
      <c r="AA238" s="12">
        <f t="shared" si="29"/>
        <v>145.6</v>
      </c>
      <c r="AB238" s="12" cm="1">
        <f t="array" ref="AB238">INDEX(municipality_wind_potential!$Y:$Y,MATCH(municipalities!$F238,municipality_wind_potential!$E:$E,0),0) / 3.6</f>
        <v>378.41944444444442</v>
      </c>
      <c r="AC238" s="12">
        <f t="shared" si="30"/>
        <v>47.438804895608357</v>
      </c>
      <c r="AD238" s="12" cm="1">
        <f t="array" ref="AD238">INDEX(municipality_pv_potential!$G:$G,MATCH(municipalities!$A238,municipality_pv_potential!$E:$E,0),0)/3.6*$AH$4</f>
        <v>43.928333333333342</v>
      </c>
      <c r="AE238" s="12">
        <f t="shared" si="31"/>
        <v>130.17158627309817</v>
      </c>
      <c r="AF238" s="12" cm="1">
        <f t="array" ref="AF238">INDEX(municipality_pv_potential!$H:$H,MATCH(municipalities!$A238,municipality_pv_potential!$E:$E,0),0)/3.6</f>
        <v>120.53888888888889</v>
      </c>
      <c r="AG238" s="12"/>
      <c r="AJ238">
        <v>33.1</v>
      </c>
      <c r="AK238">
        <v>4.5</v>
      </c>
      <c r="AL238">
        <v>7.2</v>
      </c>
      <c r="AM238">
        <v>9.4</v>
      </c>
      <c r="AN238">
        <v>145.80000000000001</v>
      </c>
    </row>
    <row r="239" spans="1:40" x14ac:dyDescent="0.25">
      <c r="A239" s="5" t="s">
        <v>731</v>
      </c>
      <c r="B239" s="6" t="s">
        <v>732</v>
      </c>
      <c r="C239" s="7" t="s">
        <v>733</v>
      </c>
      <c r="D239" s="7" t="s">
        <v>733</v>
      </c>
      <c r="E239" s="7" t="s">
        <v>22</v>
      </c>
      <c r="F239" s="7" t="s">
        <v>731</v>
      </c>
      <c r="G239" s="7" t="str" cm="1">
        <f t="array" ref="G239">INDEX('municipalities per province'!F:F,MATCH(municipalities!A239,'municipalities per province'!B:B,0),0)</f>
        <v>Limburg</v>
      </c>
      <c r="H239" s="7" t="str" cm="1">
        <f t="array" ref="H239">INDEX('municipalities per province'!E:E,MATCH(municipalities!$A239,'municipalities per province'!$B:$B,0),0)</f>
        <v>PV31</v>
      </c>
      <c r="I239" s="7" t="str" cm="1">
        <f t="array" ref="I239">INDEX('municipalities per province'!G:G,MATCH(municipalities!$A239,'municipalities per province'!$B:$B,0),0)</f>
        <v>Zuid-Limburg</v>
      </c>
      <c r="J239" s="7" t="str" cm="1">
        <f t="array" ref="J239">INDEX('municipalities per province'!H:H,MATCH(municipalities!$A239,'municipalities per province'!$B:$B,0),0)</f>
        <v>ES30</v>
      </c>
      <c r="K239" s="7" cm="1">
        <f t="array" ref="K239">INDEX(coordinates!C:C,MATCH(municipalities!$A239,coordinates!$A:$A,0),0)</f>
        <v>5.9694135254849217</v>
      </c>
      <c r="L239" s="7" cm="1">
        <f t="array" ref="L239">INDEX(coordinates!D:D,MATCH(municipalities!$A239,coordinates!$A:$A,0),0)</f>
        <v>50.89333561774653</v>
      </c>
      <c r="M239" s="8">
        <v>1</v>
      </c>
      <c r="N239" s="9">
        <v>87122</v>
      </c>
      <c r="O239" s="9">
        <v>43456</v>
      </c>
      <c r="P239" s="9">
        <v>43666</v>
      </c>
      <c r="Q239" s="9">
        <v>2</v>
      </c>
      <c r="R239" s="10">
        <v>1841</v>
      </c>
      <c r="S239" s="11">
        <v>47</v>
      </c>
      <c r="T239" s="11">
        <v>53</v>
      </c>
      <c r="U239" s="12">
        <f t="shared" si="24"/>
        <v>27.6</v>
      </c>
      <c r="V239" s="12">
        <f t="shared" si="25"/>
        <v>10.8</v>
      </c>
      <c r="W239" s="12">
        <f t="shared" si="26"/>
        <v>17</v>
      </c>
      <c r="X239" s="12">
        <f t="shared" si="27"/>
        <v>20.9</v>
      </c>
      <c r="Y239" s="12">
        <f t="shared" si="28"/>
        <v>20.7</v>
      </c>
      <c r="Z239" s="12" cm="1">
        <f t="array" ref="Z239">INDEX(municipality_wind_potential!$X:$X,MATCH(municipalities!$F239,municipality_wind_potential!$E:$E,0),0)</f>
        <v>4</v>
      </c>
      <c r="AA239" s="12">
        <f t="shared" si="29"/>
        <v>22.4</v>
      </c>
      <c r="AB239" s="12" cm="1">
        <f t="array" ref="AB239">INDEX(municipality_wind_potential!$Y:$Y,MATCH(municipalities!$F239,municipality_wind_potential!$E:$E,0),0) / 3.6</f>
        <v>51.938888888888883</v>
      </c>
      <c r="AC239" s="12">
        <f t="shared" si="30"/>
        <v>125.88972882169428</v>
      </c>
      <c r="AD239" s="12" cm="1">
        <f t="array" ref="AD239">INDEX(municipality_pv_potential!$G:$G,MATCH(municipalities!$A239,municipality_pv_potential!$E:$E,0),0)/3.6*$AH$4</f>
        <v>116.57388888888889</v>
      </c>
      <c r="AE239" s="12">
        <f t="shared" si="31"/>
        <v>24.90100791936645</v>
      </c>
      <c r="AF239" s="12" cm="1">
        <f t="array" ref="AF239">INDEX(municipality_pv_potential!$H:$H,MATCH(municipalities!$A239,municipality_pv_potential!$E:$E,0),0)/3.6</f>
        <v>23.058333333333334</v>
      </c>
      <c r="AG239" s="12"/>
      <c r="AJ239">
        <v>27.6</v>
      </c>
      <c r="AK239">
        <v>10.8</v>
      </c>
      <c r="AL239">
        <v>17</v>
      </c>
      <c r="AM239">
        <v>20.9</v>
      </c>
      <c r="AN239">
        <v>20.7</v>
      </c>
    </row>
    <row r="240" spans="1:40" x14ac:dyDescent="0.25">
      <c r="A240" s="5" t="s">
        <v>734</v>
      </c>
      <c r="B240" s="6" t="s">
        <v>735</v>
      </c>
      <c r="C240" s="7" t="s">
        <v>736</v>
      </c>
      <c r="D240" s="7" t="s">
        <v>736</v>
      </c>
      <c r="E240" s="7" t="s">
        <v>22</v>
      </c>
      <c r="F240" s="7" t="s">
        <v>734</v>
      </c>
      <c r="G240" s="7" t="str" cm="1">
        <f t="array" ref="G240">INDEX('municipalities per province'!F:F,MATCH(municipalities!A240,'municipalities per province'!B:B,0),0)</f>
        <v>Limburg</v>
      </c>
      <c r="H240" s="7" t="str" cm="1">
        <f t="array" ref="H240">INDEX('municipalities per province'!E:E,MATCH(municipalities!$A240,'municipalities per province'!$B:$B,0),0)</f>
        <v>PV31</v>
      </c>
      <c r="I240" s="7" t="str" cm="1">
        <f t="array" ref="I240">INDEX('municipalities per province'!G:G,MATCH(municipalities!$A240,'municipalities per province'!$B:$B,0),0)</f>
        <v>Zuid-Limburg</v>
      </c>
      <c r="J240" s="7" t="str" cm="1">
        <f t="array" ref="J240">INDEX('municipalities per province'!H:H,MATCH(municipalities!$A240,'municipalities per province'!$B:$B,0),0)</f>
        <v>ES30</v>
      </c>
      <c r="K240" s="7" cm="1">
        <f t="array" ref="K240">INDEX(coordinates!C:C,MATCH(municipalities!$A240,coordinates!$A:$A,0),0)</f>
        <v>6.0509792845862904</v>
      </c>
      <c r="L240" s="7" cm="1">
        <f t="array" ref="L240">INDEX(coordinates!D:D,MATCH(municipalities!$A240,coordinates!$A:$A,0),0)</f>
        <v>50.871828662364678</v>
      </c>
      <c r="M240" s="8">
        <v>1</v>
      </c>
      <c r="N240" s="9">
        <v>45620</v>
      </c>
      <c r="O240" s="9">
        <v>22846</v>
      </c>
      <c r="P240" s="9">
        <v>22774</v>
      </c>
      <c r="Q240" s="9">
        <v>2</v>
      </c>
      <c r="R240" s="10">
        <v>1765</v>
      </c>
      <c r="S240" s="11">
        <v>52</v>
      </c>
      <c r="T240" s="11">
        <v>47</v>
      </c>
      <c r="U240" s="12">
        <f t="shared" si="24"/>
        <v>27.8</v>
      </c>
      <c r="V240" s="12">
        <f t="shared" si="25"/>
        <v>9.3000000000000007</v>
      </c>
      <c r="W240" s="12">
        <f t="shared" si="26"/>
        <v>14.8</v>
      </c>
      <c r="X240" s="12">
        <f t="shared" si="27"/>
        <v>18.600000000000001</v>
      </c>
      <c r="Y240" s="12">
        <f t="shared" si="28"/>
        <v>32.9</v>
      </c>
      <c r="Z240" s="12" cm="1">
        <f t="array" ref="Z240">INDEX(municipality_wind_potential!$X:$X,MATCH(municipalities!$F240,municipality_wind_potential!$E:$E,0),0)</f>
        <v>2</v>
      </c>
      <c r="AA240" s="12">
        <f t="shared" si="29"/>
        <v>11.2</v>
      </c>
      <c r="AB240" s="12" cm="1">
        <f t="array" ref="AB240">INDEX(municipality_wind_potential!$Y:$Y,MATCH(municipalities!$F240,municipality_wind_potential!$E:$E,0),0) / 3.6</f>
        <v>22.261111111111109</v>
      </c>
      <c r="AC240" s="12">
        <f t="shared" si="30"/>
        <v>72.859371250299986</v>
      </c>
      <c r="AD240" s="12" cm="1">
        <f t="array" ref="AD240">INDEX(municipality_pv_potential!$G:$G,MATCH(municipalities!$A240,municipality_pv_potential!$E:$E,0),0)/3.6*$AH$4</f>
        <v>67.467777777777783</v>
      </c>
      <c r="AE240" s="12">
        <f t="shared" si="31"/>
        <v>15.649748020158388</v>
      </c>
      <c r="AF240" s="12" cm="1">
        <f t="array" ref="AF240">INDEX(municipality_pv_potential!$H:$H,MATCH(municipalities!$A240,municipality_pv_potential!$E:$E,0),0)/3.6</f>
        <v>14.491666666666667</v>
      </c>
      <c r="AG240" s="12"/>
      <c r="AJ240">
        <v>27.8</v>
      </c>
      <c r="AK240">
        <v>9.3000000000000007</v>
      </c>
      <c r="AL240">
        <v>14.8</v>
      </c>
      <c r="AM240">
        <v>18.600000000000001</v>
      </c>
      <c r="AN240">
        <v>32.9</v>
      </c>
    </row>
    <row r="241" spans="1:40" x14ac:dyDescent="0.25">
      <c r="A241" s="5" t="s">
        <v>737</v>
      </c>
      <c r="B241" s="6" t="s">
        <v>738</v>
      </c>
      <c r="C241" s="7" t="s">
        <v>739</v>
      </c>
      <c r="D241" s="7" t="s">
        <v>739</v>
      </c>
      <c r="E241" s="7" t="s">
        <v>22</v>
      </c>
      <c r="F241" s="7" t="s">
        <v>737</v>
      </c>
      <c r="G241" s="7" t="str" cm="1">
        <f t="array" ref="G241">INDEX('municipalities per province'!F:F,MATCH(municipalities!A241,'municipalities per province'!B:B,0),0)</f>
        <v>Limburg</v>
      </c>
      <c r="H241" s="7" t="str" cm="1">
        <f t="array" ref="H241">INDEX('municipalities per province'!E:E,MATCH(municipalities!$A241,'municipalities per province'!$B:$B,0),0)</f>
        <v>PV31</v>
      </c>
      <c r="I241" s="7" t="str" cm="1">
        <f t="array" ref="I241">INDEX('municipalities per province'!G:G,MATCH(municipalities!$A241,'municipalities per province'!$B:$B,0),0)</f>
        <v>Zuid-Limburg</v>
      </c>
      <c r="J241" s="7" t="str" cm="1">
        <f t="array" ref="J241">INDEX('municipalities per province'!H:H,MATCH(municipalities!$A241,'municipalities per province'!$B:$B,0),0)</f>
        <v>ES30</v>
      </c>
      <c r="K241" s="7" cm="1">
        <f t="array" ref="K241">INDEX(coordinates!C:C,MATCH(municipalities!$A241,coordinates!$A:$A,0),0)</f>
        <v>5.6995317135193382</v>
      </c>
      <c r="L241" s="7" cm="1">
        <f t="array" ref="L241">INDEX(coordinates!D:D,MATCH(municipalities!$A241,coordinates!$A:$A,0),0)</f>
        <v>50.852975121835499</v>
      </c>
      <c r="M241" s="8">
        <v>1</v>
      </c>
      <c r="N241" s="9">
        <v>122734</v>
      </c>
      <c r="O241" s="9">
        <v>58662</v>
      </c>
      <c r="P241" s="9">
        <v>64072</v>
      </c>
      <c r="Q241" s="9">
        <v>1</v>
      </c>
      <c r="R241" s="10">
        <v>2577</v>
      </c>
      <c r="S241" s="11">
        <v>39</v>
      </c>
      <c r="T241" s="11">
        <v>61</v>
      </c>
      <c r="U241" s="12">
        <f t="shared" si="24"/>
        <v>28.3</v>
      </c>
      <c r="V241" s="12">
        <f t="shared" si="25"/>
        <v>9.6</v>
      </c>
      <c r="W241" s="12">
        <f t="shared" si="26"/>
        <v>14.6</v>
      </c>
      <c r="X241" s="12">
        <f t="shared" si="27"/>
        <v>18.5</v>
      </c>
      <c r="Y241" s="12">
        <f t="shared" si="28"/>
        <v>19.399999999999999</v>
      </c>
      <c r="Z241" s="12" cm="1">
        <f t="array" ref="Z241">INDEX(municipality_wind_potential!$X:$X,MATCH(municipalities!$F241,municipality_wind_potential!$E:$E,0),0)</f>
        <v>7</v>
      </c>
      <c r="AA241" s="12">
        <f t="shared" si="29"/>
        <v>39.199999999999996</v>
      </c>
      <c r="AB241" s="12" cm="1">
        <f t="array" ref="AB241">INDEX(municipality_wind_potential!$Y:$Y,MATCH(municipalities!$F241,municipality_wind_potential!$E:$E,0),0) / 3.6</f>
        <v>96.461111111111109</v>
      </c>
      <c r="AC241" s="12">
        <f t="shared" si="30"/>
        <v>147.02303815694742</v>
      </c>
      <c r="AD241" s="12" cm="1">
        <f t="array" ref="AD241">INDEX(municipality_pv_potential!$G:$G,MATCH(municipalities!$A241,municipality_pv_potential!$E:$E,0),0)/3.6*$AH$4</f>
        <v>136.14333333333332</v>
      </c>
      <c r="AE241" s="12">
        <f t="shared" si="31"/>
        <v>72.576193904487639</v>
      </c>
      <c r="AF241" s="12" cm="1">
        <f t="array" ref="AF241">INDEX(municipality_pv_potential!$H:$H,MATCH(municipalities!$A241,municipality_pv_potential!$E:$E,0),0)/3.6</f>
        <v>67.205555555555549</v>
      </c>
      <c r="AG241" s="12"/>
      <c r="AJ241">
        <v>28.3</v>
      </c>
      <c r="AK241">
        <v>9.6</v>
      </c>
      <c r="AL241">
        <v>14.6</v>
      </c>
      <c r="AM241">
        <v>18.5</v>
      </c>
      <c r="AN241">
        <v>19.399999999999999</v>
      </c>
    </row>
    <row r="242" spans="1:40" x14ac:dyDescent="0.25">
      <c r="A242" s="5" t="s">
        <v>740</v>
      </c>
      <c r="B242" s="6" t="s">
        <v>741</v>
      </c>
      <c r="C242" s="7" t="s">
        <v>742</v>
      </c>
      <c r="D242" s="7" t="s">
        <v>742</v>
      </c>
      <c r="E242" s="7" t="s">
        <v>22</v>
      </c>
      <c r="F242" s="7" t="s">
        <v>740</v>
      </c>
      <c r="G242" s="7" t="str" cm="1">
        <f t="array" ref="G242">INDEX('municipalities per province'!F:F,MATCH(municipalities!A242,'municipalities per province'!B:B,0),0)</f>
        <v>Limburg</v>
      </c>
      <c r="H242" s="7" t="str" cm="1">
        <f t="array" ref="H242">INDEX('municipalities per province'!E:E,MATCH(municipalities!$A242,'municipalities per province'!$B:$B,0),0)</f>
        <v>PV31</v>
      </c>
      <c r="I242" s="7" t="str" cm="1">
        <f t="array" ref="I242">INDEX('municipalities per province'!G:G,MATCH(municipalities!$A242,'municipalities per province'!$B:$B,0),0)</f>
        <v>Zuid-Limburg</v>
      </c>
      <c r="J242" s="7" t="str" cm="1">
        <f t="array" ref="J242">INDEX('municipalities per province'!H:H,MATCH(municipalities!$A242,'municipalities per province'!$B:$B,0),0)</f>
        <v>ES30</v>
      </c>
      <c r="K242" s="7" cm="1">
        <f t="array" ref="K242">INDEX(coordinates!C:C,MATCH(municipalities!$A242,coordinates!$A:$A,0),0)</f>
        <v>5.7563198510317077</v>
      </c>
      <c r="L242" s="7" cm="1">
        <f t="array" ref="L242">INDEX(coordinates!D:D,MATCH(municipalities!$A242,coordinates!$A:$A,0),0)</f>
        <v>50.901318280955017</v>
      </c>
      <c r="M242" s="8">
        <v>1</v>
      </c>
      <c r="N242" s="9">
        <v>18600</v>
      </c>
      <c r="O242" s="9">
        <v>9156</v>
      </c>
      <c r="P242" s="9">
        <v>9444</v>
      </c>
      <c r="Q242" s="9">
        <v>4</v>
      </c>
      <c r="R242" s="10">
        <v>618</v>
      </c>
      <c r="S242" s="11">
        <v>72</v>
      </c>
      <c r="T242" s="11">
        <v>28</v>
      </c>
      <c r="U242" s="12">
        <f t="shared" si="24"/>
        <v>35.799999999999997</v>
      </c>
      <c r="V242" s="12">
        <f t="shared" si="25"/>
        <v>3.7</v>
      </c>
      <c r="W242" s="12">
        <f t="shared" si="26"/>
        <v>6.1</v>
      </c>
      <c r="X242" s="12">
        <f t="shared" si="27"/>
        <v>8.4</v>
      </c>
      <c r="Y242" s="12">
        <f t="shared" si="28"/>
        <v>177.1</v>
      </c>
      <c r="Z242" s="12" cm="1">
        <f t="array" ref="Z242">INDEX(municipality_wind_potential!$X:$X,MATCH(municipalities!$F242,municipality_wind_potential!$E:$E,0),0)</f>
        <v>0</v>
      </c>
      <c r="AA242" s="12">
        <f t="shared" si="29"/>
        <v>0</v>
      </c>
      <c r="AB242" s="12" cm="1">
        <f t="array" ref="AB242">INDEX(municipality_wind_potential!$Y:$Y,MATCH(municipalities!$F242,municipality_wind_potential!$E:$E,0),0) / 3.6</f>
        <v>0</v>
      </c>
      <c r="AC242" s="12">
        <f t="shared" si="30"/>
        <v>34.602231821454289</v>
      </c>
      <c r="AD242" s="12" cm="1">
        <f t="array" ref="AD242">INDEX(municipality_pv_potential!$G:$G,MATCH(municipalities!$A242,municipality_pv_potential!$E:$E,0),0)/3.6*$AH$4</f>
        <v>32.041666666666671</v>
      </c>
      <c r="AE242" s="12">
        <f t="shared" si="31"/>
        <v>59.893208543316533</v>
      </c>
      <c r="AF242" s="12" cm="1">
        <f t="array" ref="AF242">INDEX(municipality_pv_potential!$H:$H,MATCH(municipalities!$A242,municipality_pv_potential!$E:$E,0),0)/3.6</f>
        <v>55.461111111111109</v>
      </c>
      <c r="AG242" s="12"/>
      <c r="AJ242">
        <v>35.799999999999997</v>
      </c>
      <c r="AK242">
        <v>3.7</v>
      </c>
      <c r="AL242">
        <v>6.1</v>
      </c>
      <c r="AM242">
        <v>8.4</v>
      </c>
      <c r="AN242">
        <v>177.1</v>
      </c>
    </row>
    <row r="243" spans="1:40" x14ac:dyDescent="0.25">
      <c r="A243" s="5" t="s">
        <v>743</v>
      </c>
      <c r="B243" s="6" t="s">
        <v>744</v>
      </c>
      <c r="C243" s="7" t="s">
        <v>745</v>
      </c>
      <c r="D243" s="7" t="s">
        <v>745</v>
      </c>
      <c r="E243" s="7" t="s">
        <v>22</v>
      </c>
      <c r="F243" s="7" t="s">
        <v>743</v>
      </c>
      <c r="G243" s="7" t="str" cm="1">
        <f t="array" ref="G243">INDEX('municipalities per province'!F:F,MATCH(municipalities!A243,'municipalities per province'!B:B,0),0)</f>
        <v>Limburg</v>
      </c>
      <c r="H243" s="7" t="str" cm="1">
        <f t="array" ref="H243">INDEX('municipalities per province'!E:E,MATCH(municipalities!$A243,'municipalities per province'!$B:$B,0),0)</f>
        <v>PV31</v>
      </c>
      <c r="I243" s="7" t="str" cm="1">
        <f t="array" ref="I243">INDEX('municipalities per province'!G:G,MATCH(municipalities!$A243,'municipalities per province'!$B:$B,0),0)</f>
        <v>Noord-enMidden-Limburg</v>
      </c>
      <c r="J243" s="7" t="str" cm="1">
        <f t="array" ref="J243">INDEX('municipalities per province'!H:H,MATCH(municipalities!$A243,'municipalities per province'!$B:$B,0),0)</f>
        <v>ES29</v>
      </c>
      <c r="K243" s="7" cm="1">
        <f t="array" ref="K243">INDEX(coordinates!C:C,MATCH(municipalities!$A243,coordinates!$A:$A,0),0)</f>
        <v>5.8996587636494899</v>
      </c>
      <c r="L243" s="7" cm="1">
        <f t="array" ref="L243">INDEX(coordinates!D:D,MATCH(municipalities!$A243,coordinates!$A:$A,0),0)</f>
        <v>51.747369729213993</v>
      </c>
      <c r="M243" s="8">
        <v>1</v>
      </c>
      <c r="N243" s="9">
        <v>8043</v>
      </c>
      <c r="O243" s="9">
        <v>3978</v>
      </c>
      <c r="P243" s="9">
        <v>4065</v>
      </c>
      <c r="Q243" s="9">
        <v>5</v>
      </c>
      <c r="R243" s="10">
        <v>436</v>
      </c>
      <c r="S243" s="11">
        <v>75</v>
      </c>
      <c r="T243" s="11">
        <v>25</v>
      </c>
      <c r="U243" s="12">
        <f t="shared" si="24"/>
        <v>37.9</v>
      </c>
      <c r="V243" s="12">
        <f t="shared" si="25"/>
        <v>3.6</v>
      </c>
      <c r="W243" s="12">
        <f t="shared" si="26"/>
        <v>5.8</v>
      </c>
      <c r="X243" s="12">
        <f t="shared" si="27"/>
        <v>7.7</v>
      </c>
      <c r="Y243" s="12">
        <f t="shared" si="28"/>
        <v>217.3</v>
      </c>
      <c r="Z243" s="12" cm="1">
        <f t="array" ref="Z243">INDEX(municipality_wind_potential!$X:$X,MATCH(municipalities!$F243,municipality_wind_potential!$E:$E,0),0)</f>
        <v>5</v>
      </c>
      <c r="AA243" s="12">
        <f t="shared" si="29"/>
        <v>28</v>
      </c>
      <c r="AB243" s="12" cm="1">
        <f t="array" ref="AB243">INDEX(municipality_wind_potential!$Y:$Y,MATCH(municipalities!$F243,municipality_wind_potential!$E:$E,0),0) / 3.6</f>
        <v>66.780555555555551</v>
      </c>
      <c r="AC243" s="12">
        <f t="shared" si="30"/>
        <v>14.152867770578352</v>
      </c>
      <c r="AD243" s="12" cm="1">
        <f t="array" ref="AD243">INDEX(municipality_pv_potential!$G:$G,MATCH(municipalities!$A243,municipality_pv_potential!$E:$E,0),0)/3.6*$AH$4</f>
        <v>13.105555555555554</v>
      </c>
      <c r="AE243" s="12">
        <f t="shared" si="31"/>
        <v>27.960763138948884</v>
      </c>
      <c r="AF243" s="12" cm="1">
        <f t="array" ref="AF243">INDEX(municipality_pv_potential!$H:$H,MATCH(municipalities!$A243,municipality_pv_potential!$E:$E,0),0)/3.6</f>
        <v>25.891666666666666</v>
      </c>
      <c r="AG243" s="12"/>
      <c r="AJ243">
        <v>37.9</v>
      </c>
      <c r="AK243">
        <v>3.6</v>
      </c>
      <c r="AL243">
        <v>5.8</v>
      </c>
      <c r="AM243">
        <v>7.7</v>
      </c>
      <c r="AN243">
        <v>217.3</v>
      </c>
    </row>
    <row r="244" spans="1:40" x14ac:dyDescent="0.25">
      <c r="A244" s="5" t="s">
        <v>746</v>
      </c>
      <c r="B244" s="6" t="s">
        <v>747</v>
      </c>
      <c r="C244" s="7" t="s">
        <v>748</v>
      </c>
      <c r="D244" s="7" t="s">
        <v>748</v>
      </c>
      <c r="E244" s="7" t="s">
        <v>22</v>
      </c>
      <c r="F244" s="7" t="s">
        <v>746</v>
      </c>
      <c r="G244" s="7" t="str" cm="1">
        <f t="array" ref="G244">INDEX('municipalities per province'!F:F,MATCH(municipalities!A244,'municipalities per province'!B:B,0),0)</f>
        <v>Limburg</v>
      </c>
      <c r="H244" s="7" t="str" cm="1">
        <f t="array" ref="H244">INDEX('municipalities per province'!E:E,MATCH(municipalities!$A244,'municipalities per province'!$B:$B,0),0)</f>
        <v>PV31</v>
      </c>
      <c r="I244" s="7" t="str" cm="1">
        <f t="array" ref="I244">INDEX('municipalities per province'!G:G,MATCH(municipalities!$A244,'municipalities per province'!$B:$B,0),0)</f>
        <v>Noord-enMidden-Limburg</v>
      </c>
      <c r="J244" s="7" t="str" cm="1">
        <f t="array" ref="J244">INDEX('municipalities per province'!H:H,MATCH(municipalities!$A244,'municipalities per province'!$B:$B,0),0)</f>
        <v>ES29</v>
      </c>
      <c r="K244" s="7" cm="1">
        <f t="array" ref="K244">INDEX(coordinates!C:C,MATCH(municipalities!$A244,coordinates!$A:$A,0),0)</f>
        <v>5.7733156374875536</v>
      </c>
      <c r="L244" s="7" cm="1">
        <f t="array" ref="L244">INDEX(coordinates!D:D,MATCH(municipalities!$A244,coordinates!$A:$A,0),0)</f>
        <v>51.294358331427269</v>
      </c>
      <c r="M244" s="8">
        <v>1</v>
      </c>
      <c r="N244" s="9">
        <v>17499</v>
      </c>
      <c r="O244" s="9">
        <v>8865</v>
      </c>
      <c r="P244" s="9">
        <v>8634</v>
      </c>
      <c r="Q244" s="9">
        <v>4</v>
      </c>
      <c r="R244" s="10">
        <v>656</v>
      </c>
      <c r="S244" s="11">
        <v>71</v>
      </c>
      <c r="T244" s="11">
        <v>29</v>
      </c>
      <c r="U244" s="12">
        <f t="shared" si="24"/>
        <v>35.9</v>
      </c>
      <c r="V244" s="12">
        <f t="shared" si="25"/>
        <v>3.9</v>
      </c>
      <c r="W244" s="12">
        <f t="shared" si="26"/>
        <v>6.1</v>
      </c>
      <c r="X244" s="12">
        <f t="shared" si="27"/>
        <v>9.1</v>
      </c>
      <c r="Y244" s="12">
        <f t="shared" si="28"/>
        <v>211</v>
      </c>
      <c r="Z244" s="12" cm="1">
        <f t="array" ref="Z244">INDEX(municipality_wind_potential!$X:$X,MATCH(municipalities!$F244,municipality_wind_potential!$E:$E,0),0)</f>
        <v>45</v>
      </c>
      <c r="AA244" s="12">
        <f t="shared" si="29"/>
        <v>251.99999999999997</v>
      </c>
      <c r="AB244" s="12" cm="1">
        <f t="array" ref="AB244">INDEX(municipality_wind_potential!$Y:$Y,MATCH(municipalities!$F244,municipality_wind_potential!$E:$E,0),0) / 3.6</f>
        <v>667.8</v>
      </c>
      <c r="AC244" s="12">
        <f t="shared" si="30"/>
        <v>81.478881689464842</v>
      </c>
      <c r="AD244" s="12" cm="1">
        <f t="array" ref="AD244">INDEX(municipality_pv_potential!$G:$G,MATCH(municipalities!$A244,municipality_pv_potential!$E:$E,0),0)/3.6*$AH$4</f>
        <v>75.449444444444438</v>
      </c>
      <c r="AE244" s="12">
        <f t="shared" si="31"/>
        <v>315.64974802015837</v>
      </c>
      <c r="AF244" s="12" cm="1">
        <f t="array" ref="AF244">INDEX(municipality_pv_potential!$H:$H,MATCH(municipalities!$A244,municipality_pv_potential!$E:$E,0),0)/3.6</f>
        <v>292.29166666666669</v>
      </c>
      <c r="AG244" s="12"/>
      <c r="AJ244">
        <v>35.9</v>
      </c>
      <c r="AK244">
        <v>3.9</v>
      </c>
      <c r="AL244">
        <v>6.1</v>
      </c>
      <c r="AM244">
        <v>9.1</v>
      </c>
      <c r="AN244">
        <v>211</v>
      </c>
    </row>
    <row r="245" spans="1:40" x14ac:dyDescent="0.25">
      <c r="A245" s="5" t="s">
        <v>749</v>
      </c>
      <c r="B245" s="6" t="s">
        <v>750</v>
      </c>
      <c r="C245" s="7" t="s">
        <v>751</v>
      </c>
      <c r="D245" s="7" t="s">
        <v>751</v>
      </c>
      <c r="E245" s="7" t="s">
        <v>22</v>
      </c>
      <c r="F245" s="7" t="s">
        <v>749</v>
      </c>
      <c r="G245" s="7" t="str" cm="1">
        <f t="array" ref="G245">INDEX('municipalities per province'!F:F,MATCH(municipalities!A245,'municipalities per province'!B:B,0),0)</f>
        <v>Limburg</v>
      </c>
      <c r="H245" s="7" t="str" cm="1">
        <f t="array" ref="H245">INDEX('municipalities per province'!E:E,MATCH(municipalities!$A245,'municipalities per province'!$B:$B,0),0)</f>
        <v>PV31</v>
      </c>
      <c r="I245" s="7" t="str" cm="1">
        <f t="array" ref="I245">INDEX('municipalities per province'!G:G,MATCH(municipalities!$A245,'municipalities per province'!$B:$B,0),0)</f>
        <v>Noord-enMidden-Limburg</v>
      </c>
      <c r="J245" s="7" t="str" cm="1">
        <f t="array" ref="J245">INDEX('municipalities per province'!H:H,MATCH(municipalities!$A245,'municipalities per province'!$B:$B,0),0)</f>
        <v>ES29</v>
      </c>
      <c r="K245" s="7" cm="1">
        <f t="array" ref="K245">INDEX(coordinates!C:C,MATCH(municipalities!$A245,coordinates!$A:$A,0),0)</f>
        <v>6.0114932922656683</v>
      </c>
      <c r="L245" s="7" cm="1">
        <f t="array" ref="L245">INDEX(coordinates!D:D,MATCH(municipalities!$A245,coordinates!$A:$A,0),0)</f>
        <v>51.201195702646302</v>
      </c>
      <c r="M245" s="8">
        <v>1</v>
      </c>
      <c r="N245" s="9">
        <v>59981</v>
      </c>
      <c r="O245" s="9">
        <v>29742</v>
      </c>
      <c r="P245" s="9">
        <v>30239</v>
      </c>
      <c r="Q245" s="9">
        <v>2</v>
      </c>
      <c r="R245" s="10">
        <v>1590</v>
      </c>
      <c r="S245" s="11">
        <v>54</v>
      </c>
      <c r="T245" s="11">
        <v>46</v>
      </c>
      <c r="U245" s="12">
        <f t="shared" si="24"/>
        <v>31.1</v>
      </c>
      <c r="V245" s="12">
        <f t="shared" si="25"/>
        <v>8.1</v>
      </c>
      <c r="W245" s="12">
        <f t="shared" si="26"/>
        <v>12.3</v>
      </c>
      <c r="X245" s="12">
        <f t="shared" si="27"/>
        <v>15.5</v>
      </c>
      <c r="Y245" s="12">
        <f t="shared" si="28"/>
        <v>62.5</v>
      </c>
      <c r="Z245" s="12" cm="1">
        <f t="array" ref="Z245">INDEX(municipality_wind_potential!$X:$X,MATCH(municipalities!$F245,municipality_wind_potential!$E:$E,0),0)</f>
        <v>26</v>
      </c>
      <c r="AA245" s="12">
        <f t="shared" si="29"/>
        <v>145.6</v>
      </c>
      <c r="AB245" s="12" cm="1">
        <f t="array" ref="AB245">INDEX(municipality_wind_potential!$Y:$Y,MATCH(municipalities!$F245,municipality_wind_potential!$E:$E,0),0) / 3.6</f>
        <v>385.83888888888885</v>
      </c>
      <c r="AC245" s="12">
        <f t="shared" si="30"/>
        <v>105.48716102711785</v>
      </c>
      <c r="AD245" s="12" cm="1">
        <f t="array" ref="AD245">INDEX(municipality_pv_potential!$G:$G,MATCH(municipalities!$A245,municipality_pv_potential!$E:$E,0),0)/3.6*$AH$4</f>
        <v>97.681111111111122</v>
      </c>
      <c r="AE245" s="12">
        <f t="shared" si="31"/>
        <v>105.31257499400049</v>
      </c>
      <c r="AF245" s="12" cm="1">
        <f t="array" ref="AF245">INDEX(municipality_pv_potential!$H:$H,MATCH(municipalities!$A245,municipality_pv_potential!$E:$E,0),0)/3.6</f>
        <v>97.519444444444446</v>
      </c>
      <c r="AG245" s="12"/>
      <c r="AJ245">
        <v>31.1</v>
      </c>
      <c r="AK245">
        <v>8.1</v>
      </c>
      <c r="AL245">
        <v>12.3</v>
      </c>
      <c r="AM245">
        <v>15.5</v>
      </c>
      <c r="AN245">
        <v>62.5</v>
      </c>
    </row>
    <row r="246" spans="1:40" x14ac:dyDescent="0.25">
      <c r="A246" s="5" t="s">
        <v>752</v>
      </c>
      <c r="B246" s="6" t="s">
        <v>753</v>
      </c>
      <c r="C246" s="7" t="s">
        <v>754</v>
      </c>
      <c r="D246" s="7" t="s">
        <v>754</v>
      </c>
      <c r="E246" s="7" t="s">
        <v>22</v>
      </c>
      <c r="F246" s="7" t="s">
        <v>752</v>
      </c>
      <c r="G246" s="7" t="str" cm="1">
        <f t="array" ref="G246">INDEX('municipalities per province'!F:F,MATCH(municipalities!A246,'municipalities per province'!B:B,0),0)</f>
        <v>Limburg</v>
      </c>
      <c r="H246" s="7" t="str" cm="1">
        <f t="array" ref="H246">INDEX('municipalities per province'!E:E,MATCH(municipalities!$A246,'municipalities per province'!$B:$B,0),0)</f>
        <v>PV31</v>
      </c>
      <c r="I246" s="7" t="str" cm="1">
        <f t="array" ref="I246">INDEX('municipalities per province'!G:G,MATCH(municipalities!$A246,'municipalities per province'!$B:$B,0),0)</f>
        <v>Zuid-Limburg</v>
      </c>
      <c r="J246" s="7" t="str" cm="1">
        <f t="array" ref="J246">INDEX('municipalities per province'!H:H,MATCH(municipalities!$A246,'municipalities per province'!$B:$B,0),0)</f>
        <v>ES30</v>
      </c>
      <c r="K246" s="7" cm="1">
        <f t="array" ref="K246">INDEX(coordinates!C:C,MATCH(municipalities!$A246,coordinates!$A:$A,0),0)</f>
        <v>5.9866386025524863</v>
      </c>
      <c r="L246" s="7" cm="1">
        <f t="array" ref="L246">INDEX(coordinates!D:D,MATCH(municipalities!$A246,coordinates!$A:$A,0),0)</f>
        <v>50.828806423718163</v>
      </c>
      <c r="M246" s="8">
        <v>1</v>
      </c>
      <c r="N246" s="9">
        <v>10396</v>
      </c>
      <c r="O246" s="9">
        <v>5146</v>
      </c>
      <c r="P246" s="9">
        <v>5250</v>
      </c>
      <c r="Q246" s="9">
        <v>4</v>
      </c>
      <c r="R246" s="10">
        <v>685</v>
      </c>
      <c r="S246" s="11">
        <v>63</v>
      </c>
      <c r="T246" s="11">
        <v>37</v>
      </c>
      <c r="U246" s="12">
        <f t="shared" si="24"/>
        <v>31.5</v>
      </c>
      <c r="V246" s="12">
        <f t="shared" si="25"/>
        <v>4.7</v>
      </c>
      <c r="W246" s="12">
        <f t="shared" si="26"/>
        <v>8.1999999999999993</v>
      </c>
      <c r="X246" s="12">
        <f t="shared" si="27"/>
        <v>10.9</v>
      </c>
      <c r="Y246" s="12">
        <f t="shared" si="28"/>
        <v>106.3</v>
      </c>
      <c r="Z246" s="12" cm="1">
        <f t="array" ref="Z246">INDEX(municipality_wind_potential!$X:$X,MATCH(municipalities!$F246,municipality_wind_potential!$E:$E,0),0)</f>
        <v>6</v>
      </c>
      <c r="AA246" s="12">
        <f t="shared" si="29"/>
        <v>33.599999999999994</v>
      </c>
      <c r="AB246" s="12" cm="1">
        <f t="array" ref="AB246">INDEX(municipality_wind_potential!$Y:$Y,MATCH(municipalities!$F246,municipality_wind_potential!$E:$E,0),0) / 3.6</f>
        <v>96.766666666666666</v>
      </c>
      <c r="AC246" s="12">
        <f t="shared" si="30"/>
        <v>17.557595392368608</v>
      </c>
      <c r="AD246" s="12" cm="1">
        <f t="array" ref="AD246">INDEX(municipality_pv_potential!$G:$G,MATCH(municipalities!$A246,municipality_pv_potential!$E:$E,0),0)/3.6*$AH$4</f>
        <v>16.258333333333333</v>
      </c>
      <c r="AE246" s="12">
        <f t="shared" si="31"/>
        <v>52.207823374130065</v>
      </c>
      <c r="AF246" s="12" cm="1">
        <f t="array" ref="AF246">INDEX(municipality_pv_potential!$H:$H,MATCH(municipalities!$A246,municipality_pv_potential!$E:$E,0),0)/3.6</f>
        <v>48.344444444444441</v>
      </c>
      <c r="AG246" s="12"/>
      <c r="AJ246">
        <v>31.5</v>
      </c>
      <c r="AK246">
        <v>4.7</v>
      </c>
      <c r="AL246">
        <v>8.1999999999999993</v>
      </c>
      <c r="AM246">
        <v>10.9</v>
      </c>
      <c r="AN246">
        <v>106.3</v>
      </c>
    </row>
    <row r="247" spans="1:40" x14ac:dyDescent="0.25">
      <c r="A247" s="5" t="s">
        <v>755</v>
      </c>
      <c r="B247" s="6" t="s">
        <v>756</v>
      </c>
      <c r="C247" s="7" t="s">
        <v>757</v>
      </c>
      <c r="D247" s="7" t="s">
        <v>757</v>
      </c>
      <c r="E247" s="7" t="s">
        <v>22</v>
      </c>
      <c r="F247" s="7" t="s">
        <v>755</v>
      </c>
      <c r="G247" s="7" t="str" cm="1">
        <f t="array" ref="G247">INDEX('municipalities per province'!F:F,MATCH(municipalities!A247,'municipalities per province'!B:B,0),0)</f>
        <v>Limburg</v>
      </c>
      <c r="H247" s="7" t="str" cm="1">
        <f t="array" ref="H247">INDEX('municipalities per province'!E:E,MATCH(municipalities!$A247,'municipalities per province'!$B:$B,0),0)</f>
        <v>PV31</v>
      </c>
      <c r="I247" s="7" t="str" cm="1">
        <f t="array" ref="I247">INDEX('municipalities per province'!G:G,MATCH(municipalities!$A247,'municipalities per province'!$B:$B,0),0)</f>
        <v>Zuid-Limburg</v>
      </c>
      <c r="J247" s="7" t="str" cm="1">
        <f t="array" ref="J247">INDEX('municipalities per province'!H:H,MATCH(municipalities!$A247,'municipalities per province'!$B:$B,0),0)</f>
        <v>ES30</v>
      </c>
      <c r="K247" s="7" cm="1">
        <f t="array" ref="K247">INDEX(coordinates!C:C,MATCH(municipalities!$A247,coordinates!$A:$A,0),0)</f>
        <v>5.7636693332514444</v>
      </c>
      <c r="L247" s="7" cm="1">
        <f t="array" ref="L247">INDEX(coordinates!D:D,MATCH(municipalities!$A247,coordinates!$A:$A,0),0)</f>
        <v>50.969000509520392</v>
      </c>
      <c r="M247" s="8">
        <v>1</v>
      </c>
      <c r="N247" s="9">
        <v>24772</v>
      </c>
      <c r="O247" s="9">
        <v>12259</v>
      </c>
      <c r="P247" s="9">
        <v>12513</v>
      </c>
      <c r="Q247" s="9">
        <v>4</v>
      </c>
      <c r="R247" s="10">
        <v>905</v>
      </c>
      <c r="S247" s="11">
        <v>72</v>
      </c>
      <c r="T247" s="11">
        <v>28</v>
      </c>
      <c r="U247" s="12">
        <f t="shared" si="24"/>
        <v>32.5</v>
      </c>
      <c r="V247" s="12">
        <f t="shared" si="25"/>
        <v>3.9</v>
      </c>
      <c r="W247" s="12">
        <f t="shared" si="26"/>
        <v>6.6</v>
      </c>
      <c r="X247" s="12">
        <f t="shared" si="27"/>
        <v>9.1999999999999993</v>
      </c>
      <c r="Y247" s="12">
        <f t="shared" si="28"/>
        <v>143.1</v>
      </c>
      <c r="Z247" s="12" cm="1">
        <f t="array" ref="Z247">INDEX(municipality_wind_potential!$X:$X,MATCH(municipalities!$F247,municipality_wind_potential!$E:$E,0),0)</f>
        <v>3</v>
      </c>
      <c r="AA247" s="12">
        <f t="shared" si="29"/>
        <v>16.799999999999997</v>
      </c>
      <c r="AB247" s="12" cm="1">
        <f t="array" ref="AB247">INDEX(municipality_wind_potential!$Y:$Y,MATCH(municipalities!$F247,municipality_wind_potential!$E:$E,0),0) / 3.6</f>
        <v>44.519444444444446</v>
      </c>
      <c r="AC247" s="12">
        <f t="shared" si="30"/>
        <v>39.643028557715382</v>
      </c>
      <c r="AD247" s="12" cm="1">
        <f t="array" ref="AD247">INDEX(municipality_pv_potential!$G:$G,MATCH(municipalities!$A247,municipality_pv_potential!$E:$E,0),0)/3.6*$AH$4</f>
        <v>36.709444444444443</v>
      </c>
      <c r="AE247" s="12">
        <f t="shared" si="31"/>
        <v>34.605231581473483</v>
      </c>
      <c r="AF247" s="12" cm="1">
        <f t="array" ref="AF247">INDEX(municipality_pv_potential!$H:$H,MATCH(municipalities!$A247,municipality_pv_potential!$E:$E,0),0)/3.6</f>
        <v>32.044444444444444</v>
      </c>
      <c r="AG247" s="12"/>
      <c r="AJ247">
        <v>32.5</v>
      </c>
      <c r="AK247">
        <v>3.9</v>
      </c>
      <c r="AL247">
        <v>6.6</v>
      </c>
      <c r="AM247">
        <v>9.1999999999999993</v>
      </c>
      <c r="AN247">
        <v>143.1</v>
      </c>
    </row>
    <row r="248" spans="1:40" x14ac:dyDescent="0.25">
      <c r="A248" s="5" t="s">
        <v>758</v>
      </c>
      <c r="B248" s="6" t="s">
        <v>759</v>
      </c>
      <c r="C248" s="7" t="s">
        <v>760</v>
      </c>
      <c r="D248" s="7" t="s">
        <v>760</v>
      </c>
      <c r="E248" s="7" t="s">
        <v>22</v>
      </c>
      <c r="F248" s="7" t="s">
        <v>758</v>
      </c>
      <c r="G248" s="7" t="str" cm="1">
        <f t="array" ref="G248">INDEX('municipalities per province'!F:F,MATCH(municipalities!A248,'municipalities per province'!B:B,0),0)</f>
        <v>Limburg</v>
      </c>
      <c r="H248" s="7" t="str" cm="1">
        <f t="array" ref="H248">INDEX('municipalities per province'!E:E,MATCH(municipalities!$A248,'municipalities per province'!$B:$B,0),0)</f>
        <v>PV31</v>
      </c>
      <c r="I248" s="7" t="str" cm="1">
        <f t="array" ref="I248">INDEX('municipalities per province'!G:G,MATCH(municipalities!$A248,'municipalities per province'!$B:$B,0),0)</f>
        <v>Zuid-Limburg</v>
      </c>
      <c r="J248" s="7" t="str" cm="1">
        <f t="array" ref="J248">INDEX('municipalities per province'!H:H,MATCH(municipalities!$A248,'municipalities per province'!$B:$B,0),0)</f>
        <v>ES30</v>
      </c>
      <c r="K248" s="7" cm="1">
        <f t="array" ref="K248">INDEX(coordinates!C:C,MATCH(municipalities!$A248,coordinates!$A:$A,0),0)</f>
        <v>5.9758453234747284</v>
      </c>
      <c r="L248" s="7" cm="1">
        <f t="array" ref="L248">INDEX(coordinates!D:D,MATCH(municipalities!$A248,coordinates!$A:$A,0),0)</f>
        <v>50.774335218293167</v>
      </c>
      <c r="M248" s="8">
        <v>1</v>
      </c>
      <c r="N248" s="9">
        <v>10190</v>
      </c>
      <c r="O248" s="9">
        <v>5179</v>
      </c>
      <c r="P248" s="9">
        <v>5011</v>
      </c>
      <c r="Q248" s="9">
        <v>3</v>
      </c>
      <c r="R248" s="10">
        <v>1070</v>
      </c>
      <c r="S248" s="11">
        <v>44</v>
      </c>
      <c r="T248" s="11">
        <v>54</v>
      </c>
      <c r="U248" s="12">
        <f t="shared" si="24"/>
        <v>28.8</v>
      </c>
      <c r="V248" s="12">
        <f t="shared" si="25"/>
        <v>9.9</v>
      </c>
      <c r="W248" s="12">
        <f t="shared" si="26"/>
        <v>14.6</v>
      </c>
      <c r="X248" s="12">
        <f t="shared" si="27"/>
        <v>18.3</v>
      </c>
      <c r="Y248" s="12">
        <f t="shared" si="28"/>
        <v>58.3</v>
      </c>
      <c r="Z248" s="12" cm="1">
        <f t="array" ref="Z248">INDEX(municipality_wind_potential!$X:$X,MATCH(municipalities!$F248,municipality_wind_potential!$E:$E,0),0)</f>
        <v>13</v>
      </c>
      <c r="AA248" s="12">
        <f t="shared" si="29"/>
        <v>72.8</v>
      </c>
      <c r="AB248" s="12" cm="1">
        <f t="array" ref="AB248">INDEX(municipality_wind_potential!$Y:$Y,MATCH(municipalities!$F248,municipality_wind_potential!$E:$E,0),0) / 3.6</f>
        <v>192.91944444444442</v>
      </c>
      <c r="AC248" s="12">
        <f t="shared" si="30"/>
        <v>15.062994960403167</v>
      </c>
      <c r="AD248" s="12" cm="1">
        <f t="array" ref="AD248">INDEX(municipality_pv_potential!$G:$G,MATCH(municipalities!$A248,municipality_pv_potential!$E:$E,0),0)/3.6*$AH$4</f>
        <v>13.948333333333332</v>
      </c>
      <c r="AE248" s="12">
        <f t="shared" si="31"/>
        <v>55.681545476361883</v>
      </c>
      <c r="AF248" s="12" cm="1">
        <f t="array" ref="AF248">INDEX(municipality_pv_potential!$H:$H,MATCH(municipalities!$A248,municipality_pv_potential!$E:$E,0),0)/3.6</f>
        <v>51.56111111111111</v>
      </c>
      <c r="AG248" s="12"/>
      <c r="AJ248">
        <v>28.8</v>
      </c>
      <c r="AK248">
        <v>9.9</v>
      </c>
      <c r="AL248">
        <v>14.6</v>
      </c>
      <c r="AM248">
        <v>18.3</v>
      </c>
      <c r="AN248">
        <v>58.3</v>
      </c>
    </row>
    <row r="249" spans="1:40" x14ac:dyDescent="0.25">
      <c r="A249" s="5" t="s">
        <v>761</v>
      </c>
      <c r="B249" s="6" t="s">
        <v>762</v>
      </c>
      <c r="C249" s="7" t="s">
        <v>763</v>
      </c>
      <c r="D249" s="7" t="s">
        <v>763</v>
      </c>
      <c r="E249" s="7" t="s">
        <v>22</v>
      </c>
      <c r="F249" s="7" t="s">
        <v>761</v>
      </c>
      <c r="G249" s="7" t="str" cm="1">
        <f t="array" ref="G249">INDEX('municipalities per province'!F:F,MATCH(municipalities!A249,'municipalities per province'!B:B,0),0)</f>
        <v>Limburg</v>
      </c>
      <c r="H249" s="7" t="str" cm="1">
        <f t="array" ref="H249">INDEX('municipalities per province'!E:E,MATCH(municipalities!$A249,'municipalities per province'!$B:$B,0),0)</f>
        <v>PV31</v>
      </c>
      <c r="I249" s="7" t="str" cm="1">
        <f t="array" ref="I249">INDEX('municipalities per province'!G:G,MATCH(municipalities!$A249,'municipalities per province'!$B:$B,0),0)</f>
        <v>Noord-enMidden-Limburg</v>
      </c>
      <c r="J249" s="7" t="str" cm="1">
        <f t="array" ref="J249">INDEX('municipalities per province'!H:H,MATCH(municipalities!$A249,'municipalities per province'!$B:$B,0),0)</f>
        <v>ES29</v>
      </c>
      <c r="K249" s="7" cm="1">
        <f t="array" ref="K249">INDEX(coordinates!C:C,MATCH(municipalities!$A249,coordinates!$A:$A,0),0)</f>
        <v>6.1591518163893717</v>
      </c>
      <c r="L249" s="7" cm="1">
        <f t="array" ref="L249">INDEX(coordinates!D:D,MATCH(municipalities!$A249,coordinates!$A:$A,0),0)</f>
        <v>51.39100792562752</v>
      </c>
      <c r="M249" s="8">
        <v>1</v>
      </c>
      <c r="N249" s="9">
        <v>103328</v>
      </c>
      <c r="O249" s="9">
        <v>51531</v>
      </c>
      <c r="P249" s="9">
        <v>51797</v>
      </c>
      <c r="Q249" s="9">
        <v>2</v>
      </c>
      <c r="R249" s="10">
        <v>1681</v>
      </c>
      <c r="S249" s="11">
        <v>59</v>
      </c>
      <c r="T249" s="11">
        <v>41</v>
      </c>
      <c r="U249" s="12">
        <f t="shared" si="24"/>
        <v>30.4</v>
      </c>
      <c r="V249" s="12">
        <f t="shared" si="25"/>
        <v>7.8</v>
      </c>
      <c r="W249" s="12">
        <f t="shared" si="26"/>
        <v>11.7</v>
      </c>
      <c r="X249" s="12">
        <f t="shared" si="27"/>
        <v>14.9</v>
      </c>
      <c r="Y249" s="12">
        <f t="shared" si="28"/>
        <v>67</v>
      </c>
      <c r="Z249" s="12" cm="1">
        <f t="array" ref="Z249">INDEX(municipality_wind_potential!$X:$X,MATCH(municipalities!$F249,municipality_wind_potential!$E:$E,0),0)</f>
        <v>51</v>
      </c>
      <c r="AA249" s="12">
        <f t="shared" si="29"/>
        <v>285.59999999999997</v>
      </c>
      <c r="AB249" s="12" cm="1">
        <f t="array" ref="AB249">INDEX(municipality_wind_potential!$Y:$Y,MATCH(municipalities!$F249,municipality_wind_potential!$E:$E,0),0) / 3.6</f>
        <v>756.83888888888885</v>
      </c>
      <c r="AC249" s="12">
        <f t="shared" si="30"/>
        <v>224.27045836333096</v>
      </c>
      <c r="AD249" s="12" cm="1">
        <f t="array" ref="AD249">INDEX(municipality_pv_potential!$G:$G,MATCH(municipalities!$A249,municipality_pv_potential!$E:$E,0),0)/3.6*$AH$4</f>
        <v>207.67444444444448</v>
      </c>
      <c r="AE249" s="12">
        <f t="shared" si="31"/>
        <v>146.97924166066716</v>
      </c>
      <c r="AF249" s="12" cm="1">
        <f t="array" ref="AF249">INDEX(municipality_pv_potential!$H:$H,MATCH(municipalities!$A249,municipality_pv_potential!$E:$E,0),0)/3.6</f>
        <v>136.10277777777779</v>
      </c>
      <c r="AG249" s="12"/>
      <c r="AJ249">
        <v>30.4</v>
      </c>
      <c r="AK249">
        <v>7.8</v>
      </c>
      <c r="AL249">
        <v>11.7</v>
      </c>
      <c r="AM249">
        <v>14.9</v>
      </c>
      <c r="AN249">
        <v>67</v>
      </c>
    </row>
    <row r="250" spans="1:40" x14ac:dyDescent="0.25">
      <c r="A250" s="5" t="s">
        <v>764</v>
      </c>
      <c r="B250" s="6" t="s">
        <v>765</v>
      </c>
      <c r="C250" s="7" t="s">
        <v>766</v>
      </c>
      <c r="D250" s="7" t="s">
        <v>766</v>
      </c>
      <c r="E250" s="7" t="s">
        <v>22</v>
      </c>
      <c r="F250" s="7" t="s">
        <v>764</v>
      </c>
      <c r="G250" s="7" t="str" cm="1">
        <f t="array" ref="G250">INDEX('municipalities per province'!F:F,MATCH(municipalities!A250,'municipalities per province'!B:B,0),0)</f>
        <v>Limburg</v>
      </c>
      <c r="H250" s="7" t="str" cm="1">
        <f t="array" ref="H250">INDEX('municipalities per province'!E:E,MATCH(municipalities!$A250,'municipalities per province'!$B:$B,0),0)</f>
        <v>PV31</v>
      </c>
      <c r="I250" s="7" t="str" cm="1">
        <f t="array" ref="I250">INDEX('municipalities per province'!G:G,MATCH(municipalities!$A250,'municipalities per province'!$B:$B,0),0)</f>
        <v>Noord-enMidden-Limburg</v>
      </c>
      <c r="J250" s="7" t="str" cm="1">
        <f t="array" ref="J250">INDEX('municipalities per province'!H:H,MATCH(municipalities!$A250,'municipalities per province'!$B:$B,0),0)</f>
        <v>ES29</v>
      </c>
      <c r="K250" s="7" cm="1">
        <f t="array" ref="K250">INDEX(coordinates!C:C,MATCH(municipalities!$A250,coordinates!$A:$A,0),0)</f>
        <v>5.9628998459942242</v>
      </c>
      <c r="L250" s="7" cm="1">
        <f t="array" ref="L250">INDEX(coordinates!D:D,MATCH(municipalities!$A250,coordinates!$A:$A,0),0)</f>
        <v>51.515362794766013</v>
      </c>
      <c r="M250" s="8">
        <v>1</v>
      </c>
      <c r="N250" s="9">
        <v>44628</v>
      </c>
      <c r="O250" s="9">
        <v>22724</v>
      </c>
      <c r="P250" s="9">
        <v>21904</v>
      </c>
      <c r="Q250" s="9">
        <v>3</v>
      </c>
      <c r="R250" s="10">
        <v>1035</v>
      </c>
      <c r="S250" s="11">
        <v>64</v>
      </c>
      <c r="T250" s="11">
        <v>36</v>
      </c>
      <c r="U250" s="12">
        <f t="shared" si="24"/>
        <v>33.200000000000003</v>
      </c>
      <c r="V250" s="12">
        <f t="shared" si="25"/>
        <v>5.3</v>
      </c>
      <c r="W250" s="12">
        <f t="shared" si="26"/>
        <v>8.3000000000000007</v>
      </c>
      <c r="X250" s="12">
        <f t="shared" si="27"/>
        <v>10.8</v>
      </c>
      <c r="Y250" s="12">
        <f t="shared" si="28"/>
        <v>109.9</v>
      </c>
      <c r="Z250" s="12" cm="1">
        <f t="array" ref="Z250">INDEX(municipality_wind_potential!$X:$X,MATCH(municipalities!$F250,municipality_wind_potential!$E:$E,0),0)</f>
        <v>53</v>
      </c>
      <c r="AA250" s="12">
        <f t="shared" si="29"/>
        <v>296.79999999999995</v>
      </c>
      <c r="AB250" s="12" cm="1">
        <f t="array" ref="AB250">INDEX(municipality_wind_potential!$Y:$Y,MATCH(municipalities!$F250,municipality_wind_potential!$E:$E,0),0) / 3.6</f>
        <v>786.51944444444439</v>
      </c>
      <c r="AC250" s="12">
        <f t="shared" si="30"/>
        <v>160.71154307655385</v>
      </c>
      <c r="AD250" s="12" cm="1">
        <f t="array" ref="AD250">INDEX(municipality_pv_potential!$G:$G,MATCH(municipalities!$A250,municipality_pv_potential!$E:$E,0),0)/3.6*$AH$4</f>
        <v>148.81888888888886</v>
      </c>
      <c r="AE250" s="12">
        <f t="shared" si="31"/>
        <v>466.38468922486197</v>
      </c>
      <c r="AF250" s="12" cm="1">
        <f t="array" ref="AF250">INDEX(municipality_pv_potential!$H:$H,MATCH(municipalities!$A250,municipality_pv_potential!$E:$E,0),0)/3.6</f>
        <v>431.87222222222221</v>
      </c>
      <c r="AG250" s="12"/>
      <c r="AJ250">
        <v>33.200000000000003</v>
      </c>
      <c r="AK250">
        <v>5.3</v>
      </c>
      <c r="AL250">
        <v>8.3000000000000007</v>
      </c>
      <c r="AM250">
        <v>10.8</v>
      </c>
      <c r="AN250">
        <v>109.9</v>
      </c>
    </row>
    <row r="251" spans="1:40" x14ac:dyDescent="0.25">
      <c r="A251" s="5" t="s">
        <v>767</v>
      </c>
      <c r="B251" s="6" t="s">
        <v>768</v>
      </c>
      <c r="C251" s="7" t="s">
        <v>769</v>
      </c>
      <c r="D251" s="7" t="s">
        <v>769</v>
      </c>
      <c r="E251" s="7" t="s">
        <v>22</v>
      </c>
      <c r="F251" s="7" t="s">
        <v>767</v>
      </c>
      <c r="G251" s="7" t="str" cm="1">
        <f t="array" ref="G251">INDEX('municipalities per province'!F:F,MATCH(municipalities!A251,'municipalities per province'!B:B,0),0)</f>
        <v>Limburg</v>
      </c>
      <c r="H251" s="7" t="str" cm="1">
        <f t="array" ref="H251">INDEX('municipalities per province'!E:E,MATCH(municipalities!$A251,'municipalities per province'!$B:$B,0),0)</f>
        <v>PV31</v>
      </c>
      <c r="I251" s="7" t="str" cm="1">
        <f t="array" ref="I251">INDEX('municipalities per province'!G:G,MATCH(municipalities!$A251,'municipalities per province'!$B:$B,0),0)</f>
        <v>Zuid-Limburg</v>
      </c>
      <c r="J251" s="7" t="str" cm="1">
        <f t="array" ref="J251">INDEX('municipalities per province'!H:H,MATCH(municipalities!$A251,'municipalities per province'!$B:$B,0),0)</f>
        <v>ES30</v>
      </c>
      <c r="K251" s="7" cm="1">
        <f t="array" ref="K251">INDEX(coordinates!C:C,MATCH(municipalities!$A251,coordinates!$A:$A,0),0)</f>
        <v>5.9164925360277243</v>
      </c>
      <c r="L251" s="7" cm="1">
        <f t="array" ref="L251">INDEX(coordinates!D:D,MATCH(municipalities!$A251,coordinates!$A:$A,0),0)</f>
        <v>50.869367237619393</v>
      </c>
      <c r="M251" s="8">
        <v>1</v>
      </c>
      <c r="N251" s="9">
        <v>12405</v>
      </c>
      <c r="O251" s="9">
        <v>6089</v>
      </c>
      <c r="P251" s="9">
        <v>6316</v>
      </c>
      <c r="Q251" s="9">
        <v>4</v>
      </c>
      <c r="R251" s="10">
        <v>547</v>
      </c>
      <c r="S251" s="11">
        <v>70</v>
      </c>
      <c r="T251" s="11">
        <v>29</v>
      </c>
      <c r="U251" s="12">
        <f t="shared" si="24"/>
        <v>35.1</v>
      </c>
      <c r="V251" s="12">
        <f t="shared" si="25"/>
        <v>3.2</v>
      </c>
      <c r="W251" s="12">
        <f t="shared" si="26"/>
        <v>5.5</v>
      </c>
      <c r="X251" s="12">
        <f t="shared" si="27"/>
        <v>7.8</v>
      </c>
      <c r="Y251" s="12">
        <f t="shared" si="28"/>
        <v>172.3</v>
      </c>
      <c r="Z251" s="12" cm="1">
        <f t="array" ref="Z251">INDEX(municipality_wind_potential!$X:$X,MATCH(municipalities!$F251,municipality_wind_potential!$E:$E,0),0)</f>
        <v>15</v>
      </c>
      <c r="AA251" s="12">
        <f t="shared" si="29"/>
        <v>84</v>
      </c>
      <c r="AB251" s="12" cm="1">
        <f t="array" ref="AB251">INDEX(municipality_wind_potential!$Y:$Y,MATCH(municipalities!$F251,municipality_wind_potential!$E:$E,0),0) / 3.6</f>
        <v>215.18055555555554</v>
      </c>
      <c r="AC251" s="12">
        <f t="shared" si="30"/>
        <v>23.481521478281739</v>
      </c>
      <c r="AD251" s="12" cm="1">
        <f t="array" ref="AD251">INDEX(municipality_pv_potential!$G:$G,MATCH(municipalities!$A251,municipality_pv_potential!$E:$E,0),0)/3.6*$AH$4</f>
        <v>21.74388888888889</v>
      </c>
      <c r="AE251" s="12">
        <f t="shared" si="31"/>
        <v>111.88204943604512</v>
      </c>
      <c r="AF251" s="12" cm="1">
        <f t="array" ref="AF251">INDEX(municipality_pv_potential!$H:$H,MATCH(municipalities!$A251,municipality_pv_potential!$E:$E,0),0)/3.6</f>
        <v>103.60277777777779</v>
      </c>
      <c r="AG251" s="12"/>
      <c r="AJ251">
        <v>35.1</v>
      </c>
      <c r="AK251">
        <v>3.2</v>
      </c>
      <c r="AL251">
        <v>5.5</v>
      </c>
      <c r="AM251">
        <v>7.8</v>
      </c>
      <c r="AN251">
        <v>172.3</v>
      </c>
    </row>
    <row r="252" spans="1:40" x14ac:dyDescent="0.25">
      <c r="A252" s="5" t="s">
        <v>770</v>
      </c>
      <c r="B252" s="6" t="s">
        <v>771</v>
      </c>
      <c r="C252" s="7" t="s">
        <v>772</v>
      </c>
      <c r="D252" s="7" t="s">
        <v>772</v>
      </c>
      <c r="E252" s="7" t="s">
        <v>22</v>
      </c>
      <c r="F252" s="7" t="s">
        <v>770</v>
      </c>
      <c r="G252" s="7" t="str" cm="1">
        <f t="array" ref="G252">INDEX('municipalities per province'!F:F,MATCH(municipalities!A252,'municipalities per province'!B:B,0),0)</f>
        <v>Limburg</v>
      </c>
      <c r="H252" s="7" t="str" cm="1">
        <f t="array" ref="H252">INDEX('municipalities per province'!E:E,MATCH(municipalities!$A252,'municipalities per province'!$B:$B,0),0)</f>
        <v>PV31</v>
      </c>
      <c r="I252" s="7" t="str" cm="1">
        <f t="array" ref="I252">INDEX('municipalities per province'!G:G,MATCH(municipalities!$A252,'municipalities per province'!$B:$B,0),0)</f>
        <v>Noord-enMidden-Limburg</v>
      </c>
      <c r="J252" s="7" t="str" cm="1">
        <f t="array" ref="J252">INDEX('municipalities per province'!H:H,MATCH(municipalities!$A252,'municipalities per province'!$B:$B,0),0)</f>
        <v>ES29</v>
      </c>
      <c r="K252" s="7" cm="1">
        <f t="array" ref="K252">INDEX(coordinates!C:C,MATCH(municipalities!$A252,coordinates!$A:$A,0),0)</f>
        <v>5.6916951395696884</v>
      </c>
      <c r="L252" s="7" cm="1">
        <f t="array" ref="L252">INDEX(coordinates!D:D,MATCH(municipalities!$A252,coordinates!$A:$A,0),0)</f>
        <v>51.233610221468759</v>
      </c>
      <c r="M252" s="8">
        <v>1</v>
      </c>
      <c r="N252" s="9">
        <v>50872</v>
      </c>
      <c r="O252" s="9">
        <v>25452</v>
      </c>
      <c r="P252" s="9">
        <v>25420</v>
      </c>
      <c r="Q252" s="9">
        <v>3</v>
      </c>
      <c r="R252" s="10">
        <v>1362</v>
      </c>
      <c r="S252" s="11">
        <v>65</v>
      </c>
      <c r="T252" s="11">
        <v>34</v>
      </c>
      <c r="U252" s="12">
        <f t="shared" si="24"/>
        <v>33.5</v>
      </c>
      <c r="V252" s="12">
        <f t="shared" si="25"/>
        <v>5.8</v>
      </c>
      <c r="W252" s="12">
        <f t="shared" si="26"/>
        <v>9</v>
      </c>
      <c r="X252" s="12">
        <f t="shared" si="27"/>
        <v>11.7</v>
      </c>
      <c r="Y252" s="12">
        <f t="shared" si="28"/>
        <v>131.6</v>
      </c>
      <c r="Z252" s="12" cm="1">
        <f t="array" ref="Z252">INDEX(municipality_wind_potential!$X:$X,MATCH(municipalities!$F252,municipality_wind_potential!$E:$E,0),0)</f>
        <v>35</v>
      </c>
      <c r="AA252" s="12">
        <f t="shared" si="29"/>
        <v>196</v>
      </c>
      <c r="AB252" s="12" cm="1">
        <f t="array" ref="AB252">INDEX(municipality_wind_potential!$Y:$Y,MATCH(municipalities!$F252,municipality_wind_potential!$E:$E,0),0) / 3.6</f>
        <v>519.4</v>
      </c>
      <c r="AC252" s="12">
        <f t="shared" si="30"/>
        <v>125.42536597072235</v>
      </c>
      <c r="AD252" s="12" cm="1">
        <f t="array" ref="AD252">INDEX(municipality_pv_potential!$G:$G,MATCH(municipalities!$A252,municipality_pv_potential!$E:$E,0),0)/3.6*$AH$4</f>
        <v>116.1438888888889</v>
      </c>
      <c r="AE252" s="12">
        <f t="shared" si="31"/>
        <v>219.01247900167985</v>
      </c>
      <c r="AF252" s="12" cm="1">
        <f t="array" ref="AF252">INDEX(municipality_pv_potential!$H:$H,MATCH(municipalities!$A252,municipality_pv_potential!$E:$E,0),0)/3.6</f>
        <v>202.80555555555554</v>
      </c>
      <c r="AG252" s="12"/>
      <c r="AJ252">
        <v>33.5</v>
      </c>
      <c r="AK252">
        <v>5.8</v>
      </c>
      <c r="AL252">
        <v>9</v>
      </c>
      <c r="AM252">
        <v>11.7</v>
      </c>
      <c r="AN252">
        <v>131.6</v>
      </c>
    </row>
    <row r="253" spans="1:40" x14ac:dyDescent="0.25">
      <c r="A253" s="5" t="s">
        <v>773</v>
      </c>
      <c r="B253" s="6" t="s">
        <v>774</v>
      </c>
      <c r="C253" s="7" t="s">
        <v>775</v>
      </c>
      <c r="D253" s="7" t="s">
        <v>775</v>
      </c>
      <c r="E253" s="7" t="s">
        <v>22</v>
      </c>
      <c r="F253" s="7" t="s">
        <v>773</v>
      </c>
      <c r="G253" s="7" t="str" cm="1">
        <f t="array" ref="G253">INDEX('municipalities per province'!F:F,MATCH(municipalities!A253,'municipalities per province'!B:B,0),0)</f>
        <v>Limburg</v>
      </c>
      <c r="H253" s="7" t="str" cm="1">
        <f t="array" ref="H253">INDEX('municipalities per province'!E:E,MATCH(municipalities!$A253,'municipalities per province'!$B:$B,0),0)</f>
        <v>PV31</v>
      </c>
      <c r="I253" s="7" t="str" cm="1">
        <f t="array" ref="I253">INDEX('municipalities per province'!G:G,MATCH(municipalities!$A253,'municipalities per province'!$B:$B,0),0)</f>
        <v>Zuid-Limburg</v>
      </c>
      <c r="J253" s="7" t="str" cm="1">
        <f t="array" ref="J253">INDEX('municipalities per province'!H:H,MATCH(municipalities!$A253,'municipalities per province'!$B:$B,0),0)</f>
        <v>ES30</v>
      </c>
      <c r="K253" s="7" cm="1">
        <f t="array" ref="K253">INDEX(coordinates!C:C,MATCH(municipalities!$A253,coordinates!$A:$A,0),0)</f>
        <v>5.8238659044848617</v>
      </c>
      <c r="L253" s="7" cm="1">
        <f t="array" ref="L253">INDEX(coordinates!D:D,MATCH(municipalities!$A253,coordinates!$A:$A,0),0)</f>
        <v>50.860710776274018</v>
      </c>
      <c r="M253" s="8">
        <v>1</v>
      </c>
      <c r="N253" s="9">
        <v>16423</v>
      </c>
      <c r="O253" s="9">
        <v>8094</v>
      </c>
      <c r="P253" s="9">
        <v>8329</v>
      </c>
      <c r="Q253" s="9">
        <v>4</v>
      </c>
      <c r="R253" s="10">
        <v>672</v>
      </c>
      <c r="S253" s="11">
        <v>60</v>
      </c>
      <c r="T253" s="11">
        <v>40</v>
      </c>
      <c r="U253" s="12">
        <f t="shared" si="24"/>
        <v>33.5</v>
      </c>
      <c r="V253" s="12">
        <f t="shared" si="25"/>
        <v>6.3</v>
      </c>
      <c r="W253" s="12">
        <f t="shared" si="26"/>
        <v>9.9</v>
      </c>
      <c r="X253" s="12">
        <f t="shared" si="27"/>
        <v>12.9</v>
      </c>
      <c r="Y253" s="12">
        <f t="shared" si="28"/>
        <v>140</v>
      </c>
      <c r="Z253" s="12" cm="1">
        <f t="array" ref="Z253">INDEX(municipality_wind_potential!$X:$X,MATCH(municipalities!$F253,municipality_wind_potential!$E:$E,0),0)</f>
        <v>10</v>
      </c>
      <c r="AA253" s="12">
        <f t="shared" si="29"/>
        <v>56</v>
      </c>
      <c r="AB253" s="12" cm="1">
        <f t="array" ref="AB253">INDEX(municipality_wind_potential!$Y:$Y,MATCH(municipalities!$F253,municipality_wind_potential!$E:$E,0),0) / 3.6</f>
        <v>140.98055555555555</v>
      </c>
      <c r="AC253" s="12">
        <f t="shared" si="30"/>
        <v>29.509839212862975</v>
      </c>
      <c r="AD253" s="12" cm="1">
        <f t="array" ref="AD253">INDEX(municipality_pv_potential!$G:$G,MATCH(municipalities!$A253,municipality_pv_potential!$E:$E,0),0)/3.6*$AH$4</f>
        <v>27.326111111111114</v>
      </c>
      <c r="AE253" s="12">
        <f t="shared" si="31"/>
        <v>97.864170866330682</v>
      </c>
      <c r="AF253" s="12" cm="1">
        <f t="array" ref="AF253">INDEX(municipality_pv_potential!$H:$H,MATCH(municipalities!$A253,municipality_pv_potential!$E:$E,0),0)/3.6</f>
        <v>90.62222222222222</v>
      </c>
      <c r="AG253" s="12"/>
      <c r="AJ253">
        <v>33.5</v>
      </c>
      <c r="AK253">
        <v>6.3</v>
      </c>
      <c r="AL253">
        <v>9.9</v>
      </c>
      <c r="AM253">
        <v>12.9</v>
      </c>
      <c r="AN253">
        <v>140</v>
      </c>
    </row>
    <row r="254" spans="1:40" x14ac:dyDescent="0.25">
      <c r="A254" s="5" t="s">
        <v>776</v>
      </c>
      <c r="B254" s="6" t="s">
        <v>777</v>
      </c>
      <c r="C254" s="7" t="s">
        <v>778</v>
      </c>
      <c r="D254" s="7" t="s">
        <v>778</v>
      </c>
      <c r="E254" s="7" t="s">
        <v>22</v>
      </c>
      <c r="F254" s="7" t="s">
        <v>776</v>
      </c>
      <c r="G254" s="7" t="str" cm="1">
        <f t="array" ref="G254">INDEX('municipalities per province'!F:F,MATCH(municipalities!A254,'municipalities per province'!B:B,0),0)</f>
        <v>Flevoland</v>
      </c>
      <c r="H254" s="7" t="str" cm="1">
        <f t="array" ref="H254">INDEX('municipalities per province'!E:E,MATCH(municipalities!$A254,'municipalities per province'!$B:$B,0),0)</f>
        <v>PV24</v>
      </c>
      <c r="I254" s="7" t="str" cm="1">
        <f t="array" ref="I254">INDEX('municipalities per province'!G:G,MATCH(municipalities!$A254,'municipalities per province'!$B:$B,0),0)</f>
        <v>Flevoland</v>
      </c>
      <c r="J254" s="7" t="str" cm="1">
        <f t="array" ref="J254">INDEX('municipalities per province'!H:H,MATCH(municipalities!$A254,'municipalities per province'!$B:$B,0),0)</f>
        <v>ES06</v>
      </c>
      <c r="K254" s="7" cm="1">
        <f t="array" ref="K254">INDEX(coordinates!C:C,MATCH(municipalities!$A254,coordinates!$A:$A,0),0)</f>
        <v>5.3257786134830303</v>
      </c>
      <c r="L254" s="7" cm="1">
        <f t="array" ref="L254">INDEX(coordinates!D:D,MATCH(municipalities!$A254,coordinates!$A:$A,0),0)</f>
        <v>52.575165025000572</v>
      </c>
      <c r="M254" s="8">
        <v>1</v>
      </c>
      <c r="N254" s="9">
        <v>83033</v>
      </c>
      <c r="O254" s="9">
        <v>41769</v>
      </c>
      <c r="P254" s="9">
        <v>41264</v>
      </c>
      <c r="Q254" s="9">
        <v>3</v>
      </c>
      <c r="R254" s="10">
        <v>1409</v>
      </c>
      <c r="S254" s="11">
        <v>62</v>
      </c>
      <c r="T254" s="11">
        <v>38</v>
      </c>
      <c r="U254" s="12">
        <f t="shared" si="24"/>
        <v>31.4</v>
      </c>
      <c r="V254" s="12">
        <f t="shared" si="25"/>
        <v>7.3</v>
      </c>
      <c r="W254" s="12">
        <f t="shared" si="26"/>
        <v>11.3</v>
      </c>
      <c r="X254" s="12">
        <f t="shared" si="27"/>
        <v>14.1</v>
      </c>
      <c r="Y254" s="12">
        <f t="shared" si="28"/>
        <v>58.7</v>
      </c>
      <c r="Z254" s="12" cm="1">
        <f t="array" ref="Z254">INDEX(municipality_wind_potential!$X:$X,MATCH(municipalities!$F254,municipality_wind_potential!$E:$E,0),0)</f>
        <v>102</v>
      </c>
      <c r="AA254" s="12">
        <f t="shared" si="29"/>
        <v>571.19999999999993</v>
      </c>
      <c r="AB254" s="12" cm="1">
        <f t="array" ref="AB254">INDEX(municipality_wind_potential!$Y:$Y,MATCH(municipalities!$F254,municipality_wind_potential!$E:$E,0),0) / 3.6</f>
        <v>1801.8277777777778</v>
      </c>
      <c r="AC254" s="12">
        <f t="shared" si="30"/>
        <v>128.32073434125272</v>
      </c>
      <c r="AD254" s="12" cm="1">
        <f t="array" ref="AD254">INDEX(municipality_pv_potential!$G:$G,MATCH(municipalities!$A254,municipality_pv_potential!$E:$E,0),0)/3.6*$AH$4</f>
        <v>118.825</v>
      </c>
      <c r="AE254" s="12">
        <f t="shared" si="31"/>
        <v>539.42284617230621</v>
      </c>
      <c r="AF254" s="12" cm="1">
        <f t="array" ref="AF254">INDEX(municipality_pv_potential!$H:$H,MATCH(municipalities!$A254,municipality_pv_potential!$E:$E,0),0)/3.6</f>
        <v>499.50555555555553</v>
      </c>
      <c r="AG254" s="12"/>
      <c r="AJ254">
        <v>31.4</v>
      </c>
      <c r="AK254">
        <v>7.3</v>
      </c>
      <c r="AL254">
        <v>11.3</v>
      </c>
      <c r="AM254">
        <v>14.1</v>
      </c>
      <c r="AN254">
        <v>58.7</v>
      </c>
    </row>
    <row r="255" spans="1:40" x14ac:dyDescent="0.25">
      <c r="A255" s="5" t="s">
        <v>779</v>
      </c>
      <c r="B255" s="6" t="s">
        <v>780</v>
      </c>
      <c r="C255" s="7" t="s">
        <v>781</v>
      </c>
      <c r="D255" s="7" t="s">
        <v>781</v>
      </c>
      <c r="E255" s="7" t="s">
        <v>22</v>
      </c>
      <c r="F255" s="7" t="s">
        <v>779</v>
      </c>
      <c r="G255" s="7" t="str" cm="1">
        <f t="array" ref="G255">INDEX('municipalities per province'!F:F,MATCH(municipalities!A255,'municipalities per province'!B:B,0),0)</f>
        <v>Limburg</v>
      </c>
      <c r="H255" s="7" t="str" cm="1">
        <f t="array" ref="H255">INDEX('municipalities per province'!E:E,MATCH(municipalities!$A255,'municipalities per province'!$B:$B,0),0)</f>
        <v>PV31</v>
      </c>
      <c r="I255" s="7" t="str" cm="1">
        <f t="array" ref="I255">INDEX('municipalities per province'!G:G,MATCH(municipalities!$A255,'municipalities per province'!$B:$B,0),0)</f>
        <v>Noord-enMidden-Limburg</v>
      </c>
      <c r="J255" s="7" t="str" cm="1">
        <f t="array" ref="J255">INDEX('municipalities per province'!H:H,MATCH(municipalities!$A255,'municipalities per province'!$B:$B,0),0)</f>
        <v>ES29</v>
      </c>
      <c r="K255" s="7" cm="1">
        <f t="array" ref="K255">INDEX(coordinates!C:C,MATCH(municipalities!$A255,coordinates!$A:$A,0),0)</f>
        <v>6.041693787200888</v>
      </c>
      <c r="L255" s="7" cm="1">
        <f t="array" ref="L255">INDEX(coordinates!D:D,MATCH(municipalities!$A255,coordinates!$A:$A,0),0)</f>
        <v>51.444866277456278</v>
      </c>
      <c r="M255" s="8">
        <v>1</v>
      </c>
      <c r="N255" s="9">
        <v>43641</v>
      </c>
      <c r="O255" s="9">
        <v>21934</v>
      </c>
      <c r="P255" s="9">
        <v>21707</v>
      </c>
      <c r="Q255" s="9">
        <v>4</v>
      </c>
      <c r="R255" s="10">
        <v>582</v>
      </c>
      <c r="S255" s="11">
        <v>75</v>
      </c>
      <c r="T255" s="11">
        <v>25</v>
      </c>
      <c r="U255" s="12">
        <f t="shared" si="24"/>
        <v>34.700000000000003</v>
      </c>
      <c r="V255" s="12">
        <f t="shared" si="25"/>
        <v>3.3</v>
      </c>
      <c r="W255" s="12">
        <f t="shared" si="26"/>
        <v>5.0999999999999996</v>
      </c>
      <c r="X255" s="12">
        <f t="shared" si="27"/>
        <v>7</v>
      </c>
      <c r="Y255" s="12">
        <f t="shared" si="28"/>
        <v>188.9</v>
      </c>
      <c r="Z255" s="12" cm="1">
        <f t="array" ref="Z255">INDEX(municipality_wind_potential!$X:$X,MATCH(municipalities!$F255,municipality_wind_potential!$E:$E,0),0)</f>
        <v>113</v>
      </c>
      <c r="AA255" s="12">
        <f t="shared" si="29"/>
        <v>632.79999999999995</v>
      </c>
      <c r="AB255" s="12" cm="1">
        <f t="array" ref="AB255">INDEX(municipality_wind_potential!$Y:$Y,MATCH(municipalities!$F255,municipality_wind_potential!$E:$E,0),0) / 3.6</f>
        <v>1676.9194444444443</v>
      </c>
      <c r="AC255" s="12">
        <f t="shared" si="30"/>
        <v>144.82601391888653</v>
      </c>
      <c r="AD255" s="12" cm="1">
        <f t="array" ref="AD255">INDEX(municipality_pv_potential!$G:$G,MATCH(municipalities!$A255,municipality_pv_potential!$E:$E,0),0)/3.6*$AH$4</f>
        <v>134.10888888888891</v>
      </c>
      <c r="AE255" s="12">
        <f t="shared" si="31"/>
        <v>493.51151907847373</v>
      </c>
      <c r="AF255" s="12" cm="1">
        <f t="array" ref="AF255">INDEX(municipality_pv_potential!$H:$H,MATCH(municipalities!$A255,municipality_pv_potential!$E:$E,0),0)/3.6</f>
        <v>456.99166666666667</v>
      </c>
      <c r="AG255" s="12"/>
      <c r="AJ255">
        <v>34.700000000000003</v>
      </c>
      <c r="AK255">
        <v>3.3</v>
      </c>
      <c r="AL255">
        <v>5.0999999999999996</v>
      </c>
      <c r="AM255">
        <v>7</v>
      </c>
      <c r="AN255">
        <v>188.9</v>
      </c>
    </row>
    <row r="256" spans="1:40" x14ac:dyDescent="0.25">
      <c r="A256" s="5" t="s">
        <v>782</v>
      </c>
      <c r="B256" s="6" t="s">
        <v>783</v>
      </c>
      <c r="C256" s="7" t="s">
        <v>784</v>
      </c>
      <c r="D256" s="7" t="s">
        <v>784</v>
      </c>
      <c r="E256" s="7" t="s">
        <v>22</v>
      </c>
      <c r="F256" s="7" t="s">
        <v>782</v>
      </c>
      <c r="G256" s="7" t="str" cm="1">
        <f t="array" ref="G256">INDEX('municipalities per province'!F:F,MATCH(municipalities!A256,'municipalities per province'!B:B,0),0)</f>
        <v>Gelderland</v>
      </c>
      <c r="H256" s="7" t="str" cm="1">
        <f t="array" ref="H256">INDEX('municipalities per province'!E:E,MATCH(municipalities!$A256,'municipalities per province'!$B:$B,0),0)</f>
        <v>PV25</v>
      </c>
      <c r="I256" s="7" t="str" cm="1">
        <f t="array" ref="I256">INDEX('municipalities per province'!G:G,MATCH(municipalities!$A256,'municipalities per province'!$B:$B,0),0)</f>
        <v>Achterhoek</v>
      </c>
      <c r="J256" s="7" t="str" cm="1">
        <f t="array" ref="J256">INDEX('municipalities per province'!H:H,MATCH(municipalities!$A256,'municipalities per province'!$B:$B,0),0)</f>
        <v>ES07</v>
      </c>
      <c r="K256" s="7" cm="1">
        <f t="array" ref="K256">INDEX(coordinates!C:C,MATCH(municipalities!$A256,coordinates!$A:$A,0),0)</f>
        <v>6.4095341665616621</v>
      </c>
      <c r="L256" s="7" cm="1">
        <f t="array" ref="L256">INDEX(coordinates!D:D,MATCH(municipalities!$A256,coordinates!$A:$A,0),0)</f>
        <v>51.907839094121123</v>
      </c>
      <c r="M256" s="8">
        <v>1</v>
      </c>
      <c r="N256" s="9">
        <v>39613</v>
      </c>
      <c r="O256" s="9">
        <v>19983</v>
      </c>
      <c r="P256" s="9">
        <v>19630</v>
      </c>
      <c r="Q256" s="9">
        <v>4</v>
      </c>
      <c r="R256" s="10">
        <v>657</v>
      </c>
      <c r="S256" s="11">
        <v>66</v>
      </c>
      <c r="T256" s="11">
        <v>34</v>
      </c>
      <c r="U256" s="12">
        <f t="shared" si="24"/>
        <v>31.8</v>
      </c>
      <c r="V256" s="12">
        <f t="shared" si="25"/>
        <v>5.3</v>
      </c>
      <c r="W256" s="12">
        <f t="shared" si="26"/>
        <v>8.5</v>
      </c>
      <c r="X256" s="12">
        <f t="shared" si="27"/>
        <v>11.7</v>
      </c>
      <c r="Y256" s="12">
        <f t="shared" si="28"/>
        <v>109</v>
      </c>
      <c r="Z256" s="12" cm="1">
        <f t="array" ref="Z256">INDEX(municipality_wind_potential!$X:$X,MATCH(municipalities!$F256,municipality_wind_potential!$E:$E,0),0)</f>
        <v>41</v>
      </c>
      <c r="AA256" s="12">
        <f t="shared" si="29"/>
        <v>229.6</v>
      </c>
      <c r="AB256" s="12" cm="1">
        <f t="array" ref="AB256">INDEX(municipality_wind_potential!$Y:$Y,MATCH(municipalities!$F256,municipality_wind_potential!$E:$E,0),0) / 3.6</f>
        <v>661.24722222222215</v>
      </c>
      <c r="AC256" s="12">
        <f t="shared" si="30"/>
        <v>116.0175185985121</v>
      </c>
      <c r="AD256" s="12" cm="1">
        <f t="array" ref="AD256">INDEX(municipality_pv_potential!$G:$G,MATCH(municipalities!$A256,municipality_pv_potential!$E:$E,0),0)/3.6*$AH$4</f>
        <v>107.43222222222221</v>
      </c>
      <c r="AE256" s="12">
        <f t="shared" si="31"/>
        <v>483.71130309575227</v>
      </c>
      <c r="AF256" s="12" cm="1">
        <f t="array" ref="AF256">INDEX(municipality_pv_potential!$H:$H,MATCH(municipalities!$A256,municipality_pv_potential!$E:$E,0),0)/3.6</f>
        <v>447.91666666666663</v>
      </c>
      <c r="AG256" s="12"/>
      <c r="AJ256">
        <v>31.8</v>
      </c>
      <c r="AK256">
        <v>5.3</v>
      </c>
      <c r="AL256">
        <v>8.5</v>
      </c>
      <c r="AM256">
        <v>11.7</v>
      </c>
      <c r="AN256">
        <v>109</v>
      </c>
    </row>
    <row r="257" spans="1:40" x14ac:dyDescent="0.25">
      <c r="A257" s="5" t="s">
        <v>785</v>
      </c>
      <c r="B257" s="6" t="s">
        <v>786</v>
      </c>
      <c r="C257" s="7" t="s">
        <v>787</v>
      </c>
      <c r="D257" s="7" t="s">
        <v>787</v>
      </c>
      <c r="E257" s="7" t="s">
        <v>22</v>
      </c>
      <c r="F257" s="7" t="s">
        <v>785</v>
      </c>
      <c r="G257" s="7" t="str" cm="1">
        <f t="array" ref="G257">INDEX('municipalities per province'!F:F,MATCH(municipalities!A257,'municipalities per province'!B:B,0),0)</f>
        <v>Zuid-Holland</v>
      </c>
      <c r="H257" s="7" t="str" cm="1">
        <f t="array" ref="H257">INDEX('municipalities per province'!E:E,MATCH(municipalities!$A257,'municipalities per province'!$B:$B,0),0)</f>
        <v>PV28</v>
      </c>
      <c r="I257" s="7" t="str" cm="1">
        <f t="array" ref="I257">INDEX('municipalities per province'!G:G,MATCH(municipalities!$A257,'municipalities per province'!$B:$B,0),0)</f>
        <v>HollandRijnland</v>
      </c>
      <c r="J257" s="7" t="str" cm="1">
        <f t="array" ref="J257">INDEX('municipalities per province'!H:H,MATCH(municipalities!$A257,'municipalities per province'!$B:$B,0),0)</f>
        <v>ES21</v>
      </c>
      <c r="K257" s="7" cm="1">
        <f t="array" ref="K257">INDEX(coordinates!C:C,MATCH(municipalities!$A257,coordinates!$A:$A,0),0)</f>
        <v>4.5118979976778419</v>
      </c>
      <c r="L257" s="7" cm="1">
        <f t="array" ref="L257">INDEX(coordinates!D:D,MATCH(municipalities!$A257,coordinates!$A:$A,0),0)</f>
        <v>52.21400160735373</v>
      </c>
      <c r="M257" s="8">
        <v>1</v>
      </c>
      <c r="N257" s="9">
        <v>38510</v>
      </c>
      <c r="O257" s="9">
        <v>19160</v>
      </c>
      <c r="P257" s="9">
        <v>19350</v>
      </c>
      <c r="Q257" s="9">
        <v>3</v>
      </c>
      <c r="R257" s="10">
        <v>1424</v>
      </c>
      <c r="S257" s="11">
        <v>66</v>
      </c>
      <c r="T257" s="11">
        <v>34</v>
      </c>
      <c r="U257" s="12">
        <f t="shared" si="24"/>
        <v>39.4</v>
      </c>
      <c r="V257" s="12">
        <f t="shared" si="25"/>
        <v>3.3</v>
      </c>
      <c r="W257" s="12">
        <f t="shared" si="26"/>
        <v>4.9000000000000004</v>
      </c>
      <c r="X257" s="12">
        <f t="shared" si="27"/>
        <v>6.5</v>
      </c>
      <c r="Y257" s="12">
        <f t="shared" si="28"/>
        <v>190.7</v>
      </c>
      <c r="Z257" s="12" cm="1">
        <f t="array" ref="Z257">INDEX(municipality_wind_potential!$X:$X,MATCH(municipalities!$F257,municipality_wind_potential!$E:$E,0),0)</f>
        <v>12</v>
      </c>
      <c r="AA257" s="12">
        <f t="shared" si="29"/>
        <v>67.199999999999989</v>
      </c>
      <c r="AB257" s="12" cm="1">
        <f t="array" ref="AB257">INDEX(municipality_wind_potential!$Y:$Y,MATCH(municipalities!$F257,municipality_wind_potential!$E:$E,0),0) / 3.6</f>
        <v>204.14722222222221</v>
      </c>
      <c r="AC257" s="12">
        <f t="shared" si="30"/>
        <v>52.218622510199189</v>
      </c>
      <c r="AD257" s="12" cm="1">
        <f t="array" ref="AD257">INDEX(municipality_pv_potential!$G:$G,MATCH(municipalities!$A257,municipality_pv_potential!$E:$E,0),0)/3.6*$AH$4</f>
        <v>48.354444444444447</v>
      </c>
      <c r="AE257" s="12">
        <f t="shared" si="31"/>
        <v>65.895728341732664</v>
      </c>
      <c r="AF257" s="12" cm="1">
        <f t="array" ref="AF257">INDEX(municipality_pv_potential!$H:$H,MATCH(municipalities!$A257,municipality_pv_potential!$E:$E,0),0)/3.6</f>
        <v>61.019444444444439</v>
      </c>
      <c r="AG257" s="12"/>
      <c r="AJ257">
        <v>39.4</v>
      </c>
      <c r="AK257">
        <v>3.3</v>
      </c>
      <c r="AL257">
        <v>4.9000000000000004</v>
      </c>
      <c r="AM257">
        <v>6.5</v>
      </c>
      <c r="AN257">
        <v>190.7</v>
      </c>
    </row>
    <row r="258" spans="1:40" x14ac:dyDescent="0.25">
      <c r="A258" s="5" t="s">
        <v>788</v>
      </c>
      <c r="B258" s="6" t="s">
        <v>789</v>
      </c>
      <c r="C258" s="7" t="s">
        <v>790</v>
      </c>
      <c r="D258" s="7" t="s">
        <v>790</v>
      </c>
      <c r="E258" s="7" t="s">
        <v>22</v>
      </c>
      <c r="F258" s="7" t="s">
        <v>788</v>
      </c>
      <c r="G258" s="7" t="str" cm="1">
        <f t="array" ref="G258">INDEX('municipalities per province'!F:F,MATCH(municipalities!A258,'municipalities per province'!B:B,0),0)</f>
        <v>Utrecht</v>
      </c>
      <c r="H258" s="7" t="str" cm="1">
        <f t="array" ref="H258">INDEX('municipalities per province'!E:E,MATCH(municipalities!$A258,'municipalities per province'!$B:$B,0),0)</f>
        <v>PV26</v>
      </c>
      <c r="I258" s="7" t="str" cm="1">
        <f t="array" ref="I258">INDEX('municipalities per province'!G:G,MATCH(municipalities!$A258,'municipalities per province'!$B:$B,0),0)</f>
        <v>U16</v>
      </c>
      <c r="J258" s="7" t="str" cm="1">
        <f t="array" ref="J258">INDEX('municipalities per province'!H:H,MATCH(municipalities!$A258,'municipalities per province'!$B:$B,0),0)</f>
        <v>ES14</v>
      </c>
      <c r="K258" s="7" cm="1">
        <f t="array" ref="K258">INDEX(coordinates!C:C,MATCH(municipalities!$A258,coordinates!$A:$A,0),0)</f>
        <v>5.3882892522297396</v>
      </c>
      <c r="L258" s="7" cm="1">
        <f t="array" ref="L258">INDEX(coordinates!D:D,MATCH(municipalities!$A258,coordinates!$A:$A,0),0)</f>
        <v>52.034706085068223</v>
      </c>
      <c r="M258" s="8">
        <v>1</v>
      </c>
      <c r="N258" s="9">
        <v>50429</v>
      </c>
      <c r="O258" s="9">
        <v>24668</v>
      </c>
      <c r="P258" s="9">
        <v>25761</v>
      </c>
      <c r="Q258" s="9">
        <v>4</v>
      </c>
      <c r="R258" s="10">
        <v>791</v>
      </c>
      <c r="S258" s="11">
        <v>64</v>
      </c>
      <c r="T258" s="11">
        <v>35</v>
      </c>
      <c r="U258" s="12">
        <f t="shared" ref="U258:U321" si="32">IF(AJ258&lt;0,AVERAGEIF(AJ:AJ,"&gt;0"),AJ258)</f>
        <v>40</v>
      </c>
      <c r="V258" s="12">
        <f t="shared" ref="V258:V321" si="33">IF(AK258&lt;0,AVERAGEIF(AK:AK,"&gt;0"),AK258)</f>
        <v>4.5999999999999996</v>
      </c>
      <c r="W258" s="12">
        <f t="shared" ref="W258:W321" si="34">IF(AL258&lt;0,AVERAGEIF(AL:AL,"&gt;0"),AL258)</f>
        <v>7.1</v>
      </c>
      <c r="X258" s="12">
        <f t="shared" ref="X258:X321" si="35">IF(AM258&lt;0,AVERAGEIF(AM:AM,"&gt;0"),AM258)</f>
        <v>9.1999999999999993</v>
      </c>
      <c r="Y258" s="12">
        <f t="shared" ref="Y258:Y321" si="36">IF(AN258&lt;0,AVERAGEIF(AN:AN,"&gt;0"),AN258)</f>
        <v>215.1</v>
      </c>
      <c r="Z258" s="12" cm="1">
        <f t="array" ref="Z258">INDEX(municipality_wind_potential!$X:$X,MATCH(municipalities!$F258,municipality_wind_potential!$E:$E,0),0)</f>
        <v>79</v>
      </c>
      <c r="AA258" s="12">
        <f t="shared" si="29"/>
        <v>442.4</v>
      </c>
      <c r="AB258" s="12" cm="1">
        <f t="array" ref="AB258">INDEX(municipality_wind_potential!$Y:$Y,MATCH(municipalities!$F258,municipality_wind_potential!$E:$E,0),0) / 3.6</f>
        <v>1164.9388888888889</v>
      </c>
      <c r="AC258" s="12">
        <f t="shared" si="30"/>
        <v>82.360211183105363</v>
      </c>
      <c r="AD258" s="12" cm="1">
        <f t="array" ref="AD258">INDEX(municipality_pv_potential!$G:$G,MATCH(municipalities!$A258,municipality_pv_potential!$E:$E,0),0)/3.6*$AH$4</f>
        <v>76.265555555555565</v>
      </c>
      <c r="AE258" s="12">
        <f t="shared" si="31"/>
        <v>183.74430045596353</v>
      </c>
      <c r="AF258" s="12" cm="1">
        <f t="array" ref="AF258">INDEX(municipality_pv_potential!$H:$H,MATCH(municipalities!$A258,municipality_pv_potential!$E:$E,0),0)/3.6</f>
        <v>170.14722222222221</v>
      </c>
      <c r="AG258" s="12"/>
      <c r="AJ258">
        <v>40</v>
      </c>
      <c r="AK258">
        <v>4.5999999999999996</v>
      </c>
      <c r="AL258">
        <v>7.1</v>
      </c>
      <c r="AM258">
        <v>9.1999999999999993</v>
      </c>
      <c r="AN258">
        <v>215.1</v>
      </c>
    </row>
    <row r="259" spans="1:40" x14ac:dyDescent="0.25">
      <c r="A259" s="5" t="s">
        <v>791</v>
      </c>
      <c r="B259" s="6" t="s">
        <v>792</v>
      </c>
      <c r="C259" s="7" t="s">
        <v>793</v>
      </c>
      <c r="D259" s="7" t="s">
        <v>793</v>
      </c>
      <c r="E259" s="7" t="s">
        <v>22</v>
      </c>
      <c r="F259" s="7" t="s">
        <v>791</v>
      </c>
      <c r="G259" s="7" t="str" cm="1">
        <f t="array" ref="G259">INDEX('municipalities per province'!F:F,MATCH(municipalities!A259,'municipalities per province'!B:B,0),0)</f>
        <v>Gelderland</v>
      </c>
      <c r="H259" s="7" t="str" cm="1">
        <f t="array" ref="H259">INDEX('municipalities per province'!E:E,MATCH(municipalities!$A259,'municipalities per province'!$B:$B,0),0)</f>
        <v>PV25</v>
      </c>
      <c r="I259" s="7" t="str" cm="1">
        <f t="array" ref="I259">INDEX('municipalities per province'!G:G,MATCH(municipalities!$A259,'municipalities per province'!$B:$B,0),0)</f>
        <v>Achterhoek</v>
      </c>
      <c r="J259" s="7" t="str" cm="1">
        <f t="array" ref="J259">INDEX('municipalities per province'!H:H,MATCH(municipalities!$A259,'municipalities per province'!$B:$B,0),0)</f>
        <v>ES07</v>
      </c>
      <c r="K259" s="7" cm="1">
        <f t="array" ref="K259">INDEX(coordinates!C:C,MATCH(municipalities!$A259,coordinates!$A:$A,0),0)</f>
        <v>6.5757534008910179</v>
      </c>
      <c r="L259" s="7" cm="1">
        <f t="array" ref="L259">INDEX(coordinates!D:D,MATCH(municipalities!$A259,coordinates!$A:$A,0),0)</f>
        <v>52.009833998777843</v>
      </c>
      <c r="M259" s="8">
        <v>1</v>
      </c>
      <c r="N259" s="9">
        <v>29846</v>
      </c>
      <c r="O259" s="9">
        <v>15061</v>
      </c>
      <c r="P259" s="9">
        <v>14785</v>
      </c>
      <c r="Q259" s="9">
        <v>4</v>
      </c>
      <c r="R259" s="10">
        <v>749</v>
      </c>
      <c r="S259" s="11">
        <v>74</v>
      </c>
      <c r="T259" s="11">
        <v>26</v>
      </c>
      <c r="U259" s="12">
        <f t="shared" si="32"/>
        <v>34.5</v>
      </c>
      <c r="V259" s="12">
        <f t="shared" si="33"/>
        <v>3.1</v>
      </c>
      <c r="W259" s="12">
        <f t="shared" si="34"/>
        <v>5.0999999999999996</v>
      </c>
      <c r="X259" s="12">
        <f t="shared" si="35"/>
        <v>7.5</v>
      </c>
      <c r="Y259" s="12">
        <f t="shared" si="36"/>
        <v>147.80000000000001</v>
      </c>
      <c r="Z259" s="12" cm="1">
        <f t="array" ref="Z259">INDEX(municipality_wind_potential!$X:$X,MATCH(municipalities!$F259,municipality_wind_potential!$E:$E,0),0)</f>
        <v>44</v>
      </c>
      <c r="AA259" s="12">
        <f t="shared" ref="AA259:AA322" si="37">Z259*$AH$2</f>
        <v>246.39999999999998</v>
      </c>
      <c r="AB259" s="12" cm="1">
        <f t="array" ref="AB259">INDEX(municipality_wind_potential!$Y:$Y,MATCH(municipalities!$F259,municipality_wind_potential!$E:$E,0),0) / 3.6</f>
        <v>772.21111111111111</v>
      </c>
      <c r="AC259" s="12">
        <f t="shared" ref="AC259:AC322" si="38">AD259/$AH$3*1000</f>
        <v>95.729541636669069</v>
      </c>
      <c r="AD259" s="12" cm="1">
        <f t="array" ref="AD259">INDEX(municipality_pv_potential!$G:$G,MATCH(municipalities!$A259,municipality_pv_potential!$E:$E,0),0)/3.6*$AH$4</f>
        <v>88.645555555555561</v>
      </c>
      <c r="AE259" s="12">
        <f t="shared" ref="AE259:AE322" si="39">AF259/$AH$3*1000</f>
        <v>391.8916486681066</v>
      </c>
      <c r="AF259" s="12" cm="1">
        <f t="array" ref="AF259">INDEX(municipality_pv_potential!$H:$H,MATCH(municipalities!$A259,municipality_pv_potential!$E:$E,0),0)/3.6</f>
        <v>362.89166666666671</v>
      </c>
      <c r="AG259" s="12"/>
      <c r="AJ259">
        <v>34.5</v>
      </c>
      <c r="AK259">
        <v>3.1</v>
      </c>
      <c r="AL259">
        <v>5.0999999999999996</v>
      </c>
      <c r="AM259">
        <v>7.5</v>
      </c>
      <c r="AN259">
        <v>147.80000000000001</v>
      </c>
    </row>
    <row r="260" spans="1:40" x14ac:dyDescent="0.25">
      <c r="A260" s="5" t="s">
        <v>794</v>
      </c>
      <c r="B260" s="6" t="s">
        <v>795</v>
      </c>
      <c r="C260" s="7" t="s">
        <v>796</v>
      </c>
      <c r="D260" s="7" t="s">
        <v>796</v>
      </c>
      <c r="E260" s="7" t="s">
        <v>22</v>
      </c>
      <c r="F260" s="7" t="s">
        <v>794</v>
      </c>
      <c r="G260" s="7" t="str" cm="1">
        <f t="array" ref="G260">INDEX('municipalities per province'!F:F,MATCH(municipalities!A260,'municipalities per province'!B:B,0),0)</f>
        <v>Noord-Holland</v>
      </c>
      <c r="H260" s="7" t="str" cm="1">
        <f t="array" ref="H260">INDEX('municipalities per province'!E:E,MATCH(municipalities!$A260,'municipalities per province'!$B:$B,0),0)</f>
        <v>PV27</v>
      </c>
      <c r="I260" s="7" t="str" cm="1">
        <f t="array" ref="I260">INDEX('municipalities per province'!G:G,MATCH(municipalities!$A260,'municipalities per province'!$B:$B,0),0)</f>
        <v>Noord-HollandNoord</v>
      </c>
      <c r="J260" s="7" t="str" cm="1">
        <f t="array" ref="J260">INDEX('municipalities per province'!H:H,MATCH(municipalities!$A260,'municipalities per province'!$B:$B,0),0)</f>
        <v>ES15</v>
      </c>
      <c r="K260" s="7" cm="1">
        <f t="array" ref="K260">INDEX(coordinates!C:C,MATCH(municipalities!$A260,coordinates!$A:$A,0),0)</f>
        <v>5.0210056779522239</v>
      </c>
      <c r="L260" s="7" cm="1">
        <f t="array" ref="L260">INDEX(coordinates!D:D,MATCH(municipalities!$A260,coordinates!$A:$A,0),0)</f>
        <v>52.619943955585761</v>
      </c>
      <c r="M260" s="8">
        <v>1</v>
      </c>
      <c r="N260" s="9">
        <v>23509</v>
      </c>
      <c r="O260" s="9">
        <v>11823</v>
      </c>
      <c r="P260" s="9">
        <v>11686</v>
      </c>
      <c r="Q260" s="9">
        <v>5</v>
      </c>
      <c r="R260" s="10">
        <v>443</v>
      </c>
      <c r="S260" s="11">
        <v>79</v>
      </c>
      <c r="T260" s="11">
        <v>21</v>
      </c>
      <c r="U260" s="12">
        <f t="shared" si="32"/>
        <v>36.200000000000003</v>
      </c>
      <c r="V260" s="12">
        <f t="shared" si="33"/>
        <v>3.1</v>
      </c>
      <c r="W260" s="12">
        <f t="shared" si="34"/>
        <v>5.0999999999999996</v>
      </c>
      <c r="X260" s="12">
        <f t="shared" si="35"/>
        <v>6.6</v>
      </c>
      <c r="Y260" s="12">
        <f t="shared" si="36"/>
        <v>214.8</v>
      </c>
      <c r="Z260" s="12" cm="1">
        <f t="array" ref="Z260">INDEX(municipality_wind_potential!$X:$X,MATCH(municipalities!$F260,municipality_wind_potential!$E:$E,0),0)</f>
        <v>40</v>
      </c>
      <c r="AA260" s="12">
        <f t="shared" si="37"/>
        <v>224</v>
      </c>
      <c r="AB260" s="12" cm="1">
        <f t="array" ref="AB260">INDEX(municipality_wind_potential!$Y:$Y,MATCH(municipalities!$F260,municipality_wind_potential!$E:$E,0),0) / 3.6</f>
        <v>784</v>
      </c>
      <c r="AC260" s="12">
        <f t="shared" si="38"/>
        <v>50.317374610031202</v>
      </c>
      <c r="AD260" s="12" cm="1">
        <f t="array" ref="AD260">INDEX(municipality_pv_potential!$G:$G,MATCH(municipalities!$A260,municipality_pv_potential!$E:$E,0),0)/3.6*$AH$4</f>
        <v>46.593888888888898</v>
      </c>
      <c r="AE260" s="12">
        <f t="shared" si="39"/>
        <v>312.52699784017273</v>
      </c>
      <c r="AF260" s="12" cm="1">
        <f t="array" ref="AF260">INDEX(municipality_pv_potential!$H:$H,MATCH(municipalities!$A260,municipality_pv_potential!$E:$E,0),0)/3.6</f>
        <v>289.39999999999998</v>
      </c>
      <c r="AG260" s="12"/>
      <c r="AJ260">
        <v>36.200000000000003</v>
      </c>
      <c r="AK260">
        <v>3.1</v>
      </c>
      <c r="AL260">
        <v>5.0999999999999996</v>
      </c>
      <c r="AM260">
        <v>6.6</v>
      </c>
      <c r="AN260">
        <v>214.8</v>
      </c>
    </row>
    <row r="261" spans="1:40" x14ac:dyDescent="0.25">
      <c r="A261" s="5" t="s">
        <v>797</v>
      </c>
      <c r="B261" s="6" t="s">
        <v>798</v>
      </c>
      <c r="C261" s="7" t="s">
        <v>799</v>
      </c>
      <c r="D261" s="7" t="s">
        <v>799</v>
      </c>
      <c r="E261" s="7" t="s">
        <v>22</v>
      </c>
      <c r="F261" s="7" t="s">
        <v>797</v>
      </c>
      <c r="G261" s="7" t="str" cm="1">
        <f t="array" ref="G261">INDEX('municipalities per province'!F:F,MATCH(municipalities!A261,'municipalities per province'!B:B,0),0)</f>
        <v>Zuid-Holland</v>
      </c>
      <c r="H261" s="7" t="str" cm="1">
        <f t="array" ref="H261">INDEX('municipalities per province'!E:E,MATCH(municipalities!$A261,'municipalities per province'!$B:$B,0),0)</f>
        <v>PV28</v>
      </c>
      <c r="I261" s="7" t="str" cm="1">
        <f t="array" ref="I261">INDEX('municipalities per province'!G:G,MATCH(municipalities!$A261,'municipalities per province'!$B:$B,0),0)</f>
        <v>Rotterdam/DenHaag</v>
      </c>
      <c r="J261" s="7" t="str" cm="1">
        <f t="array" ref="J261">INDEX('municipalities per province'!H:H,MATCH(municipalities!$A261,'municipalities per province'!$B:$B,0),0)</f>
        <v>ES23</v>
      </c>
      <c r="K261" s="7" cm="1">
        <f t="array" ref="K261">INDEX(coordinates!C:C,MATCH(municipalities!$A261,coordinates!$A:$A,0),0)</f>
        <v>4.5061216444922803</v>
      </c>
      <c r="L261" s="7" cm="1">
        <f t="array" ref="L261">INDEX(coordinates!D:D,MATCH(municipalities!$A261,coordinates!$A:$A,0),0)</f>
        <v>52.004014937720747</v>
      </c>
      <c r="M261" s="8">
        <v>1</v>
      </c>
      <c r="N261" s="9">
        <v>64754</v>
      </c>
      <c r="O261" s="9">
        <v>31900</v>
      </c>
      <c r="P261" s="9">
        <v>32854</v>
      </c>
      <c r="Q261" s="9">
        <v>3</v>
      </c>
      <c r="R261" s="10">
        <v>1341</v>
      </c>
      <c r="S261" s="11">
        <v>74</v>
      </c>
      <c r="T261" s="11">
        <v>26</v>
      </c>
      <c r="U261" s="12">
        <f t="shared" si="32"/>
        <v>40.9</v>
      </c>
      <c r="V261" s="12">
        <f t="shared" si="33"/>
        <v>3.5</v>
      </c>
      <c r="W261" s="12">
        <f t="shared" si="34"/>
        <v>5.0999999999999996</v>
      </c>
      <c r="X261" s="12">
        <f t="shared" si="35"/>
        <v>6.8</v>
      </c>
      <c r="Y261" s="12">
        <f t="shared" si="36"/>
        <v>224.6</v>
      </c>
      <c r="Z261" s="12" cm="1">
        <f t="array" ref="Z261">INDEX(municipality_wind_potential!$X:$X,MATCH(municipalities!$F261,municipality_wind_potential!$E:$E,0),0)</f>
        <v>6</v>
      </c>
      <c r="AA261" s="12">
        <f t="shared" si="37"/>
        <v>33.599999999999994</v>
      </c>
      <c r="AB261" s="12" cm="1">
        <f t="array" ref="AB261">INDEX(municipality_wind_potential!$Y:$Y,MATCH(municipalities!$F261,municipality_wind_potential!$E:$E,0),0) / 3.6</f>
        <v>106.51111111111111</v>
      </c>
      <c r="AC261" s="12">
        <f t="shared" si="38"/>
        <v>98.231341492680585</v>
      </c>
      <c r="AD261" s="12" cm="1">
        <f t="array" ref="AD261">INDEX(municipality_pv_potential!$G:$G,MATCH(municipalities!$A261,municipality_pv_potential!$E:$E,0),0)/3.6*$AH$4</f>
        <v>90.962222222222223</v>
      </c>
      <c r="AE261" s="12">
        <f t="shared" si="39"/>
        <v>61.492080633549321</v>
      </c>
      <c r="AF261" s="12" cm="1">
        <f t="array" ref="AF261">INDEX(municipality_pv_potential!$H:$H,MATCH(municipalities!$A261,municipality_pv_potential!$E:$E,0),0)/3.6</f>
        <v>56.94166666666667</v>
      </c>
      <c r="AG261" s="12"/>
      <c r="AJ261">
        <v>40.9</v>
      </c>
      <c r="AK261">
        <v>3.5</v>
      </c>
      <c r="AL261">
        <v>5.0999999999999996</v>
      </c>
      <c r="AM261">
        <v>6.8</v>
      </c>
      <c r="AN261">
        <v>224.6</v>
      </c>
    </row>
    <row r="262" spans="1:40" x14ac:dyDescent="0.25">
      <c r="A262" s="5" t="s">
        <v>800</v>
      </c>
      <c r="B262" s="6" t="s">
        <v>801</v>
      </c>
      <c r="C262" s="7" t="s">
        <v>802</v>
      </c>
      <c r="D262" s="7" t="s">
        <v>802</v>
      </c>
      <c r="E262" s="7" t="s">
        <v>22</v>
      </c>
      <c r="F262" s="7" t="s">
        <v>800</v>
      </c>
      <c r="G262" s="7" t="str" cm="1">
        <f t="array" ref="G262">INDEX('municipalities per province'!F:F,MATCH(municipalities!A262,'municipalities per province'!B:B,0),0)</f>
        <v>Limburg</v>
      </c>
      <c r="H262" s="7" t="str" cm="1">
        <f t="array" ref="H262">INDEX('municipalities per province'!E:E,MATCH(municipalities!$A262,'municipalities per province'!$B:$B,0),0)</f>
        <v>PV31</v>
      </c>
      <c r="I262" s="7" t="str" cm="1">
        <f t="array" ref="I262">INDEX('municipalities per province'!G:G,MATCH(municipalities!$A262,'municipalities per province'!$B:$B,0),0)</f>
        <v>Noord-enMidden-Limburg</v>
      </c>
      <c r="J262" s="7" t="str" cm="1">
        <f t="array" ref="J262">INDEX('municipalities per province'!H:H,MATCH(municipalities!$A262,'municipalities per province'!$B:$B,0),0)</f>
        <v>ES29</v>
      </c>
      <c r="K262" s="7" cm="1">
        <f t="array" ref="K262">INDEX(coordinates!C:C,MATCH(municipalities!$A262,coordinates!$A:$A,0),0)</f>
        <v>5.8848752185502562</v>
      </c>
      <c r="L262" s="7" cm="1">
        <f t="array" ref="L262">INDEX(coordinates!D:D,MATCH(municipalities!$A262,coordinates!$A:$A,0),0)</f>
        <v>51.239454735653013</v>
      </c>
      <c r="M262" s="8">
        <v>1</v>
      </c>
      <c r="N262" s="9">
        <v>36141</v>
      </c>
      <c r="O262" s="9">
        <v>18305</v>
      </c>
      <c r="P262" s="9">
        <v>17836</v>
      </c>
      <c r="Q262" s="9">
        <v>5</v>
      </c>
      <c r="R262" s="10">
        <v>396</v>
      </c>
      <c r="S262" s="11">
        <v>77</v>
      </c>
      <c r="T262" s="11">
        <v>23</v>
      </c>
      <c r="U262" s="12">
        <f t="shared" si="32"/>
        <v>35</v>
      </c>
      <c r="V262" s="12">
        <f t="shared" si="33"/>
        <v>3.7</v>
      </c>
      <c r="W262" s="12">
        <f t="shared" si="34"/>
        <v>5.8</v>
      </c>
      <c r="X262" s="12">
        <f t="shared" si="35"/>
        <v>7.6</v>
      </c>
      <c r="Y262" s="12">
        <f t="shared" si="36"/>
        <v>191</v>
      </c>
      <c r="Z262" s="12" cm="1">
        <f t="array" ref="Z262">INDEX(municipality_wind_potential!$X:$X,MATCH(municipalities!$F262,municipality_wind_potential!$E:$E,0),0)</f>
        <v>77</v>
      </c>
      <c r="AA262" s="12">
        <f t="shared" si="37"/>
        <v>431.2</v>
      </c>
      <c r="AB262" s="12" cm="1">
        <f t="array" ref="AB262">INDEX(municipality_wind_potential!$Y:$Y,MATCH(municipalities!$F262,municipality_wind_potential!$E:$E,0),0) / 3.6</f>
        <v>1135.2611111111112</v>
      </c>
      <c r="AC262" s="12">
        <f t="shared" si="38"/>
        <v>122.60799136069117</v>
      </c>
      <c r="AD262" s="12" cm="1">
        <f t="array" ref="AD262">INDEX(municipality_pv_potential!$G:$G,MATCH(municipalities!$A262,municipality_pv_potential!$E:$E,0),0)/3.6*$AH$4</f>
        <v>113.53500000000003</v>
      </c>
      <c r="AE262" s="12">
        <f t="shared" si="39"/>
        <v>483.13534917206624</v>
      </c>
      <c r="AF262" s="12" cm="1">
        <f t="array" ref="AF262">INDEX(municipality_pv_potential!$H:$H,MATCH(municipalities!$A262,municipality_pv_potential!$E:$E,0),0)/3.6</f>
        <v>447.38333333333333</v>
      </c>
      <c r="AG262" s="12"/>
      <c r="AJ262">
        <v>35</v>
      </c>
      <c r="AK262">
        <v>3.7</v>
      </c>
      <c r="AL262">
        <v>5.8</v>
      </c>
      <c r="AM262">
        <v>7.6</v>
      </c>
      <c r="AN262">
        <v>191</v>
      </c>
    </row>
    <row r="263" spans="1:40" x14ac:dyDescent="0.25">
      <c r="A263" s="5" t="s">
        <v>803</v>
      </c>
      <c r="B263" s="6" t="s">
        <v>804</v>
      </c>
      <c r="C263" s="7" t="s">
        <v>805</v>
      </c>
      <c r="D263" s="7" t="s">
        <v>805</v>
      </c>
      <c r="E263" s="7" t="s">
        <v>22</v>
      </c>
      <c r="F263" s="7" t="s">
        <v>803</v>
      </c>
      <c r="G263" s="7" t="str" cm="1">
        <f t="array" ref="G263">INDEX('municipalities per province'!F:F,MATCH(municipalities!A263,'municipalities per province'!B:B,0),0)</f>
        <v>Limburg</v>
      </c>
      <c r="H263" s="7" t="str" cm="1">
        <f t="array" ref="H263">INDEX('municipalities per province'!E:E,MATCH(municipalities!$A263,'municipalities per province'!$B:$B,0),0)</f>
        <v>PV31</v>
      </c>
      <c r="I263" s="7" t="str" cm="1">
        <f t="array" ref="I263">INDEX('municipalities per province'!G:G,MATCH(municipalities!$A263,'municipalities per province'!$B:$B,0),0)</f>
        <v>Noord-enMidden-Limburg</v>
      </c>
      <c r="J263" s="7" t="str" cm="1">
        <f t="array" ref="J263">INDEX('municipalities per province'!H:H,MATCH(municipalities!$A263,'municipalities per province'!$B:$B,0),0)</f>
        <v>ES29</v>
      </c>
      <c r="K263" s="7" cm="1">
        <f t="array" ref="K263">INDEX(coordinates!C:C,MATCH(municipalities!$A263,coordinates!$A:$A,0),0)</f>
        <v>5.8824045748670279</v>
      </c>
      <c r="L263" s="7" cm="1">
        <f t="array" ref="L263">INDEX(coordinates!D:D,MATCH(municipalities!$A263,coordinates!$A:$A,0),0)</f>
        <v>51.161582361070238</v>
      </c>
      <c r="M263" s="8">
        <v>1</v>
      </c>
      <c r="N263" s="9">
        <v>24305</v>
      </c>
      <c r="O263" s="9">
        <v>12208</v>
      </c>
      <c r="P263" s="9">
        <v>12097</v>
      </c>
      <c r="Q263" s="9">
        <v>5</v>
      </c>
      <c r="R263" s="10">
        <v>450</v>
      </c>
      <c r="S263" s="11">
        <v>74</v>
      </c>
      <c r="T263" s="11">
        <v>26</v>
      </c>
      <c r="U263" s="12">
        <f t="shared" si="32"/>
        <v>34.5</v>
      </c>
      <c r="V263" s="12">
        <f t="shared" si="33"/>
        <v>4.4000000000000004</v>
      </c>
      <c r="W263" s="12">
        <f t="shared" si="34"/>
        <v>6.8</v>
      </c>
      <c r="X263" s="12">
        <f t="shared" si="35"/>
        <v>8.9</v>
      </c>
      <c r="Y263" s="12">
        <f t="shared" si="36"/>
        <v>175.9</v>
      </c>
      <c r="Z263" s="12" cm="1">
        <f t="array" ref="Z263">INDEX(municipality_wind_potential!$X:$X,MATCH(municipalities!$F263,municipality_wind_potential!$E:$E,0),0)</f>
        <v>23</v>
      </c>
      <c r="AA263" s="12">
        <f t="shared" si="37"/>
        <v>128.79999999999998</v>
      </c>
      <c r="AB263" s="12" cm="1">
        <f t="array" ref="AB263">INDEX(municipality_wind_potential!$Y:$Y,MATCH(municipalities!$F263,municipality_wind_potential!$E:$E,0),0) / 3.6</f>
        <v>333.9</v>
      </c>
      <c r="AC263" s="12">
        <f t="shared" si="38"/>
        <v>49.977201823854095</v>
      </c>
      <c r="AD263" s="12" cm="1">
        <f t="array" ref="AD263">INDEX(municipality_pv_potential!$G:$G,MATCH(municipalities!$A263,municipality_pv_potential!$E:$E,0),0)/3.6*$AH$4</f>
        <v>46.278888888888893</v>
      </c>
      <c r="AE263" s="12">
        <f t="shared" si="39"/>
        <v>92.560595152387805</v>
      </c>
      <c r="AF263" s="12" cm="1">
        <f t="array" ref="AF263">INDEX(municipality_pv_potential!$H:$H,MATCH(municipalities!$A263,municipality_pv_potential!$E:$E,0),0)/3.6</f>
        <v>85.711111111111109</v>
      </c>
      <c r="AG263" s="12"/>
      <c r="AJ263">
        <v>34.5</v>
      </c>
      <c r="AK263">
        <v>4.4000000000000004</v>
      </c>
      <c r="AL263">
        <v>6.8</v>
      </c>
      <c r="AM263">
        <v>8.9</v>
      </c>
      <c r="AN263">
        <v>175.9</v>
      </c>
    </row>
    <row r="264" spans="1:40" x14ac:dyDescent="0.25">
      <c r="A264" s="5" t="s">
        <v>806</v>
      </c>
      <c r="B264" s="6" t="s">
        <v>807</v>
      </c>
      <c r="C264" s="7" t="s">
        <v>808</v>
      </c>
      <c r="D264" s="7" t="s">
        <v>808</v>
      </c>
      <c r="E264" s="7" t="s">
        <v>22</v>
      </c>
      <c r="F264" s="7" t="s">
        <v>806</v>
      </c>
      <c r="G264" s="7" t="str" cm="1">
        <f t="array" ref="G264">INDEX('municipalities per province'!F:F,MATCH(municipalities!A264,'municipalities per province'!B:B,0),0)</f>
        <v>Noord-Brabant</v>
      </c>
      <c r="H264" s="7" t="str" cm="1">
        <f t="array" ref="H264">INDEX('municipalities per province'!E:E,MATCH(municipalities!$A264,'municipalities per province'!$B:$B,0),0)</f>
        <v>PV30</v>
      </c>
      <c r="I264" s="7" t="str" cm="1">
        <f t="array" ref="I264">INDEX('municipalities per province'!G:G,MATCH(municipalities!$A264,'municipalities per province'!$B:$B,0),0)</f>
        <v>MetropoolregioEindhoven</v>
      </c>
      <c r="J264" s="7" t="str" cm="1">
        <f t="array" ref="J264">INDEX('municipalities per province'!H:H,MATCH(municipalities!$A264,'municipalities per province'!$B:$B,0),0)</f>
        <v>ES26</v>
      </c>
      <c r="K264" s="7" cm="1">
        <f t="array" ref="K264">INDEX(coordinates!C:C,MATCH(municipalities!$A264,coordinates!$A:$A,0),0)</f>
        <v>5.7542792991763578</v>
      </c>
      <c r="L264" s="7" cm="1">
        <f t="array" ref="L264">INDEX(coordinates!D:D,MATCH(municipalities!$A264,coordinates!$A:$A,0),0)</f>
        <v>51.540754830962989</v>
      </c>
      <c r="M264" s="8">
        <v>1</v>
      </c>
      <c r="N264" s="9">
        <v>31383</v>
      </c>
      <c r="O264" s="9">
        <v>15907</v>
      </c>
      <c r="P264" s="9">
        <v>15476</v>
      </c>
      <c r="Q264" s="9">
        <v>4</v>
      </c>
      <c r="R264" s="10">
        <v>790</v>
      </c>
      <c r="S264" s="11">
        <v>69</v>
      </c>
      <c r="T264" s="11">
        <v>31</v>
      </c>
      <c r="U264" s="12">
        <f t="shared" si="32"/>
        <v>34</v>
      </c>
      <c r="V264" s="12">
        <f t="shared" si="33"/>
        <v>4.4000000000000004</v>
      </c>
      <c r="W264" s="12">
        <f t="shared" si="34"/>
        <v>7.4</v>
      </c>
      <c r="X264" s="12">
        <f t="shared" si="35"/>
        <v>10.1</v>
      </c>
      <c r="Y264" s="12">
        <f t="shared" si="36"/>
        <v>159.6</v>
      </c>
      <c r="Z264" s="12" cm="1">
        <f t="array" ref="Z264">INDEX(municipality_wind_potential!$X:$X,MATCH(municipalities!$F264,municipality_wind_potential!$E:$E,0),0)</f>
        <v>36</v>
      </c>
      <c r="AA264" s="12">
        <f t="shared" si="37"/>
        <v>201.6</v>
      </c>
      <c r="AB264" s="12" cm="1">
        <f t="array" ref="AB264">INDEX(municipality_wind_potential!$Y:$Y,MATCH(municipalities!$F264,municipality_wind_potential!$E:$E,0),0) / 3.6</f>
        <v>526.81944444444446</v>
      </c>
      <c r="AC264" s="12">
        <f t="shared" si="38"/>
        <v>109.7384209263259</v>
      </c>
      <c r="AD264" s="12" cm="1">
        <f t="array" ref="AD264">INDEX(municipality_pv_potential!$G:$G,MATCH(municipalities!$A264,municipality_pv_potential!$E:$E,0),0)/3.6*$AH$4</f>
        <v>101.61777777777777</v>
      </c>
      <c r="AE264" s="12">
        <f t="shared" si="39"/>
        <v>333.11435085193187</v>
      </c>
      <c r="AF264" s="12" cm="1">
        <f t="array" ref="AF264">INDEX(municipality_pv_potential!$H:$H,MATCH(municipalities!$A264,municipality_pv_potential!$E:$E,0),0)/3.6</f>
        <v>308.4638888888889</v>
      </c>
      <c r="AG264" s="12"/>
      <c r="AJ264">
        <v>34</v>
      </c>
      <c r="AK264">
        <v>4.4000000000000004</v>
      </c>
      <c r="AL264">
        <v>7.4</v>
      </c>
      <c r="AM264">
        <v>10.1</v>
      </c>
      <c r="AN264">
        <v>159.6</v>
      </c>
    </row>
    <row r="265" spans="1:40" x14ac:dyDescent="0.25">
      <c r="A265" s="5" t="s">
        <v>809</v>
      </c>
      <c r="B265" s="6" t="s">
        <v>810</v>
      </c>
      <c r="C265" s="7" t="s">
        <v>811</v>
      </c>
      <c r="D265" s="7" t="s">
        <v>811</v>
      </c>
      <c r="E265" s="7" t="s">
        <v>22</v>
      </c>
      <c r="F265" s="7" t="s">
        <v>809</v>
      </c>
      <c r="G265" s="7" t="str" cm="1">
        <f t="array" ref="G265">INDEX('municipalities per province'!F:F,MATCH(municipalities!A265,'municipalities per province'!B:B,0),0)</f>
        <v>Noord-Brabant</v>
      </c>
      <c r="H265" s="7" t="str" cm="1">
        <f t="array" ref="H265">INDEX('municipalities per province'!E:E,MATCH(municipalities!$A265,'municipalities per province'!$B:$B,0),0)</f>
        <v>PV30</v>
      </c>
      <c r="I265" s="7" t="str" cm="1">
        <f t="array" ref="I265">INDEX('municipalities per province'!G:G,MATCH(municipalities!$A265,'municipalities per province'!$B:$B,0),0)</f>
        <v>West-Brabant</v>
      </c>
      <c r="J265" s="7" t="str" cm="1">
        <f t="array" ref="J265">INDEX('municipalities per province'!H:H,MATCH(municipalities!$A265,'municipalities per province'!$B:$B,0),0)</f>
        <v>ES28</v>
      </c>
      <c r="K265" s="7" cm="1">
        <f t="array" ref="K265">INDEX(coordinates!C:C,MATCH(municipalities!$A265,coordinates!$A:$A,0),0)</f>
        <v>4.5231177669168536</v>
      </c>
      <c r="L265" s="7" cm="1">
        <f t="array" ref="L265">INDEX(coordinates!D:D,MATCH(municipalities!$A265,coordinates!$A:$A,0),0)</f>
        <v>51.590536789700508</v>
      </c>
      <c r="M265" s="8">
        <v>1</v>
      </c>
      <c r="N265" s="9">
        <v>31041</v>
      </c>
      <c r="O265" s="9">
        <v>15445</v>
      </c>
      <c r="P265" s="9">
        <v>15596</v>
      </c>
      <c r="Q265" s="9">
        <v>4</v>
      </c>
      <c r="R265" s="10">
        <v>763</v>
      </c>
      <c r="S265" s="11">
        <v>65</v>
      </c>
      <c r="T265" s="11">
        <v>35</v>
      </c>
      <c r="U265" s="12">
        <f t="shared" si="32"/>
        <v>33.9</v>
      </c>
      <c r="V265" s="12">
        <f t="shared" si="33"/>
        <v>5</v>
      </c>
      <c r="W265" s="12">
        <f t="shared" si="34"/>
        <v>7.4</v>
      </c>
      <c r="X265" s="12">
        <f t="shared" si="35"/>
        <v>9.8000000000000007</v>
      </c>
      <c r="Y265" s="12">
        <f t="shared" si="36"/>
        <v>141.80000000000001</v>
      </c>
      <c r="Z265" s="12" cm="1">
        <f t="array" ref="Z265">INDEX(municipality_wind_potential!$X:$X,MATCH(municipalities!$F265,municipality_wind_potential!$E:$E,0),0)</f>
        <v>28</v>
      </c>
      <c r="AA265" s="12">
        <f t="shared" si="37"/>
        <v>156.79999999999998</v>
      </c>
      <c r="AB265" s="12" cm="1">
        <f t="array" ref="AB265">INDEX(municipality_wind_potential!$Y:$Y,MATCH(municipalities!$F265,municipality_wind_potential!$E:$E,0),0) / 3.6</f>
        <v>451.58333333333331</v>
      </c>
      <c r="AC265" s="12">
        <f t="shared" si="38"/>
        <v>78.194144468442516</v>
      </c>
      <c r="AD265" s="12" cm="1">
        <f t="array" ref="AD265">INDEX(municipality_pv_potential!$G:$G,MATCH(municipalities!$A265,municipality_pv_potential!$E:$E,0),0)/3.6*$AH$4</f>
        <v>72.407777777777767</v>
      </c>
      <c r="AE265" s="12">
        <f t="shared" si="39"/>
        <v>245.71634269258462</v>
      </c>
      <c r="AF265" s="12" cm="1">
        <f t="array" ref="AF265">INDEX(municipality_pv_potential!$H:$H,MATCH(municipalities!$A265,municipality_pv_potential!$E:$E,0),0)/3.6</f>
        <v>227.53333333333333</v>
      </c>
      <c r="AG265" s="12"/>
      <c r="AJ265">
        <v>33.9</v>
      </c>
      <c r="AK265">
        <v>5</v>
      </c>
      <c r="AL265">
        <v>7.4</v>
      </c>
      <c r="AM265">
        <v>9.8000000000000007</v>
      </c>
      <c r="AN265">
        <v>141.80000000000001</v>
      </c>
    </row>
    <row r="266" spans="1:40" x14ac:dyDescent="0.25">
      <c r="A266" s="5" t="s">
        <v>812</v>
      </c>
      <c r="B266" s="6" t="s">
        <v>813</v>
      </c>
      <c r="C266" s="7" t="s">
        <v>814</v>
      </c>
      <c r="D266" s="7" t="s">
        <v>814</v>
      </c>
      <c r="E266" s="7" t="s">
        <v>22</v>
      </c>
      <c r="F266" s="7" t="s">
        <v>812</v>
      </c>
      <c r="G266" s="7" t="str" cm="1">
        <f t="array" ref="G266">INDEX('municipalities per province'!F:F,MATCH(municipalities!A266,'municipalities per province'!B:B,0),0)</f>
        <v>Noord-Brabant</v>
      </c>
      <c r="H266" s="7" t="str" cm="1">
        <f t="array" ref="H266">INDEX('municipalities per province'!E:E,MATCH(municipalities!$A266,'municipalities per province'!$B:$B,0),0)</f>
        <v>PV30</v>
      </c>
      <c r="I266" s="7" t="str" cm="1">
        <f t="array" ref="I266">INDEX('municipalities per province'!G:G,MATCH(municipalities!$A266,'municipalities per province'!$B:$B,0),0)</f>
        <v>MetropoolregioEindhoven</v>
      </c>
      <c r="J266" s="7" t="str" cm="1">
        <f t="array" ref="J266">INDEX('municipalities per province'!H:H,MATCH(municipalities!$A266,'municipalities per province'!$B:$B,0),0)</f>
        <v>ES26</v>
      </c>
      <c r="K266" s="7" cm="1">
        <f t="array" ref="K266">INDEX(coordinates!C:C,MATCH(municipalities!$A266,coordinates!$A:$A,0),0)</f>
        <v>5.5672633551468236</v>
      </c>
      <c r="L266" s="7" cm="1">
        <f t="array" ref="L266">INDEX(coordinates!D:D,MATCH(municipalities!$A266,coordinates!$A:$A,0),0)</f>
        <v>51.360874405584269</v>
      </c>
      <c r="M266" s="8">
        <v>1</v>
      </c>
      <c r="N266" s="9">
        <v>16627</v>
      </c>
      <c r="O266" s="9">
        <v>8346</v>
      </c>
      <c r="P266" s="9">
        <v>8281</v>
      </c>
      <c r="Q266" s="9">
        <v>4</v>
      </c>
      <c r="R266" s="10">
        <v>587</v>
      </c>
      <c r="S266" s="11">
        <v>77</v>
      </c>
      <c r="T266" s="11">
        <v>23</v>
      </c>
      <c r="U266" s="12">
        <f t="shared" si="32"/>
        <v>39.200000000000003</v>
      </c>
      <c r="V266" s="12">
        <f t="shared" si="33"/>
        <v>3.1</v>
      </c>
      <c r="W266" s="12">
        <f t="shared" si="34"/>
        <v>5.0999999999999996</v>
      </c>
      <c r="X266" s="12">
        <f t="shared" si="35"/>
        <v>6.9</v>
      </c>
      <c r="Y266" s="12">
        <f t="shared" si="36"/>
        <v>281.8</v>
      </c>
      <c r="Z266" s="12" cm="1">
        <f t="array" ref="Z266">INDEX(municipality_wind_potential!$X:$X,MATCH(municipalities!$F266,municipality_wind_potential!$E:$E,0),0)</f>
        <v>91</v>
      </c>
      <c r="AA266" s="12">
        <f t="shared" si="37"/>
        <v>509.59999999999997</v>
      </c>
      <c r="AB266" s="12" cm="1">
        <f t="array" ref="AB266">INDEX(municipality_wind_potential!$Y:$Y,MATCH(municipalities!$F266,municipality_wind_potential!$E:$E,0),0) / 3.6</f>
        <v>1350.4388888888889</v>
      </c>
      <c r="AC266" s="12">
        <f t="shared" si="38"/>
        <v>48.168346532277418</v>
      </c>
      <c r="AD266" s="12" cm="1">
        <f t="array" ref="AD266">INDEX(municipality_pv_potential!$G:$G,MATCH(municipalities!$A266,municipality_pv_potential!$E:$E,0),0)/3.6*$AH$4</f>
        <v>44.603888888888889</v>
      </c>
      <c r="AE266" s="12">
        <f t="shared" si="39"/>
        <v>177.27981761459085</v>
      </c>
      <c r="AF266" s="12" cm="1">
        <f t="array" ref="AF266">INDEX(municipality_pv_potential!$H:$H,MATCH(municipalities!$A266,municipality_pv_potential!$E:$E,0),0)/3.6</f>
        <v>164.16111111111113</v>
      </c>
      <c r="AG266" s="12"/>
      <c r="AJ266">
        <v>39.200000000000003</v>
      </c>
      <c r="AK266">
        <v>3.1</v>
      </c>
      <c r="AL266">
        <v>5.0999999999999996</v>
      </c>
      <c r="AM266">
        <v>6.9</v>
      </c>
      <c r="AN266">
        <v>281.8</v>
      </c>
    </row>
    <row r="267" spans="1:40" x14ac:dyDescent="0.25">
      <c r="A267" s="5" t="s">
        <v>815</v>
      </c>
      <c r="B267" s="6" t="s">
        <v>816</v>
      </c>
      <c r="C267" s="7" t="s">
        <v>817</v>
      </c>
      <c r="D267" s="7" t="s">
        <v>817</v>
      </c>
      <c r="E267" s="7" t="s">
        <v>22</v>
      </c>
      <c r="F267" s="7" t="s">
        <v>815</v>
      </c>
      <c r="G267" s="7" t="str" cm="1">
        <f t="array" ref="G267">INDEX('municipalities per province'!F:F,MATCH(municipalities!A267,'municipalities per province'!B:B,0),0)</f>
        <v>Noord-Brabant</v>
      </c>
      <c r="H267" s="7" t="str" cm="1">
        <f t="array" ref="H267">INDEX('municipalities per province'!E:E,MATCH(municipalities!$A267,'municipalities per province'!$B:$B,0),0)</f>
        <v>PV30</v>
      </c>
      <c r="I267" s="7" t="str" cm="1">
        <f t="array" ref="I267">INDEX('municipalities per province'!G:G,MATCH(municipalities!$A267,'municipalities per province'!$B:$B,0),0)</f>
        <v>MetropoolregioEindhoven</v>
      </c>
      <c r="J267" s="7" t="str" cm="1">
        <f t="array" ref="J267">INDEX('municipalities per province'!H:H,MATCH(municipalities!$A267,'municipalities per province'!$B:$B,0),0)</f>
        <v>ES26</v>
      </c>
      <c r="K267" s="7" cm="1">
        <f t="array" ref="K267">INDEX(coordinates!C:C,MATCH(municipalities!$A267,coordinates!$A:$A,0),0)</f>
        <v>5.6117670896676843</v>
      </c>
      <c r="L267" s="7" cm="1">
        <f t="array" ref="L267">INDEX(coordinates!D:D,MATCH(municipalities!$A267,coordinates!$A:$A,0),0)</f>
        <v>51.530923034803997</v>
      </c>
      <c r="M267" s="8">
        <v>1</v>
      </c>
      <c r="N267" s="9">
        <v>23260</v>
      </c>
      <c r="O267" s="9">
        <v>11717</v>
      </c>
      <c r="P267" s="9">
        <v>11543</v>
      </c>
      <c r="Q267" s="9">
        <v>4</v>
      </c>
      <c r="R267" s="10">
        <v>654</v>
      </c>
      <c r="S267" s="11">
        <v>69</v>
      </c>
      <c r="T267" s="11">
        <v>31</v>
      </c>
      <c r="U267" s="12">
        <f t="shared" si="32"/>
        <v>34.9</v>
      </c>
      <c r="V267" s="12">
        <f t="shared" si="33"/>
        <v>3.9</v>
      </c>
      <c r="W267" s="12">
        <f t="shared" si="34"/>
        <v>6.6</v>
      </c>
      <c r="X267" s="12">
        <f t="shared" si="35"/>
        <v>9.1999999999999993</v>
      </c>
      <c r="Y267" s="12">
        <f t="shared" si="36"/>
        <v>182.2</v>
      </c>
      <c r="Z267" s="12" cm="1">
        <f t="array" ref="Z267">INDEX(municipality_wind_potential!$X:$X,MATCH(municipalities!$F267,municipality_wind_potential!$E:$E,0),0)</f>
        <v>22</v>
      </c>
      <c r="AA267" s="12">
        <f t="shared" si="37"/>
        <v>123.19999999999999</v>
      </c>
      <c r="AB267" s="12" cm="1">
        <f t="array" ref="AB267">INDEX(municipality_wind_potential!$Y:$Y,MATCH(municipalities!$F267,municipality_wind_potential!$E:$E,0),0) / 3.6</f>
        <v>319.06111111111107</v>
      </c>
      <c r="AC267" s="12">
        <f t="shared" si="38"/>
        <v>62.960163186945053</v>
      </c>
      <c r="AD267" s="12" cm="1">
        <f t="array" ref="AD267">INDEX(municipality_pv_potential!$G:$G,MATCH(municipalities!$A267,municipality_pv_potential!$E:$E,0),0)/3.6*$AH$4</f>
        <v>58.301111111111119</v>
      </c>
      <c r="AE267" s="12">
        <f t="shared" si="39"/>
        <v>155.32757379409645</v>
      </c>
      <c r="AF267" s="12" cm="1">
        <f t="array" ref="AF267">INDEX(municipality_pv_potential!$H:$H,MATCH(municipalities!$A267,municipality_pv_potential!$E:$E,0),0)/3.6</f>
        <v>143.83333333333331</v>
      </c>
      <c r="AG267" s="12"/>
      <c r="AJ267">
        <v>34.9</v>
      </c>
      <c r="AK267">
        <v>3.9</v>
      </c>
      <c r="AL267">
        <v>6.6</v>
      </c>
      <c r="AM267">
        <v>9.1999999999999993</v>
      </c>
      <c r="AN267">
        <v>182.2</v>
      </c>
    </row>
    <row r="268" spans="1:40" x14ac:dyDescent="0.25">
      <c r="A268" s="5" t="s">
        <v>818</v>
      </c>
      <c r="B268" s="6" t="s">
        <v>819</v>
      </c>
      <c r="C268" s="7" t="s">
        <v>820</v>
      </c>
      <c r="D268" s="7" t="s">
        <v>820</v>
      </c>
      <c r="E268" s="7" t="s">
        <v>22</v>
      </c>
      <c r="F268" s="7" t="s">
        <v>818</v>
      </c>
      <c r="G268" s="7" t="str" cm="1">
        <f t="array" ref="G268">INDEX('municipalities per province'!F:F,MATCH(municipalities!A268,'municipalities per province'!B:B,0),0)</f>
        <v>Noord-Brabant</v>
      </c>
      <c r="H268" s="7" t="str" cm="1">
        <f t="array" ref="H268">INDEX('municipalities per province'!E:E,MATCH(municipalities!$A268,'municipalities per province'!$B:$B,0),0)</f>
        <v>PV30</v>
      </c>
      <c r="I268" s="7" t="str" cm="1">
        <f t="array" ref="I268">INDEX('municipalities per province'!G:G,MATCH(municipalities!$A268,'municipalities per province'!$B:$B,0),0)</f>
        <v>MetropoolregioEindhoven</v>
      </c>
      <c r="J268" s="7" t="str" cm="1">
        <f t="array" ref="J268">INDEX('municipalities per province'!H:H,MATCH(municipalities!$A268,'municipalities per province'!$B:$B,0),0)</f>
        <v>ES26</v>
      </c>
      <c r="K268" s="7" cm="1">
        <f t="array" ref="K268">INDEX(coordinates!C:C,MATCH(municipalities!$A268,coordinates!$A:$A,0),0)</f>
        <v>5.1477404324668097</v>
      </c>
      <c r="L268" s="7" cm="1">
        <f t="array" ref="L268">INDEX(coordinates!D:D,MATCH(municipalities!$A268,coordinates!$A:$A,0),0)</f>
        <v>51.378273140416887</v>
      </c>
      <c r="M268" s="8">
        <v>1</v>
      </c>
      <c r="N268" s="9">
        <v>13542</v>
      </c>
      <c r="O268" s="9">
        <v>6939</v>
      </c>
      <c r="P268" s="9">
        <v>6603</v>
      </c>
      <c r="Q268" s="9">
        <v>4</v>
      </c>
      <c r="R268" s="10">
        <v>591</v>
      </c>
      <c r="S268" s="11">
        <v>77</v>
      </c>
      <c r="T268" s="11">
        <v>23</v>
      </c>
      <c r="U268" s="12">
        <f t="shared" si="32"/>
        <v>35.4</v>
      </c>
      <c r="V268" s="12">
        <f t="shared" si="33"/>
        <v>3</v>
      </c>
      <c r="W268" s="12">
        <f t="shared" si="34"/>
        <v>4.5999999999999996</v>
      </c>
      <c r="X268" s="12">
        <f t="shared" si="35"/>
        <v>6.2</v>
      </c>
      <c r="Y268" s="12">
        <f t="shared" si="36"/>
        <v>272.39999999999998</v>
      </c>
      <c r="Z268" s="12" cm="1">
        <f t="array" ref="Z268">INDEX(municipality_wind_potential!$X:$X,MATCH(municipalities!$F268,municipality_wind_potential!$E:$E,0),0)</f>
        <v>63</v>
      </c>
      <c r="AA268" s="12">
        <f t="shared" si="37"/>
        <v>352.79999999999995</v>
      </c>
      <c r="AB268" s="12" cm="1">
        <f t="array" ref="AB268">INDEX(municipality_wind_potential!$Y:$Y,MATCH(municipalities!$F268,municipality_wind_potential!$E:$E,0),0) / 3.6</f>
        <v>934.91944444444448</v>
      </c>
      <c r="AC268" s="12">
        <f t="shared" si="38"/>
        <v>55.528557715382782</v>
      </c>
      <c r="AD268" s="12" cm="1">
        <f t="array" ref="AD268">INDEX(municipality_pv_potential!$G:$G,MATCH(municipalities!$A268,municipality_pv_potential!$E:$E,0),0)/3.6*$AH$4</f>
        <v>51.419444444444451</v>
      </c>
      <c r="AE268" s="12">
        <f t="shared" si="39"/>
        <v>209.24526037916965</v>
      </c>
      <c r="AF268" s="12" cm="1">
        <f t="array" ref="AF268">INDEX(municipality_pv_potential!$H:$H,MATCH(municipalities!$A268,municipality_pv_potential!$E:$E,0),0)/3.6</f>
        <v>193.76111111111109</v>
      </c>
      <c r="AG268" s="12"/>
      <c r="AJ268">
        <v>35.4</v>
      </c>
      <c r="AK268">
        <v>3</v>
      </c>
      <c r="AL268">
        <v>4.5999999999999996</v>
      </c>
      <c r="AM268">
        <v>6.2</v>
      </c>
      <c r="AN268">
        <v>272.39999999999998</v>
      </c>
    </row>
    <row r="269" spans="1:40" x14ac:dyDescent="0.25">
      <c r="A269" s="5" t="s">
        <v>821</v>
      </c>
      <c r="B269" s="6" t="s">
        <v>822</v>
      </c>
      <c r="C269" s="7" t="s">
        <v>823</v>
      </c>
      <c r="D269" s="7" t="s">
        <v>823</v>
      </c>
      <c r="E269" s="7" t="s">
        <v>22</v>
      </c>
      <c r="F269" s="7" t="s">
        <v>821</v>
      </c>
      <c r="G269" s="7" t="str" cm="1">
        <f t="array" ref="G269">INDEX('municipalities per province'!F:F,MATCH(municipalities!A269,'municipalities per province'!B:B,0),0)</f>
        <v>Limburg</v>
      </c>
      <c r="H269" s="7" t="str" cm="1">
        <f t="array" ref="H269">INDEX('municipalities per province'!E:E,MATCH(municipalities!$A269,'municipalities per province'!$B:$B,0),0)</f>
        <v>PV31</v>
      </c>
      <c r="I269" s="7" t="str" cm="1">
        <f t="array" ref="I269">INDEX('municipalities per province'!G:G,MATCH(municipalities!$A269,'municipalities per province'!$B:$B,0),0)</f>
        <v>Noord-enMidden-Limburg</v>
      </c>
      <c r="J269" s="7" t="str" cm="1">
        <f t="array" ref="J269">INDEX('municipalities per province'!H:H,MATCH(municipalities!$A269,'municipalities per province'!$B:$B,0),0)</f>
        <v>ES29</v>
      </c>
      <c r="K269" s="7" cm="1">
        <f t="array" ref="K269">INDEX(coordinates!C:C,MATCH(municipalities!$A269,coordinates!$A:$A,0),0)</f>
        <v>6.0411177905784479</v>
      </c>
      <c r="L269" s="7" cm="1">
        <f t="array" ref="L269">INDEX(coordinates!D:D,MATCH(municipalities!$A269,coordinates!$A:$A,0),0)</f>
        <v>51.145687030794853</v>
      </c>
      <c r="M269" s="8">
        <v>1</v>
      </c>
      <c r="N269" s="9">
        <v>20702</v>
      </c>
      <c r="O269" s="9">
        <v>10382</v>
      </c>
      <c r="P269" s="9">
        <v>10320</v>
      </c>
      <c r="Q269" s="9">
        <v>5</v>
      </c>
      <c r="R269" s="10">
        <v>394</v>
      </c>
      <c r="S269" s="11">
        <v>74</v>
      </c>
      <c r="T269" s="11">
        <v>25</v>
      </c>
      <c r="U269" s="12">
        <f t="shared" si="32"/>
        <v>33.1</v>
      </c>
      <c r="V269" s="12">
        <f t="shared" si="33"/>
        <v>4.5999999999999996</v>
      </c>
      <c r="W269" s="12">
        <f t="shared" si="34"/>
        <v>7</v>
      </c>
      <c r="X269" s="12">
        <f t="shared" si="35"/>
        <v>9.5</v>
      </c>
      <c r="Y269" s="12">
        <f t="shared" si="36"/>
        <v>158.19999999999999</v>
      </c>
      <c r="Z269" s="12" cm="1">
        <f t="array" ref="Z269">INDEX(municipality_wind_potential!$X:$X,MATCH(municipalities!$F269,municipality_wind_potential!$E:$E,0),0)</f>
        <v>69</v>
      </c>
      <c r="AA269" s="12">
        <f t="shared" si="37"/>
        <v>386.4</v>
      </c>
      <c r="AB269" s="12" cm="1">
        <f t="array" ref="AB269">INDEX(municipality_wind_potential!$Y:$Y,MATCH(municipalities!$F269,municipality_wind_potential!$E:$E,0),0) / 3.6</f>
        <v>1023.9611111111111</v>
      </c>
      <c r="AC269" s="12">
        <f t="shared" si="38"/>
        <v>47.485001199904012</v>
      </c>
      <c r="AD269" s="12" cm="1">
        <f t="array" ref="AD269">INDEX(municipality_pv_potential!$G:$G,MATCH(municipalities!$A269,municipality_pv_potential!$E:$E,0),0)/3.6*$AH$4</f>
        <v>43.971111111111114</v>
      </c>
      <c r="AE269" s="12">
        <f t="shared" si="39"/>
        <v>213.06095512359008</v>
      </c>
      <c r="AF269" s="12" cm="1">
        <f t="array" ref="AF269">INDEX(municipality_pv_potential!$H:$H,MATCH(municipalities!$A269,municipality_pv_potential!$E:$E,0),0)/3.6</f>
        <v>197.29444444444442</v>
      </c>
      <c r="AG269" s="12"/>
      <c r="AJ269">
        <v>33.1</v>
      </c>
      <c r="AK269">
        <v>4.5999999999999996</v>
      </c>
      <c r="AL269">
        <v>7</v>
      </c>
      <c r="AM269">
        <v>9.5</v>
      </c>
      <c r="AN269">
        <v>158.19999999999999</v>
      </c>
    </row>
    <row r="270" spans="1:40" x14ac:dyDescent="0.25">
      <c r="A270" s="5" t="s">
        <v>824</v>
      </c>
      <c r="B270" s="6" t="s">
        <v>825</v>
      </c>
      <c r="C270" s="7" t="s">
        <v>826</v>
      </c>
      <c r="D270" s="7" t="s">
        <v>826</v>
      </c>
      <c r="E270" s="7" t="s">
        <v>22</v>
      </c>
      <c r="F270" s="7" t="s">
        <v>824</v>
      </c>
      <c r="G270" s="7" t="str" cm="1">
        <f t="array" ref="G270">INDEX('municipalities per province'!F:F,MATCH(municipalities!A270,'municipalities per province'!B:B,0),0)</f>
        <v>Noord-Brabant</v>
      </c>
      <c r="H270" s="7" t="str" cm="1">
        <f t="array" ref="H270">INDEX('municipalities per province'!E:E,MATCH(municipalities!$A270,'municipalities per province'!$B:$B,0),0)</f>
        <v>PV30</v>
      </c>
      <c r="I270" s="7" t="str" cm="1">
        <f t="array" ref="I270">INDEX('municipalities per province'!G:G,MATCH(municipalities!$A270,'municipalities per province'!$B:$B,0),0)</f>
        <v>West-Brabant</v>
      </c>
      <c r="J270" s="7" t="str" cm="1">
        <f t="array" ref="J270">INDEX('municipalities per province'!H:H,MATCH(municipalities!$A270,'municipalities per province'!$B:$B,0),0)</f>
        <v>ES28</v>
      </c>
      <c r="K270" s="7" cm="1">
        <f t="array" ref="K270">INDEX(coordinates!C:C,MATCH(municipalities!$A270,coordinates!$A:$A,0),0)</f>
        <v>4.4245177852486099</v>
      </c>
      <c r="L270" s="7" cm="1">
        <f t="array" ref="L270">INDEX(coordinates!D:D,MATCH(municipalities!$A270,coordinates!$A:$A,0),0)</f>
        <v>51.51319770301793</v>
      </c>
      <c r="M270" s="8">
        <v>1</v>
      </c>
      <c r="N270" s="9">
        <v>77613</v>
      </c>
      <c r="O270" s="9">
        <v>38698</v>
      </c>
      <c r="P270" s="9">
        <v>38915</v>
      </c>
      <c r="Q270" s="9">
        <v>2</v>
      </c>
      <c r="R270" s="10">
        <v>1755</v>
      </c>
      <c r="S270" s="11">
        <v>62</v>
      </c>
      <c r="T270" s="11">
        <v>38</v>
      </c>
      <c r="U270" s="12">
        <f t="shared" si="32"/>
        <v>32</v>
      </c>
      <c r="V270" s="12">
        <f t="shared" si="33"/>
        <v>6.8</v>
      </c>
      <c r="W270" s="12">
        <f t="shared" si="34"/>
        <v>9.9</v>
      </c>
      <c r="X270" s="12">
        <f t="shared" si="35"/>
        <v>12.4</v>
      </c>
      <c r="Y270" s="12">
        <f t="shared" si="36"/>
        <v>85.8</v>
      </c>
      <c r="Z270" s="12" cm="1">
        <f t="array" ref="Z270">INDEX(municipality_wind_potential!$X:$X,MATCH(municipalities!$F270,municipality_wind_potential!$E:$E,0),0)</f>
        <v>24</v>
      </c>
      <c r="AA270" s="12">
        <f t="shared" si="37"/>
        <v>134.39999999999998</v>
      </c>
      <c r="AB270" s="12" cm="1">
        <f t="array" ref="AB270">INDEX(municipality_wind_potential!$Y:$Y,MATCH(municipalities!$F270,municipality_wind_potential!$E:$E,0),0) / 3.6</f>
        <v>379.00833333333333</v>
      </c>
      <c r="AC270" s="12">
        <f t="shared" si="38"/>
        <v>149.36405087592991</v>
      </c>
      <c r="AD270" s="12" cm="1">
        <f t="array" ref="AD270">INDEX(municipality_pv_potential!$G:$G,MATCH(municipalities!$A270,municipality_pv_potential!$E:$E,0),0)/3.6*$AH$4</f>
        <v>138.3111111111111</v>
      </c>
      <c r="AE270" s="12">
        <f t="shared" si="39"/>
        <v>311.3690904727622</v>
      </c>
      <c r="AF270" s="12" cm="1">
        <f t="array" ref="AF270">INDEX(municipality_pv_potential!$H:$H,MATCH(municipalities!$A270,municipality_pv_potential!$E:$E,0),0)/3.6</f>
        <v>288.32777777777778</v>
      </c>
      <c r="AG270" s="12"/>
      <c r="AJ270">
        <v>32</v>
      </c>
      <c r="AK270">
        <v>6.8</v>
      </c>
      <c r="AL270">
        <v>9.9</v>
      </c>
      <c r="AM270">
        <v>12.4</v>
      </c>
      <c r="AN270">
        <v>85.8</v>
      </c>
    </row>
    <row r="271" spans="1:40" x14ac:dyDescent="0.25">
      <c r="A271" s="5" t="s">
        <v>827</v>
      </c>
      <c r="B271" s="6" t="s">
        <v>828</v>
      </c>
      <c r="C271" s="7" t="s">
        <v>829</v>
      </c>
      <c r="D271" s="7" t="s">
        <v>829</v>
      </c>
      <c r="E271" s="7" t="s">
        <v>22</v>
      </c>
      <c r="F271" s="7" t="s">
        <v>827</v>
      </c>
      <c r="G271" s="7" t="str" cm="1">
        <f t="array" ref="G271">INDEX('municipalities per province'!F:F,MATCH(municipalities!A271,'municipalities per province'!B:B,0),0)</f>
        <v>Zeeland</v>
      </c>
      <c r="H271" s="7" t="str" cm="1">
        <f t="array" ref="H271">INDEX('municipalities per province'!E:E,MATCH(municipalities!$A271,'municipalities per province'!$B:$B,0),0)</f>
        <v>PV29</v>
      </c>
      <c r="I271" s="7" t="str" cm="1">
        <f t="array" ref="I271">INDEX('municipalities per province'!G:G,MATCH(municipalities!$A271,'municipalities per province'!$B:$B,0),0)</f>
        <v>Zeeland</v>
      </c>
      <c r="J271" s="7" t="str" cm="1">
        <f t="array" ref="J271">INDEX('municipalities per province'!H:H,MATCH(municipalities!$A271,'municipalities per province'!$B:$B,0),0)</f>
        <v>ES24</v>
      </c>
      <c r="K271" s="7" cm="1">
        <f t="array" ref="K271">INDEX(coordinates!C:C,MATCH(municipalities!$A271,coordinates!$A:$A,0),0)</f>
        <v>3.8657834124368429</v>
      </c>
      <c r="L271" s="7" cm="1">
        <f t="array" ref="L271">INDEX(coordinates!D:D,MATCH(municipalities!$A271,coordinates!$A:$A,0),0)</f>
        <v>51.677389288791034</v>
      </c>
      <c r="M271" s="8">
        <v>1</v>
      </c>
      <c r="N271" s="9">
        <v>34561</v>
      </c>
      <c r="O271" s="9">
        <v>17024</v>
      </c>
      <c r="P271" s="9">
        <v>17537</v>
      </c>
      <c r="Q271" s="9">
        <v>5</v>
      </c>
      <c r="R271" s="10">
        <v>493</v>
      </c>
      <c r="S271" s="11">
        <v>68</v>
      </c>
      <c r="T271" s="11">
        <v>32</v>
      </c>
      <c r="U271" s="12">
        <f t="shared" si="32"/>
        <v>35.200000000000003</v>
      </c>
      <c r="V271" s="12">
        <f t="shared" si="33"/>
        <v>4.9000000000000004</v>
      </c>
      <c r="W271" s="12">
        <f t="shared" si="34"/>
        <v>7.5</v>
      </c>
      <c r="X271" s="12">
        <f t="shared" si="35"/>
        <v>10.199999999999999</v>
      </c>
      <c r="Y271" s="12">
        <f t="shared" si="36"/>
        <v>149.1</v>
      </c>
      <c r="Z271" s="12" cm="1">
        <f t="array" ref="Z271">INDEX(municipality_wind_potential!$X:$X,MATCH(municipalities!$F271,municipality_wind_potential!$E:$E,0),0)</f>
        <v>152</v>
      </c>
      <c r="AA271" s="12">
        <f t="shared" si="37"/>
        <v>851.19999999999993</v>
      </c>
      <c r="AB271" s="12" cm="1">
        <f t="array" ref="AB271">INDEX(municipality_wind_potential!$Y:$Y,MATCH(municipalities!$F271,municipality_wind_potential!$E:$E,0),0) / 3.6</f>
        <v>2979.2000000000003</v>
      </c>
      <c r="AC271" s="12">
        <f t="shared" si="38"/>
        <v>90.693544516438678</v>
      </c>
      <c r="AD271" s="12" cm="1">
        <f t="array" ref="AD271">INDEX(municipality_pv_potential!$G:$G,MATCH(municipalities!$A271,municipality_pv_potential!$E:$E,0),0)/3.6*$AH$4</f>
        <v>83.982222222222219</v>
      </c>
      <c r="AE271" s="12">
        <f t="shared" si="39"/>
        <v>742.98356131509479</v>
      </c>
      <c r="AF271" s="12" cm="1">
        <f t="array" ref="AF271">INDEX(municipality_pv_potential!$H:$H,MATCH(municipalities!$A271,municipality_pv_potential!$E:$E,0),0)/3.6</f>
        <v>688.00277777777774</v>
      </c>
      <c r="AG271" s="12"/>
      <c r="AJ271">
        <v>35.200000000000003</v>
      </c>
      <c r="AK271">
        <v>4.9000000000000004</v>
      </c>
      <c r="AL271">
        <v>7.5</v>
      </c>
      <c r="AM271">
        <v>10.199999999999999</v>
      </c>
      <c r="AN271">
        <v>149.1</v>
      </c>
    </row>
    <row r="272" spans="1:40" x14ac:dyDescent="0.25">
      <c r="A272" s="5" t="s">
        <v>830</v>
      </c>
      <c r="B272" s="6" t="s">
        <v>831</v>
      </c>
      <c r="C272" s="7" t="s">
        <v>832</v>
      </c>
      <c r="D272" s="7" t="s">
        <v>832</v>
      </c>
      <c r="E272" s="7" t="s">
        <v>22</v>
      </c>
      <c r="F272" s="7" t="s">
        <v>830</v>
      </c>
      <c r="G272" s="7" t="str" cm="1">
        <f t="array" ref="G272">INDEX('municipalities per province'!F:F,MATCH(municipalities!A272,'municipalities per province'!B:B,0),0)</f>
        <v>Drenthe</v>
      </c>
      <c r="H272" s="7" t="str" cm="1">
        <f t="array" ref="H272">INDEX('municipalities per province'!E:E,MATCH(municipalities!$A272,'municipalities per province'!$B:$B,0),0)</f>
        <v>PV22</v>
      </c>
      <c r="I272" s="7" t="str" cm="1">
        <f t="array" ref="I272">INDEX('municipalities per province'!G:G,MATCH(municipalities!$A272,'municipalities per province'!$B:$B,0),0)</f>
        <v>Drenthe</v>
      </c>
      <c r="J272" s="7" t="str" cm="1">
        <f t="array" ref="J272">INDEX('municipalities per province'!H:H,MATCH(municipalities!$A272,'municipalities per province'!$B:$B,0),0)</f>
        <v>ES03</v>
      </c>
      <c r="K272" s="7" cm="1">
        <f t="array" ref="K272">INDEX(coordinates!C:C,MATCH(municipalities!$A272,coordinates!$A:$A,0),0)</f>
        <v>6.7273300051350677</v>
      </c>
      <c r="L272" s="7" cm="1">
        <f t="array" ref="L272">INDEX(coordinates!D:D,MATCH(municipalities!$A272,coordinates!$A:$A,0),0)</f>
        <v>52.993024189764093</v>
      </c>
      <c r="M272" s="8">
        <v>1</v>
      </c>
      <c r="N272" s="9">
        <v>25724</v>
      </c>
      <c r="O272" s="9">
        <v>12820</v>
      </c>
      <c r="P272" s="9">
        <v>12904</v>
      </c>
      <c r="Q272" s="9">
        <v>5</v>
      </c>
      <c r="R272" s="10">
        <v>285</v>
      </c>
      <c r="S272" s="11">
        <v>75</v>
      </c>
      <c r="T272" s="11">
        <v>25</v>
      </c>
      <c r="U272" s="12">
        <f t="shared" si="32"/>
        <v>35.1</v>
      </c>
      <c r="V272" s="12">
        <f t="shared" si="33"/>
        <v>4.3</v>
      </c>
      <c r="W272" s="12">
        <f t="shared" si="34"/>
        <v>6.8</v>
      </c>
      <c r="X272" s="12">
        <f t="shared" si="35"/>
        <v>9.3000000000000007</v>
      </c>
      <c r="Y272" s="12">
        <f t="shared" si="36"/>
        <v>168.7</v>
      </c>
      <c r="Z272" s="12" cm="1">
        <f t="array" ref="Z272">INDEX(municipality_wind_potential!$X:$X,MATCH(municipalities!$F272,municipality_wind_potential!$E:$E,0),0)</f>
        <v>222</v>
      </c>
      <c r="AA272" s="12">
        <f t="shared" si="37"/>
        <v>1243.1999999999998</v>
      </c>
      <c r="AB272" s="12" cm="1">
        <f t="array" ref="AB272">INDEX(municipality_wind_potential!$Y:$Y,MATCH(municipalities!$F272,municipality_wind_potential!$E:$E,0),0) / 3.6</f>
        <v>3940.9444444444443</v>
      </c>
      <c r="AC272" s="12">
        <f t="shared" si="38"/>
        <v>73.519318454523642</v>
      </c>
      <c r="AD272" s="12" cm="1">
        <f t="array" ref="AD272">INDEX(municipality_pv_potential!$G:$G,MATCH(municipalities!$A272,municipality_pv_potential!$E:$E,0),0)/3.6*$AH$4</f>
        <v>68.078888888888898</v>
      </c>
      <c r="AE272" s="12">
        <f t="shared" si="39"/>
        <v>760.76313894888403</v>
      </c>
      <c r="AF272" s="12" cm="1">
        <f t="array" ref="AF272">INDEX(municipality_pv_potential!$H:$H,MATCH(municipalities!$A272,municipality_pv_potential!$E:$E,0),0)/3.6</f>
        <v>704.46666666666658</v>
      </c>
      <c r="AG272" s="12"/>
      <c r="AJ272">
        <v>35.1</v>
      </c>
      <c r="AK272">
        <v>4.3</v>
      </c>
      <c r="AL272">
        <v>6.8</v>
      </c>
      <c r="AM272">
        <v>9.3000000000000007</v>
      </c>
      <c r="AN272">
        <v>168.7</v>
      </c>
    </row>
    <row r="273" spans="1:40" x14ac:dyDescent="0.25">
      <c r="A273" s="5" t="s">
        <v>833</v>
      </c>
      <c r="B273" s="6" t="s">
        <v>834</v>
      </c>
      <c r="C273" s="7" t="s">
        <v>835</v>
      </c>
      <c r="D273" s="7" t="s">
        <v>835</v>
      </c>
      <c r="E273" s="7" t="s">
        <v>22</v>
      </c>
      <c r="F273" s="7" t="s">
        <v>833</v>
      </c>
      <c r="G273" s="7" t="str" cm="1">
        <f t="array" ref="G273">INDEX('municipalities per province'!F:F,MATCH(municipalities!A273,'municipalities per province'!B:B,0),0)</f>
        <v>Drenthe</v>
      </c>
      <c r="H273" s="7" t="str" cm="1">
        <f t="array" ref="H273">INDEX('municipalities per province'!E:E,MATCH(municipalities!$A273,'municipalities per province'!$B:$B,0),0)</f>
        <v>PV22</v>
      </c>
      <c r="I273" s="7" t="str" cm="1">
        <f t="array" ref="I273">INDEX('municipalities per province'!G:G,MATCH(municipalities!$A273,'municipalities per province'!$B:$B,0),0)</f>
        <v>Drenthe</v>
      </c>
      <c r="J273" s="7" t="str" cm="1">
        <f t="array" ref="J273">INDEX('municipalities per province'!H:H,MATCH(municipalities!$A273,'municipalities per province'!$B:$B,0),0)</f>
        <v>ES03</v>
      </c>
      <c r="K273" s="7" cm="1">
        <f t="array" ref="K273">INDEX(coordinates!C:C,MATCH(municipalities!$A273,coordinates!$A:$A,0),0)</f>
        <v>6.8719914604846224</v>
      </c>
      <c r="L273" s="7" cm="1">
        <f t="array" ref="L273">INDEX(coordinates!D:D,MATCH(municipalities!$A273,coordinates!$A:$A,0),0)</f>
        <v>52.905895566094287</v>
      </c>
      <c r="M273" s="8">
        <v>1</v>
      </c>
      <c r="N273" s="9">
        <v>25919</v>
      </c>
      <c r="O273" s="9">
        <v>13004</v>
      </c>
      <c r="P273" s="9">
        <v>12915</v>
      </c>
      <c r="Q273" s="9">
        <v>5</v>
      </c>
      <c r="R273" s="10">
        <v>262</v>
      </c>
      <c r="S273" s="11">
        <v>74</v>
      </c>
      <c r="T273" s="11">
        <v>26</v>
      </c>
      <c r="U273" s="12">
        <f t="shared" si="32"/>
        <v>32.4</v>
      </c>
      <c r="V273" s="12">
        <f t="shared" si="33"/>
        <v>5</v>
      </c>
      <c r="W273" s="12">
        <f t="shared" si="34"/>
        <v>7.9</v>
      </c>
      <c r="X273" s="12">
        <f t="shared" si="35"/>
        <v>11.1</v>
      </c>
      <c r="Y273" s="12">
        <f t="shared" si="36"/>
        <v>104.8</v>
      </c>
      <c r="Z273" s="12" cm="1">
        <f t="array" ref="Z273">INDEX(municipality_wind_potential!$X:$X,MATCH(municipalities!$F273,municipality_wind_potential!$E:$E,0),0)</f>
        <v>188</v>
      </c>
      <c r="AA273" s="12">
        <f t="shared" si="37"/>
        <v>1052.8</v>
      </c>
      <c r="AB273" s="12" cm="1">
        <f t="array" ref="AB273">INDEX(municipality_wind_potential!$Y:$Y,MATCH(municipalities!$F273,municipality_wind_potential!$E:$E,0),0) / 3.6</f>
        <v>3337.3749999999995</v>
      </c>
      <c r="AC273" s="12">
        <f t="shared" si="38"/>
        <v>78.894288456923462</v>
      </c>
      <c r="AD273" s="12" cm="1">
        <f t="array" ref="AD273">INDEX(municipality_pv_potential!$G:$G,MATCH(municipalities!$A273,municipality_pv_potential!$E:$E,0),0)/3.6*$AH$4</f>
        <v>73.056111111111122</v>
      </c>
      <c r="AE273" s="12">
        <f t="shared" si="39"/>
        <v>924.70902327813781</v>
      </c>
      <c r="AF273" s="12" cm="1">
        <f t="array" ref="AF273">INDEX(municipality_pv_potential!$H:$H,MATCH(municipalities!$A273,municipality_pv_potential!$E:$E,0),0)/3.6</f>
        <v>856.28055555555557</v>
      </c>
      <c r="AG273" s="12"/>
      <c r="AJ273">
        <v>32.4</v>
      </c>
      <c r="AK273">
        <v>5</v>
      </c>
      <c r="AL273">
        <v>7.9</v>
      </c>
      <c r="AM273">
        <v>11.1</v>
      </c>
      <c r="AN273">
        <v>104.8</v>
      </c>
    </row>
    <row r="274" spans="1:40" x14ac:dyDescent="0.25">
      <c r="A274" s="5" t="s">
        <v>836</v>
      </c>
      <c r="B274" s="6" t="s">
        <v>837</v>
      </c>
      <c r="C274" s="7" t="s">
        <v>838</v>
      </c>
      <c r="D274" s="7" t="s">
        <v>838</v>
      </c>
      <c r="E274" s="7" t="s">
        <v>22</v>
      </c>
      <c r="F274" s="7" t="s">
        <v>836</v>
      </c>
      <c r="G274" s="7" t="str" cm="1">
        <f t="array" ref="G274">INDEX('municipalities per province'!F:F,MATCH(municipalities!A274,'municipalities per province'!B:B,0),0)</f>
        <v>Drenthe</v>
      </c>
      <c r="H274" s="7" t="str" cm="1">
        <f t="array" ref="H274">INDEX('municipalities per province'!E:E,MATCH(municipalities!$A274,'municipalities per province'!$B:$B,0),0)</f>
        <v>PV22</v>
      </c>
      <c r="I274" s="7" t="str" cm="1">
        <f t="array" ref="I274">INDEX('municipalities per province'!G:G,MATCH(municipalities!$A274,'municipalities per province'!$B:$B,0),0)</f>
        <v>Drenthe</v>
      </c>
      <c r="J274" s="7" t="str" cm="1">
        <f t="array" ref="J274">INDEX('municipalities per province'!H:H,MATCH(municipalities!$A274,'municipalities per province'!$B:$B,0),0)</f>
        <v>ES03</v>
      </c>
      <c r="K274" s="7" cm="1">
        <f t="array" ref="K274">INDEX(coordinates!C:C,MATCH(municipalities!$A274,coordinates!$A:$A,0),0)</f>
        <v>6.3734190207731176</v>
      </c>
      <c r="L274" s="7" cm="1">
        <f t="array" ref="L274">INDEX(coordinates!D:D,MATCH(municipalities!$A274,coordinates!$A:$A,0),0)</f>
        <v>52.701694255133447</v>
      </c>
      <c r="M274" s="8">
        <v>1</v>
      </c>
      <c r="N274" s="9">
        <v>24602</v>
      </c>
      <c r="O274" s="9">
        <v>12372</v>
      </c>
      <c r="P274" s="9">
        <v>12230</v>
      </c>
      <c r="Q274" s="9">
        <v>5</v>
      </c>
      <c r="R274" s="10">
        <v>315</v>
      </c>
      <c r="S274" s="11">
        <v>75</v>
      </c>
      <c r="T274" s="11">
        <v>25</v>
      </c>
      <c r="U274" s="12">
        <f t="shared" si="32"/>
        <v>35</v>
      </c>
      <c r="V274" s="12">
        <f t="shared" si="33"/>
        <v>4.3</v>
      </c>
      <c r="W274" s="12">
        <f t="shared" si="34"/>
        <v>6.4</v>
      </c>
      <c r="X274" s="12">
        <f t="shared" si="35"/>
        <v>8.6</v>
      </c>
      <c r="Y274" s="12">
        <f t="shared" si="36"/>
        <v>207.9</v>
      </c>
      <c r="Z274" s="12" cm="1">
        <f t="array" ref="Z274">INDEX(municipality_wind_potential!$X:$X,MATCH(municipalities!$F274,municipality_wind_potential!$E:$E,0),0)</f>
        <v>133</v>
      </c>
      <c r="AA274" s="12">
        <f t="shared" si="37"/>
        <v>744.8</v>
      </c>
      <c r="AB274" s="12" cm="1">
        <f t="array" ref="AB274">INDEX(municipality_wind_potential!$Y:$Y,MATCH(municipalities!$F274,municipality_wind_potential!$E:$E,0),0) / 3.6</f>
        <v>2352.1388888888891</v>
      </c>
      <c r="AC274" s="12">
        <f t="shared" si="38"/>
        <v>86.85925125989921</v>
      </c>
      <c r="AD274" s="12" cm="1">
        <f t="array" ref="AD274">INDEX(municipality_pv_potential!$G:$G,MATCH(municipalities!$A274,municipality_pv_potential!$E:$E,0),0)/3.6*$AH$4</f>
        <v>80.431666666666672</v>
      </c>
      <c r="AE274" s="12">
        <f t="shared" si="39"/>
        <v>745.89032877369812</v>
      </c>
      <c r="AF274" s="12" cm="1">
        <f t="array" ref="AF274">INDEX(municipality_pv_potential!$H:$H,MATCH(municipalities!$A274,municipality_pv_potential!$E:$E,0),0)/3.6</f>
        <v>690.69444444444446</v>
      </c>
      <c r="AG274" s="12"/>
      <c r="AJ274">
        <v>35</v>
      </c>
      <c r="AK274">
        <v>4.3</v>
      </c>
      <c r="AL274">
        <v>6.4</v>
      </c>
      <c r="AM274">
        <v>8.6</v>
      </c>
      <c r="AN274">
        <v>207.9</v>
      </c>
    </row>
    <row r="275" spans="1:40" x14ac:dyDescent="0.25">
      <c r="A275" s="5" t="s">
        <v>839</v>
      </c>
      <c r="B275" s="6" t="s">
        <v>840</v>
      </c>
      <c r="C275" s="7" t="s">
        <v>841</v>
      </c>
      <c r="D275" s="7" t="s">
        <v>841</v>
      </c>
      <c r="E275" s="7" t="s">
        <v>22</v>
      </c>
      <c r="F275" s="7" t="s">
        <v>839</v>
      </c>
      <c r="G275" s="7" t="str" cm="1">
        <f t="array" ref="G275">INDEX('municipalities per province'!F:F,MATCH(municipalities!A275,'municipalities per province'!B:B,0),0)</f>
        <v>Zeeland</v>
      </c>
      <c r="H275" s="7" t="str" cm="1">
        <f t="array" ref="H275">INDEX('municipalities per province'!E:E,MATCH(municipalities!$A275,'municipalities per province'!$B:$B,0),0)</f>
        <v>PV29</v>
      </c>
      <c r="I275" s="7" t="str" cm="1">
        <f t="array" ref="I275">INDEX('municipalities per province'!G:G,MATCH(municipalities!$A275,'municipalities per province'!$B:$B,0),0)</f>
        <v>Zeeland</v>
      </c>
      <c r="J275" s="7" t="str" cm="1">
        <f t="array" ref="J275">INDEX('municipalities per province'!H:H,MATCH(municipalities!$A275,'municipalities per province'!$B:$B,0),0)</f>
        <v>ES24</v>
      </c>
      <c r="K275" s="7" cm="1">
        <f t="array" ref="K275">INDEX(coordinates!C:C,MATCH(municipalities!$A275,coordinates!$A:$A,0),0)</f>
        <v>3.857177623061947</v>
      </c>
      <c r="L275" s="7" cm="1">
        <f t="array" ref="L275">INDEX(coordinates!D:D,MATCH(municipalities!$A275,coordinates!$A:$A,0),0)</f>
        <v>51.571103192889588</v>
      </c>
      <c r="M275" s="8">
        <v>1</v>
      </c>
      <c r="N275" s="9">
        <v>7857</v>
      </c>
      <c r="O275" s="9">
        <v>3927</v>
      </c>
      <c r="P275" s="9">
        <v>3930</v>
      </c>
      <c r="Q275" s="9">
        <v>5</v>
      </c>
      <c r="R275" s="10">
        <v>251</v>
      </c>
      <c r="S275" s="11">
        <v>73</v>
      </c>
      <c r="T275" s="11">
        <v>24</v>
      </c>
      <c r="U275" s="12">
        <f t="shared" si="32"/>
        <v>34</v>
      </c>
      <c r="V275" s="12">
        <f t="shared" si="33"/>
        <v>4.8</v>
      </c>
      <c r="W275" s="12">
        <f t="shared" si="34"/>
        <v>6.7</v>
      </c>
      <c r="X275" s="12">
        <f t="shared" si="35"/>
        <v>8.6999999999999993</v>
      </c>
      <c r="Y275" s="12">
        <f t="shared" si="36"/>
        <v>133.69999999999999</v>
      </c>
      <c r="Z275" s="12" cm="1">
        <f t="array" ref="Z275">INDEX(municipality_wind_potential!$X:$X,MATCH(municipalities!$F275,municipality_wind_potential!$E:$E,0),0)</f>
        <v>62</v>
      </c>
      <c r="AA275" s="12">
        <f t="shared" si="37"/>
        <v>347.2</v>
      </c>
      <c r="AB275" s="12" cm="1">
        <f t="array" ref="AB275">INDEX(municipality_wind_potential!$Y:$Y,MATCH(municipalities!$F275,municipality_wind_potential!$E:$E,0),0) / 3.6</f>
        <v>1215.2</v>
      </c>
      <c r="AC275" s="12">
        <f t="shared" si="38"/>
        <v>26.069114470842333</v>
      </c>
      <c r="AD275" s="12" cm="1">
        <f t="array" ref="AD275">INDEX(municipality_pv_potential!$G:$G,MATCH(municipalities!$A275,municipality_pv_potential!$E:$E,0),0)/3.6*$AH$4</f>
        <v>24.14</v>
      </c>
      <c r="AE275" s="12">
        <f t="shared" si="39"/>
        <v>345.77333813294933</v>
      </c>
      <c r="AF275" s="12" cm="1">
        <f t="array" ref="AF275">INDEX(municipality_pv_potential!$H:$H,MATCH(municipalities!$A275,municipality_pv_potential!$E:$E,0),0)/3.6</f>
        <v>320.18611111111113</v>
      </c>
      <c r="AG275" s="12"/>
      <c r="AJ275">
        <v>34</v>
      </c>
      <c r="AK275">
        <v>4.8</v>
      </c>
      <c r="AL275">
        <v>6.7</v>
      </c>
      <c r="AM275">
        <v>8.6999999999999993</v>
      </c>
      <c r="AN275">
        <v>133.69999999999999</v>
      </c>
    </row>
    <row r="276" spans="1:40" x14ac:dyDescent="0.25">
      <c r="A276" s="5" t="s">
        <v>842</v>
      </c>
      <c r="B276" s="6" t="s">
        <v>843</v>
      </c>
      <c r="C276" s="7" t="s">
        <v>844</v>
      </c>
      <c r="D276" s="7" t="s">
        <v>844</v>
      </c>
      <c r="E276" s="7" t="s">
        <v>22</v>
      </c>
      <c r="F276" s="7" t="s">
        <v>842</v>
      </c>
      <c r="G276" s="7" t="str" cm="1">
        <f t="array" ref="G276">INDEX('municipalities per province'!F:F,MATCH(municipalities!A276,'municipalities per province'!B:B,0),0)</f>
        <v>Noord-Holland</v>
      </c>
      <c r="H276" s="7" t="str" cm="1">
        <f t="array" ref="H276">INDEX('municipalities per province'!E:E,MATCH(municipalities!$A276,'municipalities per province'!$B:$B,0),0)</f>
        <v>PV27</v>
      </c>
      <c r="I276" s="7" t="str" cm="1">
        <f t="array" ref="I276">INDEX('municipalities per province'!G:G,MATCH(municipalities!$A276,'municipalities per province'!$B:$B,0),0)</f>
        <v>Noord-HollandZuid</v>
      </c>
      <c r="J276" s="7" t="str" cm="1">
        <f t="array" ref="J276">INDEX('municipalities per province'!H:H,MATCH(municipalities!$A276,'municipalities per province'!$B:$B,0),0)</f>
        <v>ES16</v>
      </c>
      <c r="K276" s="7" cm="1">
        <f t="array" ref="K276">INDEX(coordinates!C:C,MATCH(municipalities!$A276,coordinates!$A:$A,0),0)</f>
        <v>5.0848399426967976</v>
      </c>
      <c r="L276" s="7" cm="1">
        <f t="array" ref="L276">INDEX(coordinates!D:D,MATCH(municipalities!$A276,coordinates!$A:$A,0),0)</f>
        <v>52.226195709843353</v>
      </c>
      <c r="M276" s="8">
        <v>1</v>
      </c>
      <c r="N276" s="9">
        <v>24659</v>
      </c>
      <c r="O276" s="9">
        <v>12075</v>
      </c>
      <c r="P276" s="9">
        <v>12584</v>
      </c>
      <c r="Q276" s="9">
        <v>4</v>
      </c>
      <c r="R276" s="10">
        <v>601</v>
      </c>
      <c r="S276" s="11">
        <v>70</v>
      </c>
      <c r="T276" s="11">
        <v>30</v>
      </c>
      <c r="U276" s="12">
        <f t="shared" si="32"/>
        <v>41.4</v>
      </c>
      <c r="V276" s="12">
        <f t="shared" si="33"/>
        <v>4.3</v>
      </c>
      <c r="W276" s="12">
        <f t="shared" si="34"/>
        <v>6.5</v>
      </c>
      <c r="X276" s="12">
        <f t="shared" si="35"/>
        <v>8.8000000000000007</v>
      </c>
      <c r="Y276" s="12">
        <f t="shared" si="36"/>
        <v>245.6</v>
      </c>
      <c r="Z276" s="12" cm="1">
        <f t="array" ref="Z276">INDEX(municipality_wind_potential!$X:$X,MATCH(municipalities!$F276,municipality_wind_potential!$E:$E,0),0)</f>
        <v>23</v>
      </c>
      <c r="AA276" s="12">
        <f t="shared" si="37"/>
        <v>128.79999999999998</v>
      </c>
      <c r="AB276" s="12" cm="1">
        <f t="array" ref="AB276">INDEX(municipality_wind_potential!$Y:$Y,MATCH(municipalities!$F276,municipality_wind_potential!$E:$E,0),0) / 3.6</f>
        <v>370.94444444444446</v>
      </c>
      <c r="AC276" s="12">
        <f t="shared" si="38"/>
        <v>39.131269498440126</v>
      </c>
      <c r="AD276" s="12" cm="1">
        <f t="array" ref="AD276">INDEX(municipality_pv_potential!$G:$G,MATCH(municipalities!$A276,municipality_pv_potential!$E:$E,0),0)/3.6*$AH$4</f>
        <v>36.235555555555557</v>
      </c>
      <c r="AE276" s="12">
        <f t="shared" si="39"/>
        <v>77.597792176625859</v>
      </c>
      <c r="AF276" s="12" cm="1">
        <f t="array" ref="AF276">INDEX(municipality_pv_potential!$H:$H,MATCH(municipalities!$A276,municipality_pv_potential!$E:$E,0),0)/3.6</f>
        <v>71.855555555555554</v>
      </c>
      <c r="AG276" s="12"/>
      <c r="AJ276">
        <v>41.4</v>
      </c>
      <c r="AK276">
        <v>4.3</v>
      </c>
      <c r="AL276">
        <v>6.5</v>
      </c>
      <c r="AM276">
        <v>8.8000000000000007</v>
      </c>
      <c r="AN276">
        <v>245.6</v>
      </c>
    </row>
    <row r="277" spans="1:40" x14ac:dyDescent="0.25">
      <c r="A277" s="5" t="s">
        <v>845</v>
      </c>
      <c r="B277" s="6" t="s">
        <v>846</v>
      </c>
      <c r="C277" s="7" t="s">
        <v>847</v>
      </c>
      <c r="D277" s="7" t="s">
        <v>847</v>
      </c>
      <c r="E277" s="7" t="s">
        <v>22</v>
      </c>
      <c r="F277" s="7" t="s">
        <v>845</v>
      </c>
      <c r="G277" s="7" t="str" cm="1">
        <f t="array" ref="G277">INDEX('municipalities per province'!F:F,MATCH(municipalities!A277,'municipalities per province'!B:B,0),0)</f>
        <v>Drenthe</v>
      </c>
      <c r="H277" s="7" t="str" cm="1">
        <f t="array" ref="H277">INDEX('municipalities per province'!E:E,MATCH(municipalities!$A277,'municipalities per province'!$B:$B,0),0)</f>
        <v>PV22</v>
      </c>
      <c r="I277" s="7" t="str" cm="1">
        <f t="array" ref="I277">INDEX('municipalities per province'!G:G,MATCH(municipalities!$A277,'municipalities per province'!$B:$B,0),0)</f>
        <v>Drenthe</v>
      </c>
      <c r="J277" s="7" t="str" cm="1">
        <f t="array" ref="J277">INDEX('municipalities per province'!H:H,MATCH(municipalities!$A277,'municipalities per province'!$B:$B,0),0)</f>
        <v>ES03</v>
      </c>
      <c r="K277" s="7" cm="1">
        <f t="array" ref="K277">INDEX(coordinates!C:C,MATCH(municipalities!$A277,coordinates!$A:$A,0),0)</f>
        <v>6.4403365324609023</v>
      </c>
      <c r="L277" s="7" cm="1">
        <f t="array" ref="L277">INDEX(coordinates!D:D,MATCH(municipalities!$A277,coordinates!$A:$A,0),0)</f>
        <v>53.095683380425683</v>
      </c>
      <c r="M277" s="8">
        <v>1</v>
      </c>
      <c r="N277" s="9">
        <v>31591</v>
      </c>
      <c r="O277" s="9">
        <v>15644</v>
      </c>
      <c r="P277" s="9">
        <v>15947</v>
      </c>
      <c r="Q277" s="9">
        <v>4</v>
      </c>
      <c r="R277" s="10">
        <v>691</v>
      </c>
      <c r="S277" s="11">
        <v>71</v>
      </c>
      <c r="T277" s="11">
        <v>29</v>
      </c>
      <c r="U277" s="12">
        <f t="shared" si="32"/>
        <v>34.299999999999997</v>
      </c>
      <c r="V277" s="12">
        <f t="shared" si="33"/>
        <v>4.5</v>
      </c>
      <c r="W277" s="12">
        <f t="shared" si="34"/>
        <v>7.2</v>
      </c>
      <c r="X277" s="12">
        <f t="shared" si="35"/>
        <v>9.8000000000000007</v>
      </c>
      <c r="Y277" s="12">
        <f t="shared" si="36"/>
        <v>171.4</v>
      </c>
      <c r="Z277" s="12" cm="1">
        <f t="array" ref="Z277">INDEX(municipality_wind_potential!$X:$X,MATCH(municipalities!$F277,municipality_wind_potential!$E:$E,0),0)</f>
        <v>111</v>
      </c>
      <c r="AA277" s="12">
        <f t="shared" si="37"/>
        <v>621.59999999999991</v>
      </c>
      <c r="AB277" s="12" cm="1">
        <f t="array" ref="AB277">INDEX(municipality_wind_potential!$Y:$Y,MATCH(municipalities!$F277,municipality_wind_potential!$E:$E,0),0) / 3.6</f>
        <v>1970.4722222222222</v>
      </c>
      <c r="AC277" s="12">
        <f t="shared" si="38"/>
        <v>78.018358531317503</v>
      </c>
      <c r="AD277" s="12" cm="1">
        <f t="array" ref="AD277">INDEX(municipality_pv_potential!$G:$G,MATCH(municipalities!$A277,municipality_pv_potential!$E:$E,0),0)/3.6*$AH$4</f>
        <v>72.245000000000005</v>
      </c>
      <c r="AE277" s="12">
        <f t="shared" si="39"/>
        <v>526.92584593232539</v>
      </c>
      <c r="AF277" s="12" cm="1">
        <f t="array" ref="AF277">INDEX(municipality_pv_potential!$H:$H,MATCH(municipalities!$A277,municipality_pv_potential!$E:$E,0),0)/3.6</f>
        <v>487.93333333333328</v>
      </c>
      <c r="AG277" s="12"/>
      <c r="AJ277">
        <v>34.299999999999997</v>
      </c>
      <c r="AK277">
        <v>4.5</v>
      </c>
      <c r="AL277">
        <v>7.2</v>
      </c>
      <c r="AM277">
        <v>9.8000000000000007</v>
      </c>
      <c r="AN277">
        <v>171.4</v>
      </c>
    </row>
    <row r="278" spans="1:40" x14ac:dyDescent="0.25">
      <c r="A278" s="5" t="s">
        <v>848</v>
      </c>
      <c r="B278" s="6" t="s">
        <v>849</v>
      </c>
      <c r="C278" s="7" t="s">
        <v>850</v>
      </c>
      <c r="D278" s="7" t="s">
        <v>850</v>
      </c>
      <c r="E278" s="7" t="s">
        <v>22</v>
      </c>
      <c r="F278" s="7" t="s">
        <v>848</v>
      </c>
      <c r="G278" s="7" t="str" cm="1">
        <f t="array" ref="G278">INDEX('municipalities per province'!F:F,MATCH(municipalities!A278,'municipalities per province'!B:B,0),0)</f>
        <v>Overijssel</v>
      </c>
      <c r="H278" s="7" t="str" cm="1">
        <f t="array" ref="H278">INDEX('municipalities per province'!E:E,MATCH(municipalities!$A278,'municipalities per province'!$B:$B,0),0)</f>
        <v>PV23</v>
      </c>
      <c r="I278" s="7" t="str" cm="1">
        <f t="array" ref="I278">INDEX('municipalities per province'!G:G,MATCH(municipalities!$A278,'municipalities per province'!$B:$B,0),0)</f>
        <v>Twente</v>
      </c>
      <c r="J278" s="7" t="str" cm="1">
        <f t="array" ref="J278">INDEX('municipalities per province'!H:H,MATCH(municipalities!$A278,'municipalities per province'!$B:$B,0),0)</f>
        <v>ES04</v>
      </c>
      <c r="K278" s="7" cm="1">
        <f t="array" ref="K278">INDEX(coordinates!C:C,MATCH(municipalities!$A278,coordinates!$A:$A,0),0)</f>
        <v>6.5980590848999556</v>
      </c>
      <c r="L278" s="7" cm="1">
        <f t="array" ref="L278">INDEX(coordinates!D:D,MATCH(municipalities!$A278,coordinates!$A:$A,0),0)</f>
        <v>52.447886352396978</v>
      </c>
      <c r="M278" s="8">
        <v>1</v>
      </c>
      <c r="N278" s="9">
        <v>33867</v>
      </c>
      <c r="O278" s="9">
        <v>17154</v>
      </c>
      <c r="P278" s="9">
        <v>16713</v>
      </c>
      <c r="Q278" s="9">
        <v>4</v>
      </c>
      <c r="R278" s="10">
        <v>606</v>
      </c>
      <c r="S278" s="11">
        <v>66</v>
      </c>
      <c r="T278" s="11">
        <v>34</v>
      </c>
      <c r="U278" s="12">
        <f t="shared" si="32"/>
        <v>31.6</v>
      </c>
      <c r="V278" s="12">
        <f t="shared" si="33"/>
        <v>4.4000000000000004</v>
      </c>
      <c r="W278" s="12">
        <f t="shared" si="34"/>
        <v>7.7</v>
      </c>
      <c r="X278" s="12">
        <f t="shared" si="35"/>
        <v>10.7</v>
      </c>
      <c r="Y278" s="12">
        <f t="shared" si="36"/>
        <v>121.9</v>
      </c>
      <c r="Z278" s="12" cm="1">
        <f t="array" ref="Z278">INDEX(municipality_wind_potential!$X:$X,MATCH(municipalities!$F278,municipality_wind_potential!$E:$E,0),0)</f>
        <v>44</v>
      </c>
      <c r="AA278" s="12">
        <f t="shared" si="37"/>
        <v>246.39999999999998</v>
      </c>
      <c r="AB278" s="12" cm="1">
        <f t="array" ref="AB278">INDEX(municipality_wind_potential!$Y:$Y,MATCH(municipalities!$F278,municipality_wind_potential!$E:$E,0),0) / 3.6</f>
        <v>709.63333333333333</v>
      </c>
      <c r="AC278" s="12">
        <f t="shared" si="38"/>
        <v>83.41672666186706</v>
      </c>
      <c r="AD278" s="12" cm="1">
        <f t="array" ref="AD278">INDEX(municipality_pv_potential!$G:$G,MATCH(municipalities!$A278,municipality_pv_potential!$E:$E,0),0)/3.6*$AH$4</f>
        <v>77.24388888888889</v>
      </c>
      <c r="AE278" s="12">
        <f t="shared" si="39"/>
        <v>330.34257259419246</v>
      </c>
      <c r="AF278" s="12" cm="1">
        <f t="array" ref="AF278">INDEX(municipality_pv_potential!$H:$H,MATCH(municipalities!$A278,municipality_pv_potential!$E:$E,0),0)/3.6</f>
        <v>305.89722222222224</v>
      </c>
      <c r="AG278" s="12"/>
      <c r="AJ278">
        <v>31.6</v>
      </c>
      <c r="AK278">
        <v>4.4000000000000004</v>
      </c>
      <c r="AL278">
        <v>7.7</v>
      </c>
      <c r="AM278">
        <v>10.7</v>
      </c>
      <c r="AN278">
        <v>121.9</v>
      </c>
    </row>
    <row r="279" spans="1:40" x14ac:dyDescent="0.25">
      <c r="A279" s="5" t="s">
        <v>851</v>
      </c>
      <c r="B279" s="6" t="s">
        <v>852</v>
      </c>
      <c r="C279" s="7" t="s">
        <v>853</v>
      </c>
      <c r="D279" s="7" t="s">
        <v>853</v>
      </c>
      <c r="E279" s="7" t="s">
        <v>22</v>
      </c>
      <c r="F279" s="7" t="s">
        <v>851</v>
      </c>
      <c r="G279" s="7" t="str" cm="1">
        <f t="array" ref="G279">INDEX('municipalities per province'!F:F,MATCH(municipalities!A279,'municipalities per province'!B:B,0),0)</f>
        <v>Drenthe</v>
      </c>
      <c r="H279" s="7" t="str" cm="1">
        <f t="array" ref="H279">INDEX('municipalities per province'!E:E,MATCH(municipalities!$A279,'municipalities per province'!$B:$B,0),0)</f>
        <v>PV22</v>
      </c>
      <c r="I279" s="7" t="str" cm="1">
        <f t="array" ref="I279">INDEX('municipalities per province'!G:G,MATCH(municipalities!$A279,'municipalities per province'!$B:$B,0),0)</f>
        <v>Drenthe</v>
      </c>
      <c r="J279" s="7" t="str" cm="1">
        <f t="array" ref="J279">INDEX('municipalities per province'!H:H,MATCH(municipalities!$A279,'municipalities per province'!$B:$B,0),0)</f>
        <v>ES03</v>
      </c>
      <c r="K279" s="7" cm="1">
        <f t="array" ref="K279">INDEX(coordinates!C:C,MATCH(municipalities!$A279,coordinates!$A:$A,0),0)</f>
        <v>6.2955345115272436</v>
      </c>
      <c r="L279" s="7" cm="1">
        <f t="array" ref="L279">INDEX(coordinates!D:D,MATCH(municipalities!$A279,coordinates!$A:$A,0),0)</f>
        <v>52.838203530186107</v>
      </c>
      <c r="M279" s="8">
        <v>1</v>
      </c>
      <c r="N279" s="9">
        <v>19860</v>
      </c>
      <c r="O279" s="9">
        <v>9811</v>
      </c>
      <c r="P279" s="9">
        <v>10049</v>
      </c>
      <c r="Q279" s="9">
        <v>5</v>
      </c>
      <c r="R279" s="10">
        <v>216</v>
      </c>
      <c r="S279" s="11">
        <v>75</v>
      </c>
      <c r="T279" s="11">
        <v>25</v>
      </c>
      <c r="U279" s="12">
        <f t="shared" si="32"/>
        <v>35.4</v>
      </c>
      <c r="V279" s="12">
        <f t="shared" si="33"/>
        <v>4.5</v>
      </c>
      <c r="W279" s="12">
        <f t="shared" si="34"/>
        <v>6.9</v>
      </c>
      <c r="X279" s="12">
        <f t="shared" si="35"/>
        <v>8.9</v>
      </c>
      <c r="Y279" s="12">
        <f t="shared" si="36"/>
        <v>195.5</v>
      </c>
      <c r="Z279" s="12" cm="1">
        <f t="array" ref="Z279">INDEX(municipality_wind_potential!$X:$X,MATCH(municipalities!$F279,municipality_wind_potential!$E:$E,0),0)</f>
        <v>247</v>
      </c>
      <c r="AA279" s="12">
        <f t="shared" si="37"/>
        <v>1383.1999999999998</v>
      </c>
      <c r="AB279" s="12" cm="1">
        <f t="array" ref="AB279">INDEX(municipality_wind_potential!$Y:$Y,MATCH(municipalities!$F279,municipality_wind_potential!$E:$E,0),0) / 3.6</f>
        <v>4384.7444444444445</v>
      </c>
      <c r="AC279" s="12">
        <f t="shared" si="38"/>
        <v>63.301535877129822</v>
      </c>
      <c r="AD279" s="12" cm="1">
        <f t="array" ref="AD279">INDEX(municipality_pv_potential!$G:$G,MATCH(municipalities!$A279,municipality_pv_potential!$E:$E,0),0)/3.6*$AH$4</f>
        <v>58.61722222222221</v>
      </c>
      <c r="AE279" s="12">
        <f t="shared" si="39"/>
        <v>602.3428125749939</v>
      </c>
      <c r="AF279" s="12" cm="1">
        <f t="array" ref="AF279">INDEX(municipality_pv_potential!$H:$H,MATCH(municipalities!$A279,municipality_pv_potential!$E:$E,0),0)/3.6</f>
        <v>557.76944444444439</v>
      </c>
      <c r="AG279" s="12"/>
      <c r="AJ279">
        <v>35.4</v>
      </c>
      <c r="AK279">
        <v>4.5</v>
      </c>
      <c r="AL279">
        <v>6.9</v>
      </c>
      <c r="AM279">
        <v>8.9</v>
      </c>
      <c r="AN279">
        <v>195.5</v>
      </c>
    </row>
    <row r="280" spans="1:40" x14ac:dyDescent="0.25">
      <c r="A280" s="5" t="s">
        <v>854</v>
      </c>
      <c r="B280" s="6" t="s">
        <v>855</v>
      </c>
      <c r="C280" s="7" t="s">
        <v>856</v>
      </c>
      <c r="D280" s="7" t="s">
        <v>856</v>
      </c>
      <c r="E280" s="7" t="s">
        <v>22</v>
      </c>
      <c r="F280" s="7" t="s">
        <v>854</v>
      </c>
      <c r="G280" s="7" t="str" cm="1">
        <f t="array" ref="G280">INDEX('municipalities per province'!F:F,MATCH(municipalities!A280,'municipalities per province'!B:B,0),0)</f>
        <v>Gelderland</v>
      </c>
      <c r="H280" s="7" t="str" cm="1">
        <f t="array" ref="H280">INDEX('municipalities per province'!E:E,MATCH(municipalities!$A280,'municipalities per province'!$B:$B,0),0)</f>
        <v>PV25</v>
      </c>
      <c r="I280" s="7" t="str" cm="1">
        <f t="array" ref="I280">INDEX('municipalities per province'!G:G,MATCH(municipalities!$A280,'municipalities per province'!$B:$B,0),0)</f>
        <v>Arnhem/Nijmegen</v>
      </c>
      <c r="J280" s="7" t="str" cm="1">
        <f t="array" ref="J280">INDEX('municipalities per province'!H:H,MATCH(municipalities!$A280,'municipalities per province'!$B:$B,0),0)</f>
        <v>ES08</v>
      </c>
      <c r="K280" s="7" cm="1">
        <f t="array" ref="K280">INDEX(coordinates!C:C,MATCH(municipalities!$A280,coordinates!$A:$A,0),0)</f>
        <v>5.9422226732077981</v>
      </c>
      <c r="L280" s="7" cm="1">
        <f t="array" ref="L280">INDEX(coordinates!D:D,MATCH(municipalities!$A280,coordinates!$A:$A,0),0)</f>
        <v>51.901536833635213</v>
      </c>
      <c r="M280" s="8">
        <v>1</v>
      </c>
      <c r="N280" s="9">
        <v>47220</v>
      </c>
      <c r="O280" s="9">
        <v>23408</v>
      </c>
      <c r="P280" s="9">
        <v>23812</v>
      </c>
      <c r="Q280" s="9">
        <v>4</v>
      </c>
      <c r="R280" s="10">
        <v>974</v>
      </c>
      <c r="S280" s="11">
        <v>73</v>
      </c>
      <c r="T280" s="11">
        <v>27</v>
      </c>
      <c r="U280" s="12">
        <f t="shared" si="32"/>
        <v>34.4</v>
      </c>
      <c r="V280" s="12">
        <f t="shared" si="33"/>
        <v>3.8</v>
      </c>
      <c r="W280" s="12">
        <f t="shared" si="34"/>
        <v>6.3</v>
      </c>
      <c r="X280" s="12">
        <f t="shared" si="35"/>
        <v>8.6999999999999993</v>
      </c>
      <c r="Y280" s="12">
        <f t="shared" si="36"/>
        <v>158.30000000000001</v>
      </c>
      <c r="Z280" s="12" cm="1">
        <f t="array" ref="Z280">INDEX(municipality_wind_potential!$X:$X,MATCH(municipalities!$F280,municipality_wind_potential!$E:$E,0),0)</f>
        <v>23</v>
      </c>
      <c r="AA280" s="12">
        <f t="shared" si="37"/>
        <v>128.79999999999998</v>
      </c>
      <c r="AB280" s="12" cm="1">
        <f t="array" ref="AB280">INDEX(municipality_wind_potential!$Y:$Y,MATCH(municipalities!$F280,municipality_wind_potential!$E:$E,0),0) / 3.6</f>
        <v>370.94444444444446</v>
      </c>
      <c r="AC280" s="12">
        <f t="shared" si="38"/>
        <v>79.080273578113761</v>
      </c>
      <c r="AD280" s="12" cm="1">
        <f t="array" ref="AD280">INDEX(municipality_pv_potential!$G:$G,MATCH(municipalities!$A280,municipality_pv_potential!$E:$E,0),0)/3.6*$AH$4</f>
        <v>73.228333333333339</v>
      </c>
      <c r="AE280" s="12">
        <f t="shared" si="39"/>
        <v>151.25089992800574</v>
      </c>
      <c r="AF280" s="12" cm="1">
        <f t="array" ref="AF280">INDEX(municipality_pv_potential!$H:$H,MATCH(municipalities!$A280,municipality_pv_potential!$E:$E,0),0)/3.6</f>
        <v>140.05833333333334</v>
      </c>
      <c r="AG280" s="12"/>
      <c r="AJ280">
        <v>34.4</v>
      </c>
      <c r="AK280">
        <v>3.8</v>
      </c>
      <c r="AL280">
        <v>6.3</v>
      </c>
      <c r="AM280">
        <v>8.6999999999999993</v>
      </c>
      <c r="AN280">
        <v>158.30000000000001</v>
      </c>
    </row>
    <row r="281" spans="1:40" x14ac:dyDescent="0.25">
      <c r="A281" s="5" t="s">
        <v>857</v>
      </c>
      <c r="B281" s="6" t="s">
        <v>858</v>
      </c>
      <c r="C281" s="7" t="s">
        <v>859</v>
      </c>
      <c r="D281" s="7" t="s">
        <v>859</v>
      </c>
      <c r="E281" s="7" t="s">
        <v>22</v>
      </c>
      <c r="F281" s="7" t="s">
        <v>857</v>
      </c>
      <c r="G281" s="7" t="str" cm="1">
        <f t="array" ref="G281">INDEX('municipalities per province'!F:F,MATCH(municipalities!A281,'municipalities per province'!B:B,0),0)</f>
        <v>Noord-Brabant</v>
      </c>
      <c r="H281" s="7" t="str" cm="1">
        <f t="array" ref="H281">INDEX('municipalities per province'!E:E,MATCH(municipalities!$A281,'municipalities per province'!$B:$B,0),0)</f>
        <v>PV30</v>
      </c>
      <c r="I281" s="7" t="str" cm="1">
        <f t="array" ref="I281">INDEX('municipalities per province'!G:G,MATCH(municipalities!$A281,'municipalities per province'!$B:$B,0),0)</f>
        <v>MetropoolregioEindhoven</v>
      </c>
      <c r="J281" s="7" t="str" cm="1">
        <f t="array" ref="J281">INDEX('municipalities per province'!H:H,MATCH(municipalities!$A281,'municipalities per province'!$B:$B,0),0)</f>
        <v>ES26</v>
      </c>
      <c r="K281" s="7" cm="1">
        <f t="array" ref="K281">INDEX(coordinates!C:C,MATCH(municipalities!$A281,coordinates!$A:$A,0),0)</f>
        <v>5.5961949008048659</v>
      </c>
      <c r="L281" s="7" cm="1">
        <f t="array" ref="L281">INDEX(coordinates!D:D,MATCH(municipalities!$A281,coordinates!$A:$A,0),0)</f>
        <v>51.286293760705838</v>
      </c>
      <c r="M281" s="8">
        <v>1</v>
      </c>
      <c r="N281" s="9">
        <v>20851</v>
      </c>
      <c r="O281" s="9">
        <v>10535</v>
      </c>
      <c r="P281" s="9">
        <v>10316</v>
      </c>
      <c r="Q281" s="9">
        <v>4</v>
      </c>
      <c r="R281" s="10">
        <v>598</v>
      </c>
      <c r="S281" s="11">
        <v>74</v>
      </c>
      <c r="T281" s="11">
        <v>26</v>
      </c>
      <c r="U281" s="12">
        <f t="shared" si="32"/>
        <v>34.6</v>
      </c>
      <c r="V281" s="12">
        <f t="shared" si="33"/>
        <v>3.9</v>
      </c>
      <c r="W281" s="12">
        <f t="shared" si="34"/>
        <v>6.1</v>
      </c>
      <c r="X281" s="12">
        <f t="shared" si="35"/>
        <v>8.1999999999999993</v>
      </c>
      <c r="Y281" s="12">
        <f t="shared" si="36"/>
        <v>199.9</v>
      </c>
      <c r="Z281" s="12" cm="1">
        <f t="array" ref="Z281">INDEX(municipality_wind_potential!$X:$X,MATCH(municipalities!$F281,municipality_wind_potential!$E:$E,0),0)</f>
        <v>14</v>
      </c>
      <c r="AA281" s="12">
        <f t="shared" si="37"/>
        <v>78.399999999999991</v>
      </c>
      <c r="AB281" s="12" cm="1">
        <f t="array" ref="AB281">INDEX(municipality_wind_potential!$Y:$Y,MATCH(municipalities!$F281,municipality_wind_potential!$E:$E,0),0) / 3.6</f>
        <v>200.3388888888889</v>
      </c>
      <c r="AC281" s="12">
        <f t="shared" si="38"/>
        <v>60.25677945764339</v>
      </c>
      <c r="AD281" s="12" cm="1">
        <f t="array" ref="AD281">INDEX(municipality_pv_potential!$G:$G,MATCH(municipalities!$A281,municipality_pv_potential!$E:$E,0),0)/3.6*$AH$4</f>
        <v>55.797777777777782</v>
      </c>
      <c r="AE281" s="12">
        <f t="shared" si="39"/>
        <v>149.53503719702425</v>
      </c>
      <c r="AF281" s="12" cm="1">
        <f t="array" ref="AF281">INDEX(municipality_pv_potential!$H:$H,MATCH(municipalities!$A281,municipality_pv_potential!$E:$E,0),0)/3.6</f>
        <v>138.46944444444443</v>
      </c>
      <c r="AG281" s="12"/>
      <c r="AJ281">
        <v>34.6</v>
      </c>
      <c r="AK281">
        <v>3.9</v>
      </c>
      <c r="AL281">
        <v>6.1</v>
      </c>
      <c r="AM281">
        <v>8.1999999999999993</v>
      </c>
      <c r="AN281">
        <v>199.9</v>
      </c>
    </row>
    <row r="282" spans="1:40" x14ac:dyDescent="0.25">
      <c r="A282" s="5" t="s">
        <v>860</v>
      </c>
      <c r="B282" s="6" t="s">
        <v>861</v>
      </c>
      <c r="C282" s="7" t="s">
        <v>862</v>
      </c>
      <c r="D282" s="7" t="s">
        <v>862</v>
      </c>
      <c r="E282" s="7" t="s">
        <v>22</v>
      </c>
      <c r="F282" s="7" t="s">
        <v>860</v>
      </c>
      <c r="G282" s="7" t="str" cm="1">
        <f t="array" ref="G282">INDEX('municipalities per province'!F:F,MATCH(municipalities!A282,'municipalities per province'!B:B,0),0)</f>
        <v>Overijssel</v>
      </c>
      <c r="H282" s="7" t="str" cm="1">
        <f t="array" ref="H282">INDEX('municipalities per province'!E:E,MATCH(municipalities!$A282,'municipalities per province'!$B:$B,0),0)</f>
        <v>PV23</v>
      </c>
      <c r="I282" s="7" t="str" cm="1">
        <f t="array" ref="I282">INDEX('municipalities per province'!G:G,MATCH(municipalities!$A282,'municipalities per province'!$B:$B,0),0)</f>
        <v>West-Overijssel</v>
      </c>
      <c r="J282" s="7" t="str" cm="1">
        <f t="array" ref="J282">INDEX('municipalities per province'!H:H,MATCH(municipalities!$A282,'municipalities per province'!$B:$B,0),0)</f>
        <v>ES05</v>
      </c>
      <c r="K282" s="7" cm="1">
        <f t="array" ref="K282">INDEX(coordinates!C:C,MATCH(municipalities!$A282,coordinates!$A:$A,0),0)</f>
        <v>6.001336376198644</v>
      </c>
      <c r="L282" s="7" cm="1">
        <f t="array" ref="L282">INDEX(coordinates!D:D,MATCH(municipalities!$A282,coordinates!$A:$A,0),0)</f>
        <v>52.652153842861978</v>
      </c>
      <c r="M282" s="8">
        <v>1</v>
      </c>
      <c r="N282" s="9">
        <v>45376</v>
      </c>
      <c r="O282" s="9">
        <v>22816</v>
      </c>
      <c r="P282" s="9">
        <v>22560</v>
      </c>
      <c r="Q282" s="9">
        <v>4</v>
      </c>
      <c r="R282" s="10">
        <v>592</v>
      </c>
      <c r="S282" s="11">
        <v>65</v>
      </c>
      <c r="T282" s="11">
        <v>34</v>
      </c>
      <c r="U282" s="12">
        <f t="shared" si="32"/>
        <v>32.200000000000003</v>
      </c>
      <c r="V282" s="12">
        <f t="shared" si="33"/>
        <v>5</v>
      </c>
      <c r="W282" s="12">
        <f t="shared" si="34"/>
        <v>8.6</v>
      </c>
      <c r="X282" s="12">
        <f t="shared" si="35"/>
        <v>11.5</v>
      </c>
      <c r="Y282" s="12">
        <f t="shared" si="36"/>
        <v>105.6</v>
      </c>
      <c r="Z282" s="12" cm="1">
        <f t="array" ref="Z282">INDEX(municipality_wind_potential!$X:$X,MATCH(municipalities!$F282,municipality_wind_potential!$E:$E,0),0)</f>
        <v>224</v>
      </c>
      <c r="AA282" s="12">
        <f t="shared" si="37"/>
        <v>1254.3999999999999</v>
      </c>
      <c r="AB282" s="12" cm="1">
        <f t="array" ref="AB282">INDEX(municipality_wind_potential!$Y:$Y,MATCH(municipalities!$F282,municipality_wind_potential!$E:$E,0),0) / 3.6</f>
        <v>3976.4472222222221</v>
      </c>
      <c r="AC282" s="12">
        <f t="shared" si="38"/>
        <v>117.31341492680588</v>
      </c>
      <c r="AD282" s="12" cm="1">
        <f t="array" ref="AD282">INDEX(municipality_pv_potential!$G:$G,MATCH(municipalities!$A282,municipality_pv_potential!$E:$E,0),0)/3.6*$AH$4</f>
        <v>108.63222222222224</v>
      </c>
      <c r="AE282" s="12">
        <f t="shared" si="39"/>
        <v>804.84161267098625</v>
      </c>
      <c r="AF282" s="12" cm="1">
        <f t="array" ref="AF282">INDEX(municipality_pv_potential!$H:$H,MATCH(municipalities!$A282,municipality_pv_potential!$E:$E,0),0)/3.6</f>
        <v>745.2833333333333</v>
      </c>
      <c r="AG282" s="12"/>
      <c r="AJ282">
        <v>32.200000000000003</v>
      </c>
      <c r="AK282">
        <v>5</v>
      </c>
      <c r="AL282">
        <v>8.6</v>
      </c>
      <c r="AM282">
        <v>11.5</v>
      </c>
      <c r="AN282">
        <v>105.6</v>
      </c>
    </row>
    <row r="283" spans="1:40" x14ac:dyDescent="0.25">
      <c r="A283" s="5" t="s">
        <v>863</v>
      </c>
      <c r="B283" s="6" t="s">
        <v>864</v>
      </c>
      <c r="C283" s="7" t="s">
        <v>865</v>
      </c>
      <c r="D283" s="7" t="s">
        <v>865</v>
      </c>
      <c r="E283" s="7" t="s">
        <v>22</v>
      </c>
      <c r="F283" s="7" t="s">
        <v>863</v>
      </c>
      <c r="G283" s="7" t="str" cm="1">
        <f t="array" ref="G283">INDEX('municipalities per province'!F:F,MATCH(municipalities!A283,'municipalities per province'!B:B,0),0)</f>
        <v>Noord-Brabant</v>
      </c>
      <c r="H283" s="7" t="str" cm="1">
        <f t="array" ref="H283">INDEX('municipalities per province'!E:E,MATCH(municipalities!$A283,'municipalities per province'!$B:$B,0),0)</f>
        <v>PV30</v>
      </c>
      <c r="I283" s="7" t="str" cm="1">
        <f t="array" ref="I283">INDEX('municipalities per province'!G:G,MATCH(municipalities!$A283,'municipalities per province'!$B:$B,0),0)</f>
        <v>West-Brabant</v>
      </c>
      <c r="J283" s="7" t="str" cm="1">
        <f t="array" ref="J283">INDEX('municipalities per province'!H:H,MATCH(municipalities!$A283,'municipalities per province'!$B:$B,0),0)</f>
        <v>ES28</v>
      </c>
      <c r="K283" s="7" cm="1">
        <f t="array" ref="K283">INDEX(coordinates!C:C,MATCH(municipalities!$A283,coordinates!$A:$A,0),0)</f>
        <v>4.4840902708629482</v>
      </c>
      <c r="L283" s="7" cm="1">
        <f t="array" ref="L283">INDEX(coordinates!D:D,MATCH(municipalities!$A283,coordinates!$A:$A,0),0)</f>
        <v>51.692471928509207</v>
      </c>
      <c r="M283" s="8">
        <v>1</v>
      </c>
      <c r="N283" s="9">
        <v>37711</v>
      </c>
      <c r="O283" s="9">
        <v>18903</v>
      </c>
      <c r="P283" s="9">
        <v>18808</v>
      </c>
      <c r="Q283" s="9">
        <v>4</v>
      </c>
      <c r="R283" s="10">
        <v>750</v>
      </c>
      <c r="S283" s="11">
        <v>66</v>
      </c>
      <c r="T283" s="11">
        <v>34</v>
      </c>
      <c r="U283" s="12">
        <f t="shared" si="32"/>
        <v>34.5</v>
      </c>
      <c r="V283" s="12">
        <f t="shared" si="33"/>
        <v>4.3</v>
      </c>
      <c r="W283" s="12">
        <f t="shared" si="34"/>
        <v>6.7</v>
      </c>
      <c r="X283" s="12">
        <f t="shared" si="35"/>
        <v>9.1999999999999993</v>
      </c>
      <c r="Y283" s="12">
        <f t="shared" si="36"/>
        <v>115.7</v>
      </c>
      <c r="Z283" s="12" cm="1">
        <f t="array" ref="Z283">INDEX(municipality_wind_potential!$X:$X,MATCH(municipalities!$F283,municipality_wind_potential!$E:$E,0),0)</f>
        <v>100</v>
      </c>
      <c r="AA283" s="12">
        <f t="shared" si="37"/>
        <v>560</v>
      </c>
      <c r="AB283" s="12" cm="1">
        <f t="array" ref="AB283">INDEX(municipality_wind_potential!$Y:$Y,MATCH(municipalities!$F283,municipality_wind_potential!$E:$E,0),0) / 3.6</f>
        <v>1766.325</v>
      </c>
      <c r="AC283" s="12">
        <f t="shared" si="38"/>
        <v>125.59215262778977</v>
      </c>
      <c r="AD283" s="12" cm="1">
        <f t="array" ref="AD283">INDEX(municipality_pv_potential!$G:$G,MATCH(municipalities!$A283,municipality_pv_potential!$E:$E,0),0)/3.6*$AH$4</f>
        <v>116.29833333333335</v>
      </c>
      <c r="AE283" s="12">
        <f t="shared" si="39"/>
        <v>559.8812095032398</v>
      </c>
      <c r="AF283" s="12" cm="1">
        <f t="array" ref="AF283">INDEX(municipality_pv_potential!$H:$H,MATCH(municipalities!$A283,municipality_pv_potential!$E:$E,0),0)/3.6</f>
        <v>518.45000000000005</v>
      </c>
      <c r="AG283" s="12"/>
      <c r="AJ283">
        <v>34.5</v>
      </c>
      <c r="AK283">
        <v>4.3</v>
      </c>
      <c r="AL283">
        <v>6.7</v>
      </c>
      <c r="AM283">
        <v>9.1999999999999993</v>
      </c>
      <c r="AN283">
        <v>115.7</v>
      </c>
    </row>
    <row r="284" spans="1:40" x14ac:dyDescent="0.25">
      <c r="A284" s="5" t="s">
        <v>866</v>
      </c>
      <c r="B284" s="6" t="s">
        <v>867</v>
      </c>
      <c r="C284" s="7" t="s">
        <v>868</v>
      </c>
      <c r="D284" s="7" t="s">
        <v>868</v>
      </c>
      <c r="E284" s="7" t="s">
        <v>22</v>
      </c>
      <c r="F284" s="7" t="s">
        <v>866</v>
      </c>
      <c r="G284" s="7" t="str" cm="1">
        <f t="array" ref="G284">INDEX('municipalities per province'!F:F,MATCH(municipalities!A284,'municipalities per province'!B:B,0),0)</f>
        <v>Limburg</v>
      </c>
      <c r="H284" s="7" t="str" cm="1">
        <f t="array" ref="H284">INDEX('municipalities per province'!E:E,MATCH(municipalities!$A284,'municipalities per province'!$B:$B,0),0)</f>
        <v>PV31</v>
      </c>
      <c r="I284" s="7" t="str" cm="1">
        <f t="array" ref="I284">INDEX('municipalities per province'!G:G,MATCH(municipalities!$A284,'municipalities per province'!$B:$B,0),0)</f>
        <v>Noord-enMidden-Limburg</v>
      </c>
      <c r="J284" s="7" t="str" cm="1">
        <f t="array" ref="J284">INDEX('municipalities per province'!H:H,MATCH(municipalities!$A284,'municipalities per province'!$B:$B,0),0)</f>
        <v>ES29</v>
      </c>
      <c r="K284" s="7" cm="1">
        <f t="array" ref="K284">INDEX(coordinates!C:C,MATCH(municipalities!$A284,coordinates!$A:$A,0),0)</f>
        <v>5.9082112284794581</v>
      </c>
      <c r="L284" s="7" cm="1">
        <f t="array" ref="L284">INDEX(coordinates!D:D,MATCH(municipalities!$A284,coordinates!$A:$A,0),0)</f>
        <v>51.085040285311713</v>
      </c>
      <c r="M284" s="8">
        <v>1</v>
      </c>
      <c r="N284" s="9">
        <v>31967</v>
      </c>
      <c r="O284" s="9">
        <v>16030</v>
      </c>
      <c r="P284" s="9">
        <v>15937</v>
      </c>
      <c r="Q284" s="9">
        <v>4</v>
      </c>
      <c r="R284" s="10">
        <v>732</v>
      </c>
      <c r="S284" s="11">
        <v>70</v>
      </c>
      <c r="T284" s="11">
        <v>29</v>
      </c>
      <c r="U284" s="12">
        <f t="shared" si="32"/>
        <v>33.1</v>
      </c>
      <c r="V284" s="12">
        <f t="shared" si="33"/>
        <v>4.5</v>
      </c>
      <c r="W284" s="12">
        <f t="shared" si="34"/>
        <v>7.3</v>
      </c>
      <c r="X284" s="12">
        <f t="shared" si="35"/>
        <v>9.8000000000000007</v>
      </c>
      <c r="Y284" s="12">
        <f t="shared" si="36"/>
        <v>155.4</v>
      </c>
      <c r="Z284" s="12" cm="1">
        <f t="array" ref="Z284">INDEX(municipality_wind_potential!$X:$X,MATCH(municipalities!$F284,municipality_wind_potential!$E:$E,0),0)</f>
        <v>56</v>
      </c>
      <c r="AA284" s="12">
        <f t="shared" si="37"/>
        <v>313.59999999999997</v>
      </c>
      <c r="AB284" s="12" cm="1">
        <f t="array" ref="AB284">INDEX(municipality_wind_potential!$Y:$Y,MATCH(municipalities!$F284,municipality_wind_potential!$E:$E,0),0) / 3.6</f>
        <v>831.03888888888878</v>
      </c>
      <c r="AC284" s="12">
        <f t="shared" si="38"/>
        <v>80.376769858411322</v>
      </c>
      <c r="AD284" s="12" cm="1">
        <f t="array" ref="AD284">INDEX(municipality_pv_potential!$G:$G,MATCH(municipalities!$A284,municipality_pv_potential!$E:$E,0),0)/3.6*$AH$4</f>
        <v>74.428888888888892</v>
      </c>
      <c r="AE284" s="12">
        <f t="shared" si="39"/>
        <v>312.66798656107511</v>
      </c>
      <c r="AF284" s="12" cm="1">
        <f t="array" ref="AF284">INDEX(municipality_pv_potential!$H:$H,MATCH(municipalities!$A284,municipality_pv_potential!$E:$E,0),0)/3.6</f>
        <v>289.53055555555551</v>
      </c>
      <c r="AG284" s="12"/>
      <c r="AJ284">
        <v>33.1</v>
      </c>
      <c r="AK284">
        <v>4.5</v>
      </c>
      <c r="AL284">
        <v>7.3</v>
      </c>
      <c r="AM284">
        <v>9.8000000000000007</v>
      </c>
      <c r="AN284">
        <v>155.4</v>
      </c>
    </row>
    <row r="285" spans="1:40" x14ac:dyDescent="0.25">
      <c r="A285" s="5" t="s">
        <v>869</v>
      </c>
      <c r="B285" s="6" t="s">
        <v>870</v>
      </c>
      <c r="C285" s="7" t="s">
        <v>871</v>
      </c>
      <c r="D285" s="7" t="s">
        <v>871</v>
      </c>
      <c r="E285" s="7" t="s">
        <v>22</v>
      </c>
      <c r="F285" s="7" t="s">
        <v>869</v>
      </c>
      <c r="G285" s="7" t="str" cm="1">
        <f t="array" ref="G285">INDEX('municipalities per province'!F:F,MATCH(municipalities!A285,'municipalities per province'!B:B,0),0)</f>
        <v>Zeeland</v>
      </c>
      <c r="H285" s="7" t="str" cm="1">
        <f t="array" ref="H285">INDEX('municipalities per province'!E:E,MATCH(municipalities!$A285,'municipalities per province'!$B:$B,0),0)</f>
        <v>PV29</v>
      </c>
      <c r="I285" s="7" t="str" cm="1">
        <f t="array" ref="I285">INDEX('municipalities per province'!G:G,MATCH(municipalities!$A285,'municipalities per province'!$B:$B,0),0)</f>
        <v>Zeeland</v>
      </c>
      <c r="J285" s="7" t="str" cm="1">
        <f t="array" ref="J285">INDEX('municipalities per province'!H:H,MATCH(municipalities!$A285,'municipalities per province'!$B:$B,0),0)</f>
        <v>ES24</v>
      </c>
      <c r="K285" s="7" cm="1">
        <f t="array" ref="K285">INDEX(coordinates!C:C,MATCH(municipalities!$A285,coordinates!$A:$A,0),0)</f>
        <v>3.6147568072768239</v>
      </c>
      <c r="L285" s="7" cm="1">
        <f t="array" ref="L285">INDEX(coordinates!D:D,MATCH(municipalities!$A285,coordinates!$A:$A,0),0)</f>
        <v>51.390065159469223</v>
      </c>
      <c r="M285" s="8">
        <v>1</v>
      </c>
      <c r="N285" s="9">
        <v>23243</v>
      </c>
      <c r="O285" s="9">
        <v>11518</v>
      </c>
      <c r="P285" s="9">
        <v>11725</v>
      </c>
      <c r="Q285" s="9">
        <v>5</v>
      </c>
      <c r="R285" s="10">
        <v>440</v>
      </c>
      <c r="S285" s="11">
        <v>67</v>
      </c>
      <c r="T285" s="11">
        <v>28</v>
      </c>
      <c r="U285" s="12">
        <f t="shared" si="32"/>
        <v>32.6</v>
      </c>
      <c r="V285" s="12">
        <f t="shared" si="33"/>
        <v>5.3</v>
      </c>
      <c r="W285" s="12">
        <f t="shared" si="34"/>
        <v>8.1999999999999993</v>
      </c>
      <c r="X285" s="12">
        <f t="shared" si="35"/>
        <v>11.1</v>
      </c>
      <c r="Y285" s="12">
        <f t="shared" si="36"/>
        <v>166.5</v>
      </c>
      <c r="Z285" s="12" cm="1">
        <f t="array" ref="Z285">INDEX(municipality_wind_potential!$X:$X,MATCH(municipalities!$F285,municipality_wind_potential!$E:$E,0),0)</f>
        <v>222</v>
      </c>
      <c r="AA285" s="12">
        <f t="shared" si="37"/>
        <v>1243.1999999999998</v>
      </c>
      <c r="AB285" s="12" cm="1">
        <f t="array" ref="AB285">INDEX(municipality_wind_potential!$Y:$Y,MATCH(municipalities!$F285,municipality_wind_potential!$E:$E,0),0) / 3.6</f>
        <v>3940.9444444444443</v>
      </c>
      <c r="AC285" s="12">
        <f t="shared" si="38"/>
        <v>87.907967362610989</v>
      </c>
      <c r="AD285" s="12" cm="1">
        <f t="array" ref="AD285">INDEX(municipality_pv_potential!$G:$G,MATCH(municipalities!$A285,municipality_pv_potential!$E:$E,0),0)/3.6*$AH$4</f>
        <v>81.402777777777771</v>
      </c>
      <c r="AE285" s="12">
        <f t="shared" si="39"/>
        <v>1171.7602591792656</v>
      </c>
      <c r="AF285" s="12" cm="1">
        <f t="array" ref="AF285">INDEX(municipality_pv_potential!$H:$H,MATCH(municipalities!$A285,municipality_pv_potential!$E:$E,0),0)/3.6</f>
        <v>1085.05</v>
      </c>
      <c r="AG285" s="12"/>
      <c r="AJ285">
        <v>32.6</v>
      </c>
      <c r="AK285">
        <v>5.3</v>
      </c>
      <c r="AL285">
        <v>8.1999999999999993</v>
      </c>
      <c r="AM285">
        <v>11.1</v>
      </c>
      <c r="AN285">
        <v>166.5</v>
      </c>
    </row>
    <row r="286" spans="1:40" x14ac:dyDescent="0.25">
      <c r="A286" s="5" t="s">
        <v>872</v>
      </c>
      <c r="B286" s="6" t="s">
        <v>873</v>
      </c>
      <c r="C286" s="7" t="s">
        <v>874</v>
      </c>
      <c r="D286" s="7" t="s">
        <v>874</v>
      </c>
      <c r="E286" s="7" t="s">
        <v>22</v>
      </c>
      <c r="F286" s="7" t="s">
        <v>872</v>
      </c>
      <c r="G286" s="7" t="str" cm="1">
        <f t="array" ref="G286">INDEX('municipalities per province'!F:F,MATCH(municipalities!A286,'municipalities per province'!B:B,0),0)</f>
        <v>Noord-Brabant</v>
      </c>
      <c r="H286" s="7" t="str" cm="1">
        <f t="array" ref="H286">INDEX('municipalities per province'!E:E,MATCH(municipalities!$A286,'municipalities per province'!$B:$B,0),0)</f>
        <v>PV30</v>
      </c>
      <c r="I286" s="7" t="str" cm="1">
        <f t="array" ref="I286">INDEX('municipalities per province'!G:G,MATCH(municipalities!$A286,'municipalities per province'!$B:$B,0),0)</f>
        <v>West-Brabant</v>
      </c>
      <c r="J286" s="7" t="str" cm="1">
        <f t="array" ref="J286">INDEX('municipalities per province'!H:H,MATCH(municipalities!$A286,'municipalities per province'!$B:$B,0),0)</f>
        <v>ES28</v>
      </c>
      <c r="K286" s="7" cm="1">
        <f t="array" ref="K286">INDEX(coordinates!C:C,MATCH(municipalities!$A286,coordinates!$A:$A,0),0)</f>
        <v>4.7587701474184838</v>
      </c>
      <c r="L286" s="7" cm="1">
        <f t="array" ref="L286">INDEX(coordinates!D:D,MATCH(municipalities!$A286,coordinates!$A:$A,0),0)</f>
        <v>51.700162072936919</v>
      </c>
      <c r="M286" s="8">
        <v>1</v>
      </c>
      <c r="N286" s="9">
        <v>27994</v>
      </c>
      <c r="O286" s="9">
        <v>13973</v>
      </c>
      <c r="P286" s="9">
        <v>14021</v>
      </c>
      <c r="Q286" s="9">
        <v>4</v>
      </c>
      <c r="R286" s="10">
        <v>817</v>
      </c>
      <c r="S286" s="11">
        <v>72</v>
      </c>
      <c r="T286" s="11">
        <v>28</v>
      </c>
      <c r="U286" s="12">
        <f t="shared" si="32"/>
        <v>35.6</v>
      </c>
      <c r="V286" s="12">
        <f t="shared" si="33"/>
        <v>2.9</v>
      </c>
      <c r="W286" s="12">
        <f t="shared" si="34"/>
        <v>4.7</v>
      </c>
      <c r="X286" s="12">
        <f t="shared" si="35"/>
        <v>7.1</v>
      </c>
      <c r="Y286" s="12">
        <f t="shared" si="36"/>
        <v>181</v>
      </c>
      <c r="Z286" s="12" cm="1">
        <f t="array" ref="Z286">INDEX(municipality_wind_potential!$X:$X,MATCH(municipalities!$F286,municipality_wind_potential!$E:$E,0),0)</f>
        <v>82</v>
      </c>
      <c r="AA286" s="12">
        <f t="shared" si="37"/>
        <v>459.2</v>
      </c>
      <c r="AB286" s="12" cm="1">
        <f t="array" ref="AB286">INDEX(municipality_wind_potential!$Y:$Y,MATCH(municipalities!$F286,municipality_wind_potential!$E:$E,0),0) / 3.6</f>
        <v>1314.4333333333334</v>
      </c>
      <c r="AC286" s="12">
        <f t="shared" si="38"/>
        <v>55.809335253179746</v>
      </c>
      <c r="AD286" s="12" cm="1">
        <f t="array" ref="AD286">INDEX(municipality_pv_potential!$G:$G,MATCH(municipalities!$A286,municipality_pv_potential!$E:$E,0),0)/3.6*$AH$4</f>
        <v>51.679444444444449</v>
      </c>
      <c r="AE286" s="12">
        <f t="shared" si="39"/>
        <v>301.72786177105831</v>
      </c>
      <c r="AF286" s="12" cm="1">
        <f t="array" ref="AF286">INDEX(municipality_pv_potential!$H:$H,MATCH(municipalities!$A286,municipality_pv_potential!$E:$E,0),0)/3.6</f>
        <v>279.39999999999998</v>
      </c>
      <c r="AG286" s="12"/>
      <c r="AJ286">
        <v>35.6</v>
      </c>
      <c r="AK286">
        <v>2.9</v>
      </c>
      <c r="AL286">
        <v>4.7</v>
      </c>
      <c r="AM286">
        <v>7.1</v>
      </c>
      <c r="AN286">
        <v>181</v>
      </c>
    </row>
    <row r="287" spans="1:40" x14ac:dyDescent="0.25">
      <c r="A287" s="5" t="s">
        <v>875</v>
      </c>
      <c r="B287" s="6" t="s">
        <v>876</v>
      </c>
      <c r="C287" s="7" t="s">
        <v>877</v>
      </c>
      <c r="D287" s="7" t="s">
        <v>877</v>
      </c>
      <c r="E287" s="7" t="s">
        <v>22</v>
      </c>
      <c r="F287" s="7" t="s">
        <v>875</v>
      </c>
      <c r="G287" s="7" t="str" cm="1">
        <f t="array" ref="G287">INDEX('municipalities per province'!F:F,MATCH(municipalities!A287,'municipalities per province'!B:B,0),0)</f>
        <v>Noord-Brabant</v>
      </c>
      <c r="H287" s="7" t="str" cm="1">
        <f t="array" ref="H287">INDEX('municipalities per province'!E:E,MATCH(municipalities!$A287,'municipalities per province'!$B:$B,0),0)</f>
        <v>PV30</v>
      </c>
      <c r="I287" s="7" t="str" cm="1">
        <f t="array" ref="I287">INDEX('municipalities per province'!G:G,MATCH(municipalities!$A287,'municipalities per province'!$B:$B,0),0)</f>
        <v>Noordoost-Brabant</v>
      </c>
      <c r="J287" s="7" t="str" cm="1">
        <f t="array" ref="J287">INDEX('municipalities per province'!H:H,MATCH(municipalities!$A287,'municipalities per province'!$B:$B,0),0)</f>
        <v>ES27</v>
      </c>
      <c r="K287" s="7" cm="1">
        <f t="array" ref="K287">INDEX(coordinates!C:C,MATCH(municipalities!$A287,coordinates!$A:$A,0),0)</f>
        <v>5.5206809323971617</v>
      </c>
      <c r="L287" s="7" cm="1">
        <f t="array" ref="L287">INDEX(coordinates!D:D,MATCH(municipalities!$A287,coordinates!$A:$A,0),0)</f>
        <v>51.684694082219323</v>
      </c>
      <c r="M287" s="8">
        <v>1</v>
      </c>
      <c r="N287" s="9">
        <v>32263</v>
      </c>
      <c r="O287" s="9">
        <v>16276</v>
      </c>
      <c r="P287" s="9">
        <v>15987</v>
      </c>
      <c r="Q287" s="9">
        <v>4</v>
      </c>
      <c r="R287" s="10">
        <v>697</v>
      </c>
      <c r="S287" s="11">
        <v>71</v>
      </c>
      <c r="T287" s="11">
        <v>29</v>
      </c>
      <c r="U287" s="12">
        <f t="shared" si="32"/>
        <v>36.6</v>
      </c>
      <c r="V287" s="12">
        <f t="shared" si="33"/>
        <v>3.3</v>
      </c>
      <c r="W287" s="12">
        <f t="shared" si="34"/>
        <v>5.3</v>
      </c>
      <c r="X287" s="12">
        <f t="shared" si="35"/>
        <v>7.5</v>
      </c>
      <c r="Y287" s="12">
        <f t="shared" si="36"/>
        <v>229.2</v>
      </c>
      <c r="Z287" s="12" cm="1">
        <f t="array" ref="Z287">INDEX(municipality_wind_potential!$X:$X,MATCH(municipalities!$F287,municipality_wind_potential!$E:$E,0),0)</f>
        <v>41</v>
      </c>
      <c r="AA287" s="12">
        <f t="shared" si="37"/>
        <v>229.6</v>
      </c>
      <c r="AB287" s="12" cm="1">
        <f t="array" ref="AB287">INDEX(municipality_wind_potential!$Y:$Y,MATCH(municipalities!$F287,municipality_wind_potential!$E:$E,0),0) / 3.6</f>
        <v>608.43888888888887</v>
      </c>
      <c r="AC287" s="12">
        <f t="shared" si="38"/>
        <v>97.357811375089994</v>
      </c>
      <c r="AD287" s="12" cm="1">
        <f t="array" ref="AD287">INDEX(municipality_pv_potential!$G:$G,MATCH(municipalities!$A287,municipality_pv_potential!$E:$E,0),0)/3.6*$AH$4</f>
        <v>90.153333333333336</v>
      </c>
      <c r="AE287" s="12">
        <f t="shared" si="39"/>
        <v>269.3814494840413</v>
      </c>
      <c r="AF287" s="12" cm="1">
        <f t="array" ref="AF287">INDEX(municipality_pv_potential!$H:$H,MATCH(municipalities!$A287,municipality_pv_potential!$E:$E,0),0)/3.6</f>
        <v>249.44722222222222</v>
      </c>
      <c r="AG287" s="12"/>
      <c r="AJ287">
        <v>36.6</v>
      </c>
      <c r="AK287">
        <v>3.3</v>
      </c>
      <c r="AL287">
        <v>5.3</v>
      </c>
      <c r="AM287">
        <v>7.5</v>
      </c>
      <c r="AN287">
        <v>229.2</v>
      </c>
    </row>
    <row r="288" spans="1:40" x14ac:dyDescent="0.25">
      <c r="A288" s="5" t="s">
        <v>878</v>
      </c>
      <c r="B288" s="6" t="s">
        <v>879</v>
      </c>
      <c r="C288" s="7" t="s">
        <v>880</v>
      </c>
      <c r="D288" s="7" t="s">
        <v>880</v>
      </c>
      <c r="E288" s="7" t="s">
        <v>22</v>
      </c>
      <c r="F288" s="7" t="s">
        <v>878</v>
      </c>
      <c r="G288" s="7" t="str" cm="1">
        <f t="array" ref="G288">INDEX('municipalities per province'!F:F,MATCH(municipalities!A288,'municipalities per province'!B:B,0),0)</f>
        <v>Noord-Brabant</v>
      </c>
      <c r="H288" s="7" t="str" cm="1">
        <f t="array" ref="H288">INDEX('municipalities per province'!E:E,MATCH(municipalities!$A288,'municipalities per province'!$B:$B,0),0)</f>
        <v>PV30</v>
      </c>
      <c r="I288" s="7" t="str" cm="1">
        <f t="array" ref="I288">INDEX('municipalities per province'!G:G,MATCH(municipalities!$A288,'municipalities per province'!$B:$B,0),0)</f>
        <v>West-Brabant</v>
      </c>
      <c r="J288" s="7" t="str" cm="1">
        <f t="array" ref="J288">INDEX('municipalities per province'!H:H,MATCH(municipalities!$A288,'municipalities per province'!$B:$B,0),0)</f>
        <v>ES28</v>
      </c>
      <c r="K288" s="7" cm="1">
        <f t="array" ref="K288">INDEX(coordinates!C:C,MATCH(municipalities!$A288,coordinates!$A:$A,0),0)</f>
        <v>4.887324822900128</v>
      </c>
      <c r="L288" s="7" cm="1">
        <f t="array" ref="L288">INDEX(coordinates!D:D,MATCH(municipalities!$A288,coordinates!$A:$A,0),0)</f>
        <v>51.501371975955323</v>
      </c>
      <c r="M288" s="8">
        <v>1</v>
      </c>
      <c r="N288" s="9">
        <v>10463</v>
      </c>
      <c r="O288" s="9">
        <v>5337</v>
      </c>
      <c r="P288" s="9">
        <v>5126</v>
      </c>
      <c r="Q288" s="9">
        <v>5</v>
      </c>
      <c r="R288" s="10">
        <v>324</v>
      </c>
      <c r="S288" s="11">
        <v>75</v>
      </c>
      <c r="T288" s="11">
        <v>25</v>
      </c>
      <c r="U288" s="12">
        <f t="shared" si="32"/>
        <v>37.799999999999997</v>
      </c>
      <c r="V288" s="12">
        <f t="shared" si="33"/>
        <v>3.9</v>
      </c>
      <c r="W288" s="12">
        <f t="shared" si="34"/>
        <v>5.9</v>
      </c>
      <c r="X288" s="12">
        <f t="shared" si="35"/>
        <v>7.2</v>
      </c>
      <c r="Y288" s="12">
        <f t="shared" si="36"/>
        <v>299.7</v>
      </c>
      <c r="Z288" s="12" cm="1">
        <f t="array" ref="Z288">INDEX(municipality_wind_potential!$X:$X,MATCH(municipalities!$F288,municipality_wind_potential!$E:$E,0),0)</f>
        <v>61</v>
      </c>
      <c r="AA288" s="12">
        <f t="shared" si="37"/>
        <v>341.59999999999997</v>
      </c>
      <c r="AB288" s="12" cm="1">
        <f t="array" ref="AB288">INDEX(municipality_wind_potential!$Y:$Y,MATCH(municipalities!$F288,municipality_wind_potential!$E:$E,0),0) / 3.6</f>
        <v>905.23888888888894</v>
      </c>
      <c r="AC288" s="12">
        <f t="shared" si="38"/>
        <v>47.182025437964967</v>
      </c>
      <c r="AD288" s="12" cm="1">
        <f t="array" ref="AD288">INDEX(municipality_pv_potential!$G:$G,MATCH(municipalities!$A288,municipality_pv_potential!$E:$E,0),0)/3.6*$AH$4</f>
        <v>43.690555555555555</v>
      </c>
      <c r="AE288" s="12">
        <f t="shared" si="39"/>
        <v>275.24898008159346</v>
      </c>
      <c r="AF288" s="12" cm="1">
        <f t="array" ref="AF288">INDEX(municipality_pv_potential!$H:$H,MATCH(municipalities!$A288,municipality_pv_potential!$E:$E,0),0)/3.6</f>
        <v>254.88055555555556</v>
      </c>
      <c r="AG288" s="12"/>
      <c r="AJ288">
        <v>37.799999999999997</v>
      </c>
      <c r="AK288">
        <v>3.9</v>
      </c>
      <c r="AL288">
        <v>5.9</v>
      </c>
      <c r="AM288">
        <v>7.2</v>
      </c>
      <c r="AN288">
        <v>299.7</v>
      </c>
    </row>
    <row r="289" spans="1:40" x14ac:dyDescent="0.25">
      <c r="A289" s="5" t="s">
        <v>881</v>
      </c>
      <c r="B289" s="6" t="s">
        <v>882</v>
      </c>
      <c r="C289" s="7" t="s">
        <v>883</v>
      </c>
      <c r="D289" s="7" t="s">
        <v>883</v>
      </c>
      <c r="E289" s="7" t="s">
        <v>22</v>
      </c>
      <c r="F289" s="7" t="s">
        <v>881</v>
      </c>
      <c r="G289" s="7" t="str" cm="1">
        <f t="array" ref="G289">INDEX('municipalities per province'!F:F,MATCH(municipalities!A289,'municipalities per province'!B:B,0),0)</f>
        <v>Noord-Brabant</v>
      </c>
      <c r="H289" s="7" t="str" cm="1">
        <f t="array" ref="H289">INDEX('municipalities per province'!E:E,MATCH(municipalities!$A289,'municipalities per province'!$B:$B,0),0)</f>
        <v>PV30</v>
      </c>
      <c r="I289" s="7" t="str" cm="1">
        <f t="array" ref="I289">INDEX('municipalities per province'!G:G,MATCH(municipalities!$A289,'municipalities per province'!$B:$B,0),0)</f>
        <v>MetropoolregioEindhoven</v>
      </c>
      <c r="J289" s="7" t="str" cm="1">
        <f t="array" ref="J289">INDEX('municipalities per province'!H:H,MATCH(municipalities!$A289,'municipalities per province'!$B:$B,0),0)</f>
        <v>ES26</v>
      </c>
      <c r="K289" s="7" cm="1">
        <f t="array" ref="K289">INDEX(coordinates!C:C,MATCH(municipalities!$A289,coordinates!$A:$A,0),0)</f>
        <v>5.340042150069424</v>
      </c>
      <c r="L289" s="7" cm="1">
        <f t="array" ref="L289">INDEX(coordinates!D:D,MATCH(municipalities!$A289,coordinates!$A:$A,0),0)</f>
        <v>51.310149258082561</v>
      </c>
      <c r="M289" s="8">
        <v>1</v>
      </c>
      <c r="N289" s="9">
        <v>19092</v>
      </c>
      <c r="O289" s="9">
        <v>9803</v>
      </c>
      <c r="P289" s="9">
        <v>9289</v>
      </c>
      <c r="Q289" s="9">
        <v>4</v>
      </c>
      <c r="R289" s="10">
        <v>505</v>
      </c>
      <c r="S289" s="11">
        <v>78</v>
      </c>
      <c r="T289" s="11">
        <v>22</v>
      </c>
      <c r="U289" s="12">
        <f t="shared" si="32"/>
        <v>36.6</v>
      </c>
      <c r="V289" s="12">
        <f t="shared" si="33"/>
        <v>3.1</v>
      </c>
      <c r="W289" s="12">
        <f t="shared" si="34"/>
        <v>5.0999999999999996</v>
      </c>
      <c r="X289" s="12">
        <f t="shared" si="35"/>
        <v>6.7</v>
      </c>
      <c r="Y289" s="12">
        <f t="shared" si="36"/>
        <v>272.5</v>
      </c>
      <c r="Z289" s="12" cm="1">
        <f t="array" ref="Z289">INDEX(municipality_wind_potential!$X:$X,MATCH(municipalities!$F289,municipality_wind_potential!$E:$E,0),0)</f>
        <v>79</v>
      </c>
      <c r="AA289" s="12">
        <f t="shared" si="37"/>
        <v>442.4</v>
      </c>
      <c r="AB289" s="12" cm="1">
        <f t="array" ref="AB289">INDEX(municipality_wind_potential!$Y:$Y,MATCH(municipalities!$F289,municipality_wind_potential!$E:$E,0),0) / 3.6</f>
        <v>1172.3611111111111</v>
      </c>
      <c r="AC289" s="12">
        <f t="shared" si="38"/>
        <v>64.84701223902087</v>
      </c>
      <c r="AD289" s="12" cm="1">
        <f t="array" ref="AD289">INDEX(municipality_pv_potential!$G:$G,MATCH(municipalities!$A289,municipality_pv_potential!$E:$E,0),0)/3.6*$AH$4</f>
        <v>60.048333333333325</v>
      </c>
      <c r="AE289" s="12">
        <f t="shared" si="39"/>
        <v>274.69102471802256</v>
      </c>
      <c r="AF289" s="12" cm="1">
        <f t="array" ref="AF289">INDEX(municipality_pv_potential!$H:$H,MATCH(municipalities!$A289,municipality_pv_potential!$E:$E,0),0)/3.6</f>
        <v>254.36388888888888</v>
      </c>
      <c r="AG289" s="12"/>
      <c r="AJ289">
        <v>36.6</v>
      </c>
      <c r="AK289">
        <v>3.1</v>
      </c>
      <c r="AL289">
        <v>5.0999999999999996</v>
      </c>
      <c r="AM289">
        <v>6.7</v>
      </c>
      <c r="AN289">
        <v>272.5</v>
      </c>
    </row>
    <row r="290" spans="1:40" x14ac:dyDescent="0.25">
      <c r="A290" s="5" t="s">
        <v>884</v>
      </c>
      <c r="B290" s="6" t="s">
        <v>885</v>
      </c>
      <c r="C290" s="7" t="s">
        <v>886</v>
      </c>
      <c r="D290" s="7" t="s">
        <v>886</v>
      </c>
      <c r="E290" s="7" t="s">
        <v>22</v>
      </c>
      <c r="F290" s="7" t="s">
        <v>884</v>
      </c>
      <c r="G290" s="7" t="str" cm="1">
        <f t="array" ref="G290">INDEX('municipalities per province'!F:F,MATCH(municipalities!A290,'municipalities per province'!B:B,0),0)</f>
        <v>Noord-Brabant</v>
      </c>
      <c r="H290" s="7" t="str" cm="1">
        <f t="array" ref="H290">INDEX('municipalities per province'!E:E,MATCH(municipalities!$A290,'municipalities per province'!$B:$B,0),0)</f>
        <v>PV30</v>
      </c>
      <c r="I290" s="7" t="str" cm="1">
        <f t="array" ref="I290">INDEX('municipalities per province'!G:G,MATCH(municipalities!$A290,'municipalities per province'!$B:$B,0),0)</f>
        <v>MetropoolregioEindhoven</v>
      </c>
      <c r="J290" s="7" t="str" cm="1">
        <f t="array" ref="J290">INDEX('municipalities per province'!H:H,MATCH(municipalities!$A290,'municipalities per province'!$B:$B,0),0)</f>
        <v>ES26</v>
      </c>
      <c r="K290" s="7" cm="1">
        <f t="array" ref="K290">INDEX(coordinates!C:C,MATCH(municipalities!$A290,coordinates!$A:$A,0),0)</f>
        <v>5.2387336197579204</v>
      </c>
      <c r="L290" s="7" cm="1">
        <f t="array" ref="L290">INDEX(coordinates!D:D,MATCH(municipalities!$A290,coordinates!$A:$A,0),0)</f>
        <v>51.372307156311791</v>
      </c>
      <c r="M290" s="8">
        <v>1</v>
      </c>
      <c r="N290" s="9">
        <v>21009</v>
      </c>
      <c r="O290" s="9">
        <v>10665</v>
      </c>
      <c r="P290" s="9">
        <v>10344</v>
      </c>
      <c r="Q290" s="9">
        <v>4</v>
      </c>
      <c r="R290" s="10">
        <v>708</v>
      </c>
      <c r="S290" s="11">
        <v>74</v>
      </c>
      <c r="T290" s="11">
        <v>26</v>
      </c>
      <c r="U290" s="12">
        <f t="shared" si="32"/>
        <v>35.9</v>
      </c>
      <c r="V290" s="12">
        <f t="shared" si="33"/>
        <v>3.3</v>
      </c>
      <c r="W290" s="12">
        <f t="shared" si="34"/>
        <v>5.3</v>
      </c>
      <c r="X290" s="12">
        <f t="shared" si="35"/>
        <v>7.3</v>
      </c>
      <c r="Y290" s="12">
        <f t="shared" si="36"/>
        <v>251.3</v>
      </c>
      <c r="Z290" s="12" cm="1">
        <f t="array" ref="Z290">INDEX(municipality_wind_potential!$X:$X,MATCH(municipalities!$F290,municipality_wind_potential!$E:$E,0),0)</f>
        <v>43</v>
      </c>
      <c r="AA290" s="12">
        <f t="shared" si="37"/>
        <v>240.79999999999998</v>
      </c>
      <c r="AB290" s="12" cm="1">
        <f t="array" ref="AB290">INDEX(municipality_wind_potential!$Y:$Y,MATCH(municipalities!$F290,municipality_wind_potential!$E:$E,0),0) / 3.6</f>
        <v>630.69999999999993</v>
      </c>
      <c r="AC290" s="12">
        <f t="shared" si="38"/>
        <v>71.514878809695233</v>
      </c>
      <c r="AD290" s="12" cm="1">
        <f t="array" ref="AD290">INDEX(municipality_pv_potential!$G:$G,MATCH(municipalities!$A290,municipality_pv_potential!$E:$E,0),0)/3.6*$AH$4</f>
        <v>66.222777777777779</v>
      </c>
      <c r="AE290" s="12">
        <f t="shared" si="39"/>
        <v>177.39080873530116</v>
      </c>
      <c r="AF290" s="12" cm="1">
        <f t="array" ref="AF290">INDEX(municipality_pv_potential!$H:$H,MATCH(municipalities!$A290,municipality_pv_potential!$E:$E,0),0)/3.6</f>
        <v>164.26388888888889</v>
      </c>
      <c r="AG290" s="12"/>
      <c r="AJ290">
        <v>35.9</v>
      </c>
      <c r="AK290">
        <v>3.3</v>
      </c>
      <c r="AL290">
        <v>5.3</v>
      </c>
      <c r="AM290">
        <v>7.3</v>
      </c>
      <c r="AN290">
        <v>251.3</v>
      </c>
    </row>
    <row r="291" spans="1:40" x14ac:dyDescent="0.25">
      <c r="A291" s="5" t="s">
        <v>887</v>
      </c>
      <c r="B291" s="6" t="s">
        <v>888</v>
      </c>
      <c r="C291" s="7" t="s">
        <v>889</v>
      </c>
      <c r="D291" s="7" t="s">
        <v>889</v>
      </c>
      <c r="E291" s="7" t="s">
        <v>22</v>
      </c>
      <c r="F291" s="7" t="s">
        <v>887</v>
      </c>
      <c r="G291" s="7" t="str" cm="1">
        <f t="array" ref="G291">INDEX('municipalities per province'!F:F,MATCH(municipalities!A291,'municipalities per province'!B:B,0),0)</f>
        <v>Limburg</v>
      </c>
      <c r="H291" s="7" t="str" cm="1">
        <f t="array" ref="H291">INDEX('municipalities per province'!E:E,MATCH(municipalities!$A291,'municipalities per province'!$B:$B,0),0)</f>
        <v>PV31</v>
      </c>
      <c r="I291" s="7" t="str" cm="1">
        <f t="array" ref="I291">INDEX('municipalities per province'!G:G,MATCH(municipalities!$A291,'municipalities per province'!$B:$B,0),0)</f>
        <v>Zuid-Limburg</v>
      </c>
      <c r="J291" s="7" t="str" cm="1">
        <f t="array" ref="J291">INDEX('municipalities per province'!H:H,MATCH(municipalities!$A291,'municipalities per province'!$B:$B,0),0)</f>
        <v>ES30</v>
      </c>
      <c r="K291" s="7" cm="1">
        <f t="array" ref="K291">INDEX(coordinates!C:C,MATCH(municipalities!$A291,coordinates!$A:$A,0),0)</f>
        <v>5.9001518761140384</v>
      </c>
      <c r="L291" s="7" cm="1">
        <f t="array" ref="L291">INDEX(coordinates!D:D,MATCH(municipalities!$A291,coordinates!$A:$A,0),0)</f>
        <v>50.802349658774901</v>
      </c>
      <c r="M291" s="8">
        <v>1</v>
      </c>
      <c r="N291" s="9">
        <v>14210</v>
      </c>
      <c r="O291" s="9">
        <v>7099</v>
      </c>
      <c r="P291" s="9">
        <v>7111</v>
      </c>
      <c r="Q291" s="9">
        <v>5</v>
      </c>
      <c r="R291" s="10">
        <v>284</v>
      </c>
      <c r="S291" s="11">
        <v>67</v>
      </c>
      <c r="T291" s="11">
        <v>33</v>
      </c>
      <c r="U291" s="12">
        <f t="shared" si="32"/>
        <v>34.1</v>
      </c>
      <c r="V291" s="12">
        <f t="shared" si="33"/>
        <v>4.3</v>
      </c>
      <c r="W291" s="12">
        <f t="shared" si="34"/>
        <v>7.2</v>
      </c>
      <c r="X291" s="12">
        <f t="shared" si="35"/>
        <v>10.4</v>
      </c>
      <c r="Y291" s="12">
        <f t="shared" si="36"/>
        <v>186.8</v>
      </c>
      <c r="Z291" s="12" cm="1">
        <f t="array" ref="Z291">INDEX(municipality_wind_potential!$X:$X,MATCH(municipalities!$F291,municipality_wind_potential!$E:$E,0),0)</f>
        <v>45</v>
      </c>
      <c r="AA291" s="12">
        <f t="shared" si="37"/>
        <v>251.99999999999997</v>
      </c>
      <c r="AB291" s="12" cm="1">
        <f t="array" ref="AB291">INDEX(municipality_wind_potential!$Y:$Y,MATCH(municipalities!$F291,municipality_wind_potential!$E:$E,0),0) / 3.6</f>
        <v>667.8</v>
      </c>
      <c r="AC291" s="12">
        <f t="shared" si="38"/>
        <v>31.730261579073673</v>
      </c>
      <c r="AD291" s="12" cm="1">
        <f t="array" ref="AD291">INDEX(municipality_pv_potential!$G:$G,MATCH(municipalities!$A291,municipality_pv_potential!$E:$E,0),0)/3.6*$AH$4</f>
        <v>29.382222222222222</v>
      </c>
      <c r="AE291" s="12">
        <f t="shared" si="39"/>
        <v>241.0247180225582</v>
      </c>
      <c r="AF291" s="12" cm="1">
        <f t="array" ref="AF291">INDEX(municipality_pv_potential!$H:$H,MATCH(municipalities!$A291,municipality_pv_potential!$E:$E,0),0)/3.6</f>
        <v>223.1888888888889</v>
      </c>
      <c r="AG291" s="12"/>
      <c r="AJ291">
        <v>34.1</v>
      </c>
      <c r="AK291">
        <v>4.3</v>
      </c>
      <c r="AL291">
        <v>7.2</v>
      </c>
      <c r="AM291">
        <v>10.4</v>
      </c>
      <c r="AN291">
        <v>186.8</v>
      </c>
    </row>
    <row r="292" spans="1:40" x14ac:dyDescent="0.25">
      <c r="A292" s="5" t="s">
        <v>890</v>
      </c>
      <c r="B292" s="6" t="s">
        <v>891</v>
      </c>
      <c r="C292" s="7" t="s">
        <v>892</v>
      </c>
      <c r="D292" s="7" t="s">
        <v>892</v>
      </c>
      <c r="E292" s="7" t="s">
        <v>22</v>
      </c>
      <c r="F292" s="7" t="s">
        <v>890</v>
      </c>
      <c r="G292" s="7" t="str" cm="1">
        <f t="array" ref="G292">INDEX('municipalities per province'!F:F,MATCH(municipalities!A292,'municipalities per province'!B:B,0),0)</f>
        <v>Drenthe</v>
      </c>
      <c r="H292" s="7" t="str" cm="1">
        <f t="array" ref="H292">INDEX('municipalities per province'!E:E,MATCH(municipalities!$A292,'municipalities per province'!$B:$B,0),0)</f>
        <v>PV22</v>
      </c>
      <c r="I292" s="7" t="str" cm="1">
        <f t="array" ref="I292">INDEX('municipalities per province'!G:G,MATCH(municipalities!$A292,'municipalities per province'!$B:$B,0),0)</f>
        <v>Drenthe</v>
      </c>
      <c r="J292" s="7" t="str" cm="1">
        <f t="array" ref="J292">INDEX('municipalities per province'!H:H,MATCH(municipalities!$A292,'municipalities per province'!$B:$B,0),0)</f>
        <v>ES03</v>
      </c>
      <c r="K292" s="7" cm="1">
        <f t="array" ref="K292">INDEX(coordinates!C:C,MATCH(municipalities!$A292,coordinates!$A:$A,0),0)</f>
        <v>6.6043532622528938</v>
      </c>
      <c r="L292" s="7" cm="1">
        <f t="array" ref="L292">INDEX(coordinates!D:D,MATCH(municipalities!$A292,coordinates!$A:$A,0),0)</f>
        <v>53.097110584383657</v>
      </c>
      <c r="M292" s="8">
        <v>1</v>
      </c>
      <c r="N292" s="9">
        <v>34592</v>
      </c>
      <c r="O292" s="9">
        <v>17027</v>
      </c>
      <c r="P292" s="9">
        <v>17565</v>
      </c>
      <c r="Q292" s="9">
        <v>4</v>
      </c>
      <c r="R292" s="10">
        <v>510</v>
      </c>
      <c r="S292" s="11">
        <v>77</v>
      </c>
      <c r="T292" s="11">
        <v>23</v>
      </c>
      <c r="U292" s="12">
        <f t="shared" si="32"/>
        <v>37.1</v>
      </c>
      <c r="V292" s="12">
        <f t="shared" si="33"/>
        <v>4.0999999999999996</v>
      </c>
      <c r="W292" s="12">
        <f t="shared" si="34"/>
        <v>6.1</v>
      </c>
      <c r="X292" s="12">
        <f t="shared" si="35"/>
        <v>8</v>
      </c>
      <c r="Y292" s="12">
        <f t="shared" si="36"/>
        <v>193.6</v>
      </c>
      <c r="Z292" s="12" cm="1">
        <f t="array" ref="Z292">INDEX(municipality_wind_potential!$X:$X,MATCH(municipalities!$F292,municipality_wind_potential!$E:$E,0),0)</f>
        <v>33</v>
      </c>
      <c r="AA292" s="12">
        <f t="shared" si="37"/>
        <v>184.79999999999998</v>
      </c>
      <c r="AB292" s="12" cm="1">
        <f t="array" ref="AB292">INDEX(municipality_wind_potential!$Y:$Y,MATCH(municipalities!$F292,municipality_wind_potential!$E:$E,0),0) / 3.6</f>
        <v>585.81666666666672</v>
      </c>
      <c r="AC292" s="12">
        <f t="shared" si="38"/>
        <v>73.089752819774418</v>
      </c>
      <c r="AD292" s="12" cm="1">
        <f t="array" ref="AD292">INDEX(municipality_pv_potential!$G:$G,MATCH(municipalities!$A292,municipality_pv_potential!$E:$E,0),0)/3.6*$AH$4</f>
        <v>67.681111111111122</v>
      </c>
      <c r="AE292" s="12">
        <f t="shared" si="39"/>
        <v>397.3392128629709</v>
      </c>
      <c r="AF292" s="12" cm="1">
        <f t="array" ref="AF292">INDEX(municipality_pv_potential!$H:$H,MATCH(municipalities!$A292,municipality_pv_potential!$E:$E,0),0)/3.6</f>
        <v>367.93611111111107</v>
      </c>
      <c r="AG292" s="12"/>
      <c r="AJ292">
        <v>37.1</v>
      </c>
      <c r="AK292">
        <v>4.0999999999999996</v>
      </c>
      <c r="AL292">
        <v>6.1</v>
      </c>
      <c r="AM292">
        <v>8</v>
      </c>
      <c r="AN292">
        <v>193.6</v>
      </c>
    </row>
    <row r="293" spans="1:40" x14ac:dyDescent="0.25">
      <c r="A293" s="5" t="s">
        <v>893</v>
      </c>
      <c r="B293" s="6" t="s">
        <v>894</v>
      </c>
      <c r="C293" s="7" t="s">
        <v>895</v>
      </c>
      <c r="D293" s="7" t="s">
        <v>895</v>
      </c>
      <c r="E293" s="7" t="s">
        <v>22</v>
      </c>
      <c r="F293" s="7" t="s">
        <v>893</v>
      </c>
      <c r="G293" s="7" t="str" cm="1">
        <f t="array" ref="G293">INDEX('municipalities per province'!F:F,MATCH(municipalities!A293,'municipalities per province'!B:B,0),0)</f>
        <v>Drenthe</v>
      </c>
      <c r="H293" s="7" t="str" cm="1">
        <f t="array" ref="H293">INDEX('municipalities per province'!E:E,MATCH(municipalities!$A293,'municipalities per province'!$B:$B,0),0)</f>
        <v>PV22</v>
      </c>
      <c r="I293" s="7" t="str" cm="1">
        <f t="array" ref="I293">INDEX('municipalities per province'!G:G,MATCH(municipalities!$A293,'municipalities per province'!$B:$B,0),0)</f>
        <v>Drenthe</v>
      </c>
      <c r="J293" s="7" t="str" cm="1">
        <f t="array" ref="J293">INDEX('municipalities per province'!H:H,MATCH(municipalities!$A293,'municipalities per province'!$B:$B,0),0)</f>
        <v>ES03</v>
      </c>
      <c r="K293" s="7" cm="1">
        <f t="array" ref="K293">INDEX(coordinates!C:C,MATCH(municipalities!$A293,coordinates!$A:$A,0),0)</f>
        <v>6.5426661797130157</v>
      </c>
      <c r="L293" s="7" cm="1">
        <f t="array" ref="L293">INDEX(coordinates!D:D,MATCH(municipalities!$A293,coordinates!$A:$A,0),0)</f>
        <v>52.867405196244199</v>
      </c>
      <c r="M293" s="8">
        <v>1</v>
      </c>
      <c r="N293" s="9">
        <v>33987</v>
      </c>
      <c r="O293" s="9">
        <v>16928</v>
      </c>
      <c r="P293" s="9">
        <v>17059</v>
      </c>
      <c r="Q293" s="9">
        <v>5</v>
      </c>
      <c r="R293" s="10">
        <v>406</v>
      </c>
      <c r="S293" s="11">
        <v>70</v>
      </c>
      <c r="T293" s="11">
        <v>30</v>
      </c>
      <c r="U293" s="12">
        <f t="shared" si="32"/>
        <v>33.4</v>
      </c>
      <c r="V293" s="12">
        <f t="shared" si="33"/>
        <v>4.0999999999999996</v>
      </c>
      <c r="W293" s="12">
        <f t="shared" si="34"/>
        <v>6.7</v>
      </c>
      <c r="X293" s="12">
        <f t="shared" si="35"/>
        <v>9.1</v>
      </c>
      <c r="Y293" s="12">
        <f t="shared" si="36"/>
        <v>127.2</v>
      </c>
      <c r="Z293" s="12" cm="1">
        <f t="array" ref="Z293">INDEX(municipality_wind_potential!$X:$X,MATCH(municipalities!$F293,municipality_wind_potential!$E:$E,0),0)</f>
        <v>275</v>
      </c>
      <c r="AA293" s="12">
        <f t="shared" si="37"/>
        <v>1540</v>
      </c>
      <c r="AB293" s="12" cm="1">
        <f t="array" ref="AB293">INDEX(municipality_wind_potential!$Y:$Y,MATCH(municipalities!$F293,municipality_wind_potential!$E:$E,0),0) / 3.6</f>
        <v>4881.8</v>
      </c>
      <c r="AC293" s="12">
        <f t="shared" si="38"/>
        <v>118.62491000719943</v>
      </c>
      <c r="AD293" s="12" cm="1">
        <f t="array" ref="AD293">INDEX(municipality_pv_potential!$G:$G,MATCH(municipalities!$A293,municipality_pv_potential!$E:$E,0),0)/3.6*$AH$4</f>
        <v>109.84666666666668</v>
      </c>
      <c r="AE293" s="12">
        <f t="shared" si="39"/>
        <v>1097.8131749460042</v>
      </c>
      <c r="AF293" s="12" cm="1">
        <f t="array" ref="AF293">INDEX(municipality_pv_potential!$H:$H,MATCH(municipalities!$A293,municipality_pv_potential!$E:$E,0),0)/3.6</f>
        <v>1016.575</v>
      </c>
      <c r="AG293" s="12"/>
      <c r="AJ293">
        <v>33.4</v>
      </c>
      <c r="AK293">
        <v>4.0999999999999996</v>
      </c>
      <c r="AL293">
        <v>6.7</v>
      </c>
      <c r="AM293">
        <v>9.1</v>
      </c>
      <c r="AN293">
        <v>127.2</v>
      </c>
    </row>
    <row r="294" spans="1:40" x14ac:dyDescent="0.25">
      <c r="A294" s="5" t="s">
        <v>896</v>
      </c>
      <c r="B294" s="6" t="s">
        <v>897</v>
      </c>
      <c r="C294" s="7" t="s">
        <v>898</v>
      </c>
      <c r="D294" s="7" t="s">
        <v>898</v>
      </c>
      <c r="E294" s="7" t="s">
        <v>22</v>
      </c>
      <c r="F294" s="7" t="s">
        <v>896</v>
      </c>
      <c r="G294" s="7" t="str" cm="1">
        <f t="array" ref="G294">INDEX('municipalities per province'!F:F,MATCH(municipalities!A294,'municipalities per province'!B:B,0),0)</f>
        <v>Gelderland</v>
      </c>
      <c r="H294" s="7" t="str" cm="1">
        <f t="array" ref="H294">INDEX('municipalities per province'!E:E,MATCH(municipalities!$A294,'municipalities per province'!$B:$B,0),0)</f>
        <v>PV25</v>
      </c>
      <c r="I294" s="7" t="str" cm="1">
        <f t="array" ref="I294">INDEX('municipalities per province'!G:G,MATCH(municipalities!$A294,'municipalities per province'!$B:$B,0),0)</f>
        <v>Arnhem/Nijmegen</v>
      </c>
      <c r="J294" s="7" t="str" cm="1">
        <f t="array" ref="J294">INDEX('municipalities per province'!H:H,MATCH(municipalities!$A294,'municipalities per province'!$B:$B,0),0)</f>
        <v>ES08</v>
      </c>
      <c r="K294" s="7" cm="1">
        <f t="array" ref="K294">INDEX(coordinates!C:C,MATCH(municipalities!$A294,coordinates!$A:$A,0),0)</f>
        <v>5.7783176890398682</v>
      </c>
      <c r="L294" s="7" cm="1">
        <f t="array" ref="L294">INDEX(coordinates!D:D,MATCH(municipalities!$A294,coordinates!$A:$A,0),0)</f>
        <v>51.924301936930547</v>
      </c>
      <c r="M294" s="8">
        <v>1</v>
      </c>
      <c r="N294" s="9">
        <v>48707</v>
      </c>
      <c r="O294" s="9">
        <v>24178</v>
      </c>
      <c r="P294" s="9">
        <v>24529</v>
      </c>
      <c r="Q294" s="9">
        <v>4</v>
      </c>
      <c r="R294" s="10">
        <v>815</v>
      </c>
      <c r="S294" s="11">
        <v>68</v>
      </c>
      <c r="T294" s="11">
        <v>32</v>
      </c>
      <c r="U294" s="12">
        <f t="shared" si="32"/>
        <v>35.5</v>
      </c>
      <c r="V294" s="12">
        <f t="shared" si="33"/>
        <v>4</v>
      </c>
      <c r="W294" s="12">
        <f t="shared" si="34"/>
        <v>6.4</v>
      </c>
      <c r="X294" s="12">
        <f t="shared" si="35"/>
        <v>8.6</v>
      </c>
      <c r="Y294" s="12">
        <f t="shared" si="36"/>
        <v>138</v>
      </c>
      <c r="Z294" s="12" cm="1">
        <f t="array" ref="Z294">INDEX(municipality_wind_potential!$X:$X,MATCH(municipalities!$F294,municipality_wind_potential!$E:$E,0),0)</f>
        <v>39</v>
      </c>
      <c r="AA294" s="12">
        <f t="shared" si="37"/>
        <v>218.39999999999998</v>
      </c>
      <c r="AB294" s="12" cm="1">
        <f t="array" ref="AB294">INDEX(municipality_wind_potential!$Y:$Y,MATCH(municipalities!$F294,municipality_wind_potential!$E:$E,0),0) / 3.6</f>
        <v>628.99166666666667</v>
      </c>
      <c r="AC294" s="12">
        <f t="shared" si="38"/>
        <v>99.569834413246951</v>
      </c>
      <c r="AD294" s="12" cm="1">
        <f t="array" ref="AD294">INDEX(municipality_pv_potential!$G:$G,MATCH(municipalities!$A294,municipality_pv_potential!$E:$E,0),0)/3.6*$AH$4</f>
        <v>92.201666666666668</v>
      </c>
      <c r="AE294" s="12">
        <f t="shared" si="39"/>
        <v>359.76421886249102</v>
      </c>
      <c r="AF294" s="12" cm="1">
        <f t="array" ref="AF294">INDEX(municipality_pv_potential!$H:$H,MATCH(municipalities!$A294,municipality_pv_potential!$E:$E,0),0)/3.6</f>
        <v>333.14166666666665</v>
      </c>
      <c r="AG294" s="12"/>
      <c r="AJ294">
        <v>35.5</v>
      </c>
      <c r="AK294">
        <v>4</v>
      </c>
      <c r="AL294">
        <v>6.4</v>
      </c>
      <c r="AM294">
        <v>8.6</v>
      </c>
      <c r="AN294">
        <v>138</v>
      </c>
    </row>
    <row r="295" spans="1:40" x14ac:dyDescent="0.25">
      <c r="A295" s="5" t="s">
        <v>899</v>
      </c>
      <c r="B295" s="6" t="s">
        <v>900</v>
      </c>
      <c r="C295" s="7" t="s">
        <v>901</v>
      </c>
      <c r="D295" s="7" t="s">
        <v>901</v>
      </c>
      <c r="E295" s="7" t="s">
        <v>22</v>
      </c>
      <c r="F295" s="7" t="s">
        <v>899</v>
      </c>
      <c r="G295" s="7" t="str" cm="1">
        <f t="array" ref="G295">INDEX('municipalities per province'!F:F,MATCH(municipalities!A295,'municipalities per province'!B:B,0),0)</f>
        <v>Overijssel</v>
      </c>
      <c r="H295" s="7" t="str" cm="1">
        <f t="array" ref="H295">INDEX('municipalities per province'!E:E,MATCH(municipalities!$A295,'municipalities per province'!$B:$B,0),0)</f>
        <v>PV23</v>
      </c>
      <c r="I295" s="7" t="str" cm="1">
        <f t="array" ref="I295">INDEX('municipalities per province'!G:G,MATCH(municipalities!$A295,'municipalities per province'!$B:$B,0),0)</f>
        <v>Twente</v>
      </c>
      <c r="J295" s="7" t="str" cm="1">
        <f t="array" ref="J295">INDEX('municipalities per province'!H:H,MATCH(municipalities!$A295,'municipalities per province'!$B:$B,0),0)</f>
        <v>ES04</v>
      </c>
      <c r="K295" s="7" cm="1">
        <f t="array" ref="K295">INDEX(coordinates!C:C,MATCH(municipalities!$A295,coordinates!$A:$A,0),0)</f>
        <v>6.5899906824980823</v>
      </c>
      <c r="L295" s="7" cm="1">
        <f t="array" ref="L295">INDEX(coordinates!D:D,MATCH(municipalities!$A295,coordinates!$A:$A,0),0)</f>
        <v>52.23643371697078</v>
      </c>
      <c r="M295" s="8">
        <v>1</v>
      </c>
      <c r="N295" s="9">
        <v>35455</v>
      </c>
      <c r="O295" s="9">
        <v>17694</v>
      </c>
      <c r="P295" s="9">
        <v>17761</v>
      </c>
      <c r="Q295" s="9">
        <v>4</v>
      </c>
      <c r="R295" s="10">
        <v>608</v>
      </c>
      <c r="S295" s="11">
        <v>68</v>
      </c>
      <c r="T295" s="11">
        <v>32</v>
      </c>
      <c r="U295" s="12">
        <f t="shared" si="32"/>
        <v>34.5</v>
      </c>
      <c r="V295" s="12">
        <f t="shared" si="33"/>
        <v>4.5</v>
      </c>
      <c r="W295" s="12">
        <f t="shared" si="34"/>
        <v>7.1</v>
      </c>
      <c r="X295" s="12">
        <f t="shared" si="35"/>
        <v>9.6</v>
      </c>
      <c r="Y295" s="12">
        <f t="shared" si="36"/>
        <v>149.9</v>
      </c>
      <c r="Z295" s="12" cm="1">
        <f t="array" ref="Z295">INDEX(municipality_wind_potential!$X:$X,MATCH(municipalities!$F295,municipality_wind_potential!$E:$E,0),0)</f>
        <v>81</v>
      </c>
      <c r="AA295" s="12">
        <f t="shared" si="37"/>
        <v>453.59999999999997</v>
      </c>
      <c r="AB295" s="12" cm="1">
        <f t="array" ref="AB295">INDEX(municipality_wind_potential!$Y:$Y,MATCH(municipalities!$F295,municipality_wind_potential!$E:$E,0),0) / 3.6</f>
        <v>1194.6194444444445</v>
      </c>
      <c r="AC295" s="12">
        <f t="shared" si="38"/>
        <v>134.56503479721621</v>
      </c>
      <c r="AD295" s="12" cm="1">
        <f t="array" ref="AD295">INDEX(municipality_pv_potential!$G:$G,MATCH(municipalities!$A295,municipality_pv_potential!$E:$E,0),0)/3.6*$AH$4</f>
        <v>124.60722222222222</v>
      </c>
      <c r="AE295" s="12">
        <f t="shared" si="39"/>
        <v>665.63174946004312</v>
      </c>
      <c r="AF295" s="12" cm="1">
        <f t="array" ref="AF295">INDEX(municipality_pv_potential!$H:$H,MATCH(municipalities!$A295,municipality_pv_potential!$E:$E,0),0)/3.6</f>
        <v>616.37499999999989</v>
      </c>
      <c r="AG295" s="12"/>
      <c r="AJ295">
        <v>34.5</v>
      </c>
      <c r="AK295">
        <v>4.5</v>
      </c>
      <c r="AL295">
        <v>7.1</v>
      </c>
      <c r="AM295">
        <v>9.6</v>
      </c>
      <c r="AN295">
        <v>149.9</v>
      </c>
    </row>
    <row r="296" spans="1:40" x14ac:dyDescent="0.25">
      <c r="A296" s="5" t="s">
        <v>902</v>
      </c>
      <c r="B296" s="6" t="s">
        <v>903</v>
      </c>
      <c r="C296" s="7" t="s">
        <v>904</v>
      </c>
      <c r="D296" s="7" t="s">
        <v>904</v>
      </c>
      <c r="E296" s="7" t="s">
        <v>22</v>
      </c>
      <c r="F296" s="7" t="s">
        <v>902</v>
      </c>
      <c r="G296" s="7" t="str" cm="1">
        <f t="array" ref="G296">INDEX('municipalities per province'!F:F,MATCH(municipalities!A296,'municipalities per province'!B:B,0),0)</f>
        <v>Gelderland</v>
      </c>
      <c r="H296" s="7" t="str" cm="1">
        <f t="array" ref="H296">INDEX('municipalities per province'!E:E,MATCH(municipalities!$A296,'municipalities per province'!$B:$B,0),0)</f>
        <v>PV25</v>
      </c>
      <c r="I296" s="7" t="str" cm="1">
        <f t="array" ref="I296">INDEX('municipalities per province'!G:G,MATCH(municipalities!$A296,'municipalities per province'!$B:$B,0),0)</f>
        <v>FruitdeltaRivierenland</v>
      </c>
      <c r="J296" s="7" t="str" cm="1">
        <f t="array" ref="J296">INDEX('municipalities per province'!H:H,MATCH(municipalities!$A296,'municipalities per province'!$B:$B,0),0)</f>
        <v>ES11</v>
      </c>
      <c r="K296" s="7" cm="1">
        <f t="array" ref="K296">INDEX(coordinates!C:C,MATCH(municipalities!$A296,coordinates!$A:$A,0),0)</f>
        <v>5.5868764758507616</v>
      </c>
      <c r="L296" s="7" cm="1">
        <f t="array" ref="L296">INDEX(coordinates!D:D,MATCH(municipalities!$A296,coordinates!$A:$A,0),0)</f>
        <v>51.915869599417732</v>
      </c>
      <c r="M296" s="8">
        <v>1</v>
      </c>
      <c r="N296" s="9">
        <v>25448</v>
      </c>
      <c r="O296" s="9">
        <v>12787</v>
      </c>
      <c r="P296" s="9">
        <v>12661</v>
      </c>
      <c r="Q296" s="9">
        <v>5</v>
      </c>
      <c r="R296" s="10">
        <v>454</v>
      </c>
      <c r="S296" s="11">
        <v>66</v>
      </c>
      <c r="T296" s="11">
        <v>34</v>
      </c>
      <c r="U296" s="12">
        <f t="shared" si="32"/>
        <v>33.700000000000003</v>
      </c>
      <c r="V296" s="12">
        <f t="shared" si="33"/>
        <v>4</v>
      </c>
      <c r="W296" s="12">
        <f t="shared" si="34"/>
        <v>6.5</v>
      </c>
      <c r="X296" s="12">
        <f t="shared" si="35"/>
        <v>9.5</v>
      </c>
      <c r="Y296" s="12">
        <f t="shared" si="36"/>
        <v>125.9</v>
      </c>
      <c r="Z296" s="12" cm="1">
        <f t="array" ref="Z296">INDEX(municipality_wind_potential!$X:$X,MATCH(municipalities!$F296,municipality_wind_potential!$E:$E,0),0)</f>
        <v>29</v>
      </c>
      <c r="AA296" s="12">
        <f t="shared" si="37"/>
        <v>162.39999999999998</v>
      </c>
      <c r="AB296" s="12" cm="1">
        <f t="array" ref="AB296">INDEX(municipality_wind_potential!$Y:$Y,MATCH(municipalities!$F296,municipality_wind_potential!$E:$E,0),0) / 3.6</f>
        <v>459.64722222222224</v>
      </c>
      <c r="AC296" s="12">
        <f t="shared" si="38"/>
        <v>57.634989200863927</v>
      </c>
      <c r="AD296" s="12" cm="1">
        <f t="array" ref="AD296">INDEX(municipality_pv_potential!$G:$G,MATCH(municipalities!$A296,municipality_pv_potential!$E:$E,0),0)/3.6*$AH$4</f>
        <v>53.37</v>
      </c>
      <c r="AE296" s="12">
        <f t="shared" si="39"/>
        <v>178.85469162467001</v>
      </c>
      <c r="AF296" s="12" cm="1">
        <f t="array" ref="AF296">INDEX(municipality_pv_potential!$H:$H,MATCH(municipalities!$A296,municipality_pv_potential!$E:$E,0),0)/3.6</f>
        <v>165.61944444444444</v>
      </c>
      <c r="AG296" s="12"/>
      <c r="AJ296">
        <v>33.700000000000003</v>
      </c>
      <c r="AK296">
        <v>4</v>
      </c>
      <c r="AL296">
        <v>6.5</v>
      </c>
      <c r="AM296">
        <v>9.5</v>
      </c>
      <c r="AN296">
        <v>125.9</v>
      </c>
    </row>
    <row r="297" spans="1:40" x14ac:dyDescent="0.25">
      <c r="A297" s="5" t="s">
        <v>905</v>
      </c>
      <c r="B297" s="6" t="s">
        <v>906</v>
      </c>
      <c r="C297" s="7" t="s">
        <v>907</v>
      </c>
      <c r="D297" s="7" t="s">
        <v>907</v>
      </c>
      <c r="E297" s="7" t="s">
        <v>22</v>
      </c>
      <c r="F297" s="7" t="s">
        <v>905</v>
      </c>
      <c r="G297" s="7" t="str" cm="1">
        <f t="array" ref="G297">INDEX('municipalities per province'!F:F,MATCH(municipalities!A297,'municipalities per province'!B:B,0),0)</f>
        <v>Overijssel</v>
      </c>
      <c r="H297" s="7" t="str" cm="1">
        <f t="array" ref="H297">INDEX('municipalities per province'!E:E,MATCH(municipalities!$A297,'municipalities per province'!$B:$B,0),0)</f>
        <v>PV23</v>
      </c>
      <c r="I297" s="7" t="str" cm="1">
        <f t="array" ref="I297">INDEX('municipalities per province'!G:G,MATCH(municipalities!$A297,'municipalities per province'!$B:$B,0),0)</f>
        <v>Twente</v>
      </c>
      <c r="J297" s="7" t="str" cm="1">
        <f t="array" ref="J297">INDEX('municipalities per province'!H:H,MATCH(municipalities!$A297,'municipalities per province'!$B:$B,0),0)</f>
        <v>ES04</v>
      </c>
      <c r="K297" s="7" cm="1">
        <f t="array" ref="K297">INDEX(coordinates!C:C,MATCH(municipalities!$A297,coordinates!$A:$A,0),0)</f>
        <v>6.4339803952521963</v>
      </c>
      <c r="L297" s="7" cm="1">
        <f t="array" ref="L297">INDEX(coordinates!D:D,MATCH(municipalities!$A297,coordinates!$A:$A,0),0)</f>
        <v>52.29142454521471</v>
      </c>
      <c r="M297" s="8">
        <v>1</v>
      </c>
      <c r="N297" s="9">
        <v>38493</v>
      </c>
      <c r="O297" s="9">
        <v>19228</v>
      </c>
      <c r="P297" s="9">
        <v>19265</v>
      </c>
      <c r="Q297" s="9">
        <v>3</v>
      </c>
      <c r="R297" s="10">
        <v>1094</v>
      </c>
      <c r="S297" s="11">
        <v>69</v>
      </c>
      <c r="T297" s="11">
        <v>31</v>
      </c>
      <c r="U297" s="12">
        <f t="shared" si="32"/>
        <v>35.799999999999997</v>
      </c>
      <c r="V297" s="12">
        <f t="shared" si="33"/>
        <v>3.9</v>
      </c>
      <c r="W297" s="12">
        <f t="shared" si="34"/>
        <v>6.5</v>
      </c>
      <c r="X297" s="12">
        <f t="shared" si="35"/>
        <v>9.1999999999999993</v>
      </c>
      <c r="Y297" s="12">
        <f t="shared" si="36"/>
        <v>148.1</v>
      </c>
      <c r="Z297" s="12" cm="1">
        <f t="array" ref="Z297">INDEX(municipality_wind_potential!$X:$X,MATCH(municipalities!$F297,municipality_wind_potential!$E:$E,0),0)</f>
        <v>40</v>
      </c>
      <c r="AA297" s="12">
        <f t="shared" si="37"/>
        <v>224</v>
      </c>
      <c r="AB297" s="12" cm="1">
        <f t="array" ref="AB297">INDEX(municipality_wind_potential!$Y:$Y,MATCH(municipalities!$F297,municipality_wind_potential!$E:$E,0),0) / 3.6</f>
        <v>593.6</v>
      </c>
      <c r="AC297" s="12">
        <f t="shared" si="38"/>
        <v>82.227021838252952</v>
      </c>
      <c r="AD297" s="12" cm="1">
        <f t="array" ref="AD297">INDEX(municipality_pv_potential!$G:$G,MATCH(municipalities!$A297,municipality_pv_potential!$E:$E,0),0)/3.6*$AH$4</f>
        <v>76.14222222222223</v>
      </c>
      <c r="AE297" s="12">
        <f t="shared" si="39"/>
        <v>225.42896568274537</v>
      </c>
      <c r="AF297" s="12" cm="1">
        <f t="array" ref="AF297">INDEX(municipality_pv_potential!$H:$H,MATCH(municipalities!$A297,municipality_pv_potential!$E:$E,0),0)/3.6</f>
        <v>208.74722222222221</v>
      </c>
      <c r="AG297" s="12"/>
      <c r="AJ297">
        <v>35.799999999999997</v>
      </c>
      <c r="AK297">
        <v>3.9</v>
      </c>
      <c r="AL297">
        <v>6.5</v>
      </c>
      <c r="AM297">
        <v>9.1999999999999993</v>
      </c>
      <c r="AN297">
        <v>148.1</v>
      </c>
    </row>
    <row r="298" spans="1:40" x14ac:dyDescent="0.25">
      <c r="A298" s="5" t="s">
        <v>908</v>
      </c>
      <c r="B298" s="6" t="s">
        <v>909</v>
      </c>
      <c r="C298" s="7" t="s">
        <v>910</v>
      </c>
      <c r="D298" s="7" t="s">
        <v>910</v>
      </c>
      <c r="E298" s="7" t="s">
        <v>22</v>
      </c>
      <c r="F298" s="7" t="s">
        <v>908</v>
      </c>
      <c r="G298" s="7" t="str" cm="1">
        <f t="array" ref="G298">INDEX('municipalities per province'!F:F,MATCH(municipalities!A298,'municipalities per province'!B:B,0),0)</f>
        <v>Noord-Brabant</v>
      </c>
      <c r="H298" s="7" t="str" cm="1">
        <f t="array" ref="H298">INDEX('municipalities per province'!E:E,MATCH(municipalities!$A298,'municipalities per province'!$B:$B,0),0)</f>
        <v>PV30</v>
      </c>
      <c r="I298" s="7" t="str" cm="1">
        <f t="array" ref="I298">INDEX('municipalities per province'!G:G,MATCH(municipalities!$A298,'municipalities per province'!$B:$B,0),0)</f>
        <v>MetropoolregioEindhoven</v>
      </c>
      <c r="J298" s="7" t="str" cm="1">
        <f t="array" ref="J298">INDEX('municipalities per province'!H:H,MATCH(municipalities!$A298,'municipalities per province'!$B:$B,0),0)</f>
        <v>ES26</v>
      </c>
      <c r="K298" s="7" cm="1">
        <f t="array" ref="K298">INDEX(coordinates!C:C,MATCH(municipalities!$A298,coordinates!$A:$A,0),0)</f>
        <v>5.5875717315881417</v>
      </c>
      <c r="L298" s="7" cm="1">
        <f t="array" ref="L298">INDEX(coordinates!D:D,MATCH(municipalities!$A298,coordinates!$A:$A,0),0)</f>
        <v>51.431273602211768</v>
      </c>
      <c r="M298" s="8">
        <v>1</v>
      </c>
      <c r="N298" s="9">
        <v>40441</v>
      </c>
      <c r="O298" s="9">
        <v>20186</v>
      </c>
      <c r="P298" s="9">
        <v>20255</v>
      </c>
      <c r="Q298" s="9">
        <v>3</v>
      </c>
      <c r="R298" s="10">
        <v>1386</v>
      </c>
      <c r="S298" s="11">
        <v>65</v>
      </c>
      <c r="T298" s="11">
        <v>35</v>
      </c>
      <c r="U298" s="12">
        <f t="shared" si="32"/>
        <v>34.9</v>
      </c>
      <c r="V298" s="12">
        <f t="shared" si="33"/>
        <v>5</v>
      </c>
      <c r="W298" s="12">
        <f t="shared" si="34"/>
        <v>7.8</v>
      </c>
      <c r="X298" s="12">
        <f t="shared" si="35"/>
        <v>10.3</v>
      </c>
      <c r="Y298" s="12">
        <f t="shared" si="36"/>
        <v>133.4</v>
      </c>
      <c r="Z298" s="12" cm="1">
        <f t="array" ref="Z298">INDEX(municipality_wind_potential!$X:$X,MATCH(municipalities!$F298,municipality_wind_potential!$E:$E,0),0)</f>
        <v>8</v>
      </c>
      <c r="AA298" s="12">
        <f t="shared" si="37"/>
        <v>44.8</v>
      </c>
      <c r="AB298" s="12" cm="1">
        <f t="array" ref="AB298">INDEX(municipality_wind_potential!$Y:$Y,MATCH(municipalities!$F298,municipality_wind_potential!$E:$E,0),0) / 3.6</f>
        <v>118.71944444444443</v>
      </c>
      <c r="AC298" s="12">
        <f t="shared" si="38"/>
        <v>62.618790496760262</v>
      </c>
      <c r="AD298" s="12" cm="1">
        <f t="array" ref="AD298">INDEX(municipality_pv_potential!$G:$G,MATCH(municipalities!$A298,municipality_pv_potential!$E:$E,0),0)/3.6*$AH$4</f>
        <v>57.985000000000007</v>
      </c>
      <c r="AE298" s="12">
        <f t="shared" si="39"/>
        <v>34.191264698824092</v>
      </c>
      <c r="AF298" s="12" cm="1">
        <f t="array" ref="AF298">INDEX(municipality_pv_potential!$H:$H,MATCH(municipalities!$A298,municipality_pv_potential!$E:$E,0),0)/3.6</f>
        <v>31.661111111111111</v>
      </c>
      <c r="AG298" s="12"/>
      <c r="AJ298">
        <v>34.9</v>
      </c>
      <c r="AK298">
        <v>5</v>
      </c>
      <c r="AL298">
        <v>7.8</v>
      </c>
      <c r="AM298">
        <v>10.3</v>
      </c>
      <c r="AN298">
        <v>133.4</v>
      </c>
    </row>
    <row r="299" spans="1:40" x14ac:dyDescent="0.25">
      <c r="A299" s="5" t="s">
        <v>911</v>
      </c>
      <c r="B299" s="6" t="s">
        <v>912</v>
      </c>
      <c r="C299" s="7" t="s">
        <v>913</v>
      </c>
      <c r="D299" s="7" t="s">
        <v>913</v>
      </c>
      <c r="E299" s="7" t="s">
        <v>22</v>
      </c>
      <c r="F299" s="7" t="s">
        <v>911</v>
      </c>
      <c r="G299" s="7" t="str" cm="1">
        <f t="array" ref="G299">INDEX('municipalities per province'!F:F,MATCH(municipalities!A299,'municipalities per province'!B:B,0),0)</f>
        <v>Overijssel</v>
      </c>
      <c r="H299" s="7" t="str" cm="1">
        <f t="array" ref="H299">INDEX('municipalities per province'!E:E,MATCH(municipalities!$A299,'municipalities per province'!$B:$B,0),0)</f>
        <v>PV23</v>
      </c>
      <c r="I299" s="7" t="str" cm="1">
        <f t="array" ref="I299">INDEX('municipalities per province'!G:G,MATCH(municipalities!$A299,'municipalities per province'!$B:$B,0),0)</f>
        <v>West-Overijssel</v>
      </c>
      <c r="J299" s="7" t="str" cm="1">
        <f t="array" ref="J299">INDEX('municipalities per province'!H:H,MATCH(municipalities!$A299,'municipalities per province'!$B:$B,0),0)</f>
        <v>ES05</v>
      </c>
      <c r="K299" s="7" cm="1">
        <f t="array" ref="K299">INDEX(coordinates!C:C,MATCH(municipalities!$A299,coordinates!$A:$A,0),0)</f>
        <v>6.1533621239457021</v>
      </c>
      <c r="L299" s="7" cm="1">
        <f t="array" ref="L299">INDEX(coordinates!D:D,MATCH(municipalities!$A299,coordinates!$A:$A,0),0)</f>
        <v>52.366810202862631</v>
      </c>
      <c r="M299" s="8">
        <v>1</v>
      </c>
      <c r="N299" s="9">
        <v>18682</v>
      </c>
      <c r="O299" s="9">
        <v>9492</v>
      </c>
      <c r="P299" s="9">
        <v>9190</v>
      </c>
      <c r="Q299" s="9">
        <v>5</v>
      </c>
      <c r="R299" s="10">
        <v>478</v>
      </c>
      <c r="S299" s="11">
        <v>70</v>
      </c>
      <c r="T299" s="11">
        <v>30</v>
      </c>
      <c r="U299" s="12">
        <f t="shared" si="32"/>
        <v>34.6</v>
      </c>
      <c r="V299" s="12">
        <f t="shared" si="33"/>
        <v>4.0999999999999996</v>
      </c>
      <c r="W299" s="12">
        <f t="shared" si="34"/>
        <v>6.8</v>
      </c>
      <c r="X299" s="12">
        <f t="shared" si="35"/>
        <v>9.1</v>
      </c>
      <c r="Y299" s="12">
        <f t="shared" si="36"/>
        <v>161.80000000000001</v>
      </c>
      <c r="Z299" s="12" cm="1">
        <f t="array" ref="Z299">INDEX(municipality_wind_potential!$X:$X,MATCH(municipalities!$F299,municipality_wind_potential!$E:$E,0),0)</f>
        <v>49</v>
      </c>
      <c r="AA299" s="12">
        <f t="shared" si="37"/>
        <v>274.39999999999998</v>
      </c>
      <c r="AB299" s="12" cm="1">
        <f t="array" ref="AB299">INDEX(municipality_wind_potential!$Y:$Y,MATCH(municipalities!$F299,municipality_wind_potential!$E:$E,0),0) / 3.6</f>
        <v>790.27222222222224</v>
      </c>
      <c r="AC299" s="12">
        <f t="shared" si="38"/>
        <v>53.814494840412763</v>
      </c>
      <c r="AD299" s="12" cm="1">
        <f t="array" ref="AD299">INDEX(municipality_pv_potential!$G:$G,MATCH(municipalities!$A299,municipality_pv_potential!$E:$E,0),0)/3.6*$AH$4</f>
        <v>49.832222222222221</v>
      </c>
      <c r="AE299" s="12">
        <f t="shared" si="39"/>
        <v>413.88888888888891</v>
      </c>
      <c r="AF299" s="12" cm="1">
        <f t="array" ref="AF299">INDEX(municipality_pv_potential!$H:$H,MATCH(municipalities!$A299,municipality_pv_potential!$E:$E,0),0)/3.6</f>
        <v>383.26111111111112</v>
      </c>
      <c r="AG299" s="12"/>
      <c r="AJ299">
        <v>34.6</v>
      </c>
      <c r="AK299">
        <v>4.0999999999999996</v>
      </c>
      <c r="AL299">
        <v>6.8</v>
      </c>
      <c r="AM299">
        <v>9.1</v>
      </c>
      <c r="AN299">
        <v>161.80000000000001</v>
      </c>
    </row>
    <row r="300" spans="1:40" x14ac:dyDescent="0.25">
      <c r="A300" s="5" t="s">
        <v>914</v>
      </c>
      <c r="B300" s="6" t="s">
        <v>915</v>
      </c>
      <c r="C300" s="7" t="s">
        <v>916</v>
      </c>
      <c r="D300" s="7" t="s">
        <v>916</v>
      </c>
      <c r="E300" s="7" t="s">
        <v>22</v>
      </c>
      <c r="F300" s="7" t="s">
        <v>914</v>
      </c>
      <c r="G300" s="7" t="str" cm="1">
        <f t="array" ref="G300">INDEX('municipalities per province'!F:F,MATCH(municipalities!A300,'municipalities per province'!B:B,0),0)</f>
        <v>Overijssel</v>
      </c>
      <c r="H300" s="7" t="str" cm="1">
        <f t="array" ref="H300">INDEX('municipalities per province'!E:E,MATCH(municipalities!$A300,'municipalities per province'!$B:$B,0),0)</f>
        <v>PV23</v>
      </c>
      <c r="I300" s="7" t="str" cm="1">
        <f t="array" ref="I300">INDEX('municipalities per province'!G:G,MATCH(municipalities!$A300,'municipalities per province'!$B:$B,0),0)</f>
        <v>Twente</v>
      </c>
      <c r="J300" s="7" t="str" cm="1">
        <f t="array" ref="J300">INDEX('municipalities per province'!H:H,MATCH(municipalities!$A300,'municipalities per province'!$B:$B,0),0)</f>
        <v>ES04</v>
      </c>
      <c r="K300" s="7" cm="1">
        <f t="array" ref="K300">INDEX(coordinates!C:C,MATCH(municipalities!$A300,coordinates!$A:$A,0),0)</f>
        <v>6.9142158659336603</v>
      </c>
      <c r="L300" s="7" cm="1">
        <f t="array" ref="L300">INDEX(coordinates!D:D,MATCH(municipalities!$A300,coordinates!$A:$A,0),0)</f>
        <v>52.373026743364697</v>
      </c>
      <c r="M300" s="8">
        <v>1</v>
      </c>
      <c r="N300" s="9">
        <v>26743</v>
      </c>
      <c r="O300" s="9">
        <v>13678</v>
      </c>
      <c r="P300" s="9">
        <v>13065</v>
      </c>
      <c r="Q300" s="9">
        <v>5</v>
      </c>
      <c r="R300" s="10">
        <v>472</v>
      </c>
      <c r="S300" s="11">
        <v>74</v>
      </c>
      <c r="T300" s="11">
        <v>26</v>
      </c>
      <c r="U300" s="12">
        <f t="shared" si="32"/>
        <v>36.299999999999997</v>
      </c>
      <c r="V300" s="12">
        <f t="shared" si="33"/>
        <v>3.5</v>
      </c>
      <c r="W300" s="12">
        <f t="shared" si="34"/>
        <v>5.7</v>
      </c>
      <c r="X300" s="12">
        <f t="shared" si="35"/>
        <v>7.4</v>
      </c>
      <c r="Y300" s="12">
        <f t="shared" si="36"/>
        <v>235.8</v>
      </c>
      <c r="Z300" s="12" cm="1">
        <f t="array" ref="Z300">INDEX(municipality_wind_potential!$X:$X,MATCH(municipalities!$F300,municipality_wind_potential!$E:$E,0),0)</f>
        <v>88</v>
      </c>
      <c r="AA300" s="12">
        <f t="shared" si="37"/>
        <v>492.79999999999995</v>
      </c>
      <c r="AB300" s="12" cm="1">
        <f t="array" ref="AB300">INDEX(municipality_wind_potential!$Y:$Y,MATCH(municipalities!$F300,municipality_wind_potential!$E:$E,0),0) / 3.6</f>
        <v>1298.5</v>
      </c>
      <c r="AC300" s="12">
        <f t="shared" si="38"/>
        <v>96.349292056635477</v>
      </c>
      <c r="AD300" s="12" cm="1">
        <f t="array" ref="AD300">INDEX(municipality_pv_potential!$G:$G,MATCH(municipalities!$A300,municipality_pv_potential!$E:$E,0),0)/3.6*$AH$4</f>
        <v>89.219444444444449</v>
      </c>
      <c r="AE300" s="12">
        <f t="shared" si="39"/>
        <v>614.23386129109667</v>
      </c>
      <c r="AF300" s="12" cm="1">
        <f t="array" ref="AF300">INDEX(municipality_pv_potential!$H:$H,MATCH(municipalities!$A300,municipality_pv_potential!$E:$E,0),0)/3.6</f>
        <v>568.78055555555557</v>
      </c>
      <c r="AG300" s="12"/>
      <c r="AJ300">
        <v>36.299999999999997</v>
      </c>
      <c r="AK300">
        <v>3.5</v>
      </c>
      <c r="AL300">
        <v>5.7</v>
      </c>
      <c r="AM300">
        <v>7.4</v>
      </c>
      <c r="AN300">
        <v>235.8</v>
      </c>
    </row>
    <row r="301" spans="1:40" x14ac:dyDescent="0.25">
      <c r="A301" s="5" t="s">
        <v>917</v>
      </c>
      <c r="B301" s="6" t="s">
        <v>918</v>
      </c>
      <c r="C301" s="7" t="s">
        <v>919</v>
      </c>
      <c r="D301" s="7" t="s">
        <v>919</v>
      </c>
      <c r="E301" s="7" t="s">
        <v>22</v>
      </c>
      <c r="F301" s="7" t="s">
        <v>917</v>
      </c>
      <c r="G301" s="7" t="str" cm="1">
        <f t="array" ref="G301">INDEX('municipalities per province'!F:F,MATCH(municipalities!A301,'municipalities per province'!B:B,0),0)</f>
        <v>Zuid-Holland</v>
      </c>
      <c r="H301" s="7" t="str" cm="1">
        <f t="array" ref="H301">INDEX('municipalities per province'!E:E,MATCH(municipalities!$A301,'municipalities per province'!$B:$B,0),0)</f>
        <v>PV28</v>
      </c>
      <c r="I301" s="7" t="str" cm="1">
        <f t="array" ref="I301">INDEX('municipalities per province'!G:G,MATCH(municipalities!$A301,'municipalities per province'!$B:$B,0),0)</f>
        <v>Rotterdam/DenHaag</v>
      </c>
      <c r="J301" s="7" t="str" cm="1">
        <f t="array" ref="J301">INDEX('municipalities per province'!H:H,MATCH(municipalities!$A301,'municipalities per province'!$B:$B,0),0)</f>
        <v>ES23</v>
      </c>
      <c r="K301" s="7" cm="1">
        <f t="array" ref="K301">INDEX(coordinates!C:C,MATCH(municipalities!$A301,coordinates!$A:$A,0),0)</f>
        <v>4.1525538437122052</v>
      </c>
      <c r="L301" s="7" cm="1">
        <f t="array" ref="L301">INDEX(coordinates!D:D,MATCH(municipalities!$A301,coordinates!$A:$A,0),0)</f>
        <v>52.030146110939469</v>
      </c>
      <c r="M301" s="8">
        <v>1</v>
      </c>
      <c r="N301" s="9">
        <v>114887</v>
      </c>
      <c r="O301" s="9">
        <v>57163</v>
      </c>
      <c r="P301" s="9">
        <v>57724</v>
      </c>
      <c r="Q301" s="9">
        <v>3</v>
      </c>
      <c r="R301" s="10">
        <v>1470</v>
      </c>
      <c r="S301" s="11">
        <v>69</v>
      </c>
      <c r="T301" s="11">
        <v>31</v>
      </c>
      <c r="U301" s="12">
        <f t="shared" si="32"/>
        <v>36.1</v>
      </c>
      <c r="V301" s="12">
        <f t="shared" si="33"/>
        <v>3.9</v>
      </c>
      <c r="W301" s="12">
        <f t="shared" si="34"/>
        <v>6</v>
      </c>
      <c r="X301" s="12">
        <f t="shared" si="35"/>
        <v>8.1999999999999993</v>
      </c>
      <c r="Y301" s="12">
        <f t="shared" si="36"/>
        <v>179.3</v>
      </c>
      <c r="Z301" s="12" cm="1">
        <f t="array" ref="Z301">INDEX(municipality_wind_potential!$X:$X,MATCH(municipalities!$F301,municipality_wind_potential!$E:$E,0),0)</f>
        <v>2</v>
      </c>
      <c r="AA301" s="12">
        <f t="shared" si="37"/>
        <v>11.2</v>
      </c>
      <c r="AB301" s="12" cm="1">
        <f t="array" ref="AB301">INDEX(municipality_wind_potential!$Y:$Y,MATCH(municipalities!$F301,municipality_wind_potential!$E:$E,0),0) / 3.6</f>
        <v>29.4</v>
      </c>
      <c r="AC301" s="12">
        <f t="shared" si="38"/>
        <v>185.76853851691862</v>
      </c>
      <c r="AD301" s="12" cm="1">
        <f t="array" ref="AD301">INDEX(municipality_pv_potential!$G:$G,MATCH(municipalities!$A301,municipality_pv_potential!$E:$E,0),0)/3.6*$AH$4</f>
        <v>172.02166666666665</v>
      </c>
      <c r="AE301" s="12">
        <f t="shared" si="39"/>
        <v>22.954163666906645</v>
      </c>
      <c r="AF301" s="12" cm="1">
        <f t="array" ref="AF301">INDEX(municipality_pv_potential!$H:$H,MATCH(municipalities!$A301,municipality_pv_potential!$E:$E,0),0)/3.6</f>
        <v>21.255555555555553</v>
      </c>
      <c r="AG301" s="12"/>
      <c r="AJ301">
        <v>36.1</v>
      </c>
      <c r="AK301">
        <v>3.9</v>
      </c>
      <c r="AL301">
        <v>6</v>
      </c>
      <c r="AM301">
        <v>8.1999999999999993</v>
      </c>
      <c r="AN301">
        <v>179.3</v>
      </c>
    </row>
    <row r="302" spans="1:40" x14ac:dyDescent="0.25">
      <c r="A302" s="5" t="s">
        <v>920</v>
      </c>
      <c r="B302" s="6" t="s">
        <v>921</v>
      </c>
      <c r="C302" s="7" t="s">
        <v>922</v>
      </c>
      <c r="D302" s="7" t="s">
        <v>922</v>
      </c>
      <c r="E302" s="7" t="s">
        <v>22</v>
      </c>
      <c r="F302" s="7" t="s">
        <v>920</v>
      </c>
      <c r="G302" s="7" t="str" cm="1">
        <f t="array" ref="G302">INDEX('municipalities per province'!F:F,MATCH(municipalities!A302,'municipalities per province'!B:B,0),0)</f>
        <v>Zuid-Holland</v>
      </c>
      <c r="H302" s="7" t="str" cm="1">
        <f t="array" ref="H302">INDEX('municipalities per province'!E:E,MATCH(municipalities!$A302,'municipalities per province'!$B:$B,0),0)</f>
        <v>PV28</v>
      </c>
      <c r="I302" s="7" t="str" cm="1">
        <f t="array" ref="I302">INDEX('municipalities per province'!G:G,MATCH(municipalities!$A302,'municipalities per province'!$B:$B,0),0)</f>
        <v>Rotterdam/DenHaag</v>
      </c>
      <c r="J302" s="7" t="str" cm="1">
        <f t="array" ref="J302">INDEX('municipalities per province'!H:H,MATCH(municipalities!$A302,'municipalities per province'!$B:$B,0),0)</f>
        <v>ES23</v>
      </c>
      <c r="K302" s="7" cm="1">
        <f t="array" ref="K302">INDEX(coordinates!C:C,MATCH(municipalities!$A302,coordinates!$A:$A,0),0)</f>
        <v>4.3061525360200212</v>
      </c>
      <c r="L302" s="7" cm="1">
        <f t="array" ref="L302">INDEX(coordinates!D:D,MATCH(municipalities!$A302,coordinates!$A:$A,0),0)</f>
        <v>51.964759927876727</v>
      </c>
      <c r="M302" s="8">
        <v>1</v>
      </c>
      <c r="N302" s="9">
        <v>19472</v>
      </c>
      <c r="O302" s="9">
        <v>9750</v>
      </c>
      <c r="P302" s="9">
        <v>9722</v>
      </c>
      <c r="Q302" s="9">
        <v>3</v>
      </c>
      <c r="R302" s="10">
        <v>1350</v>
      </c>
      <c r="S302" s="11">
        <v>73</v>
      </c>
      <c r="T302" s="11">
        <v>27</v>
      </c>
      <c r="U302" s="12">
        <f t="shared" si="32"/>
        <v>41</v>
      </c>
      <c r="V302" s="12">
        <f t="shared" si="33"/>
        <v>3.1</v>
      </c>
      <c r="W302" s="12">
        <f t="shared" si="34"/>
        <v>4.5999999999999996</v>
      </c>
      <c r="X302" s="12">
        <f t="shared" si="35"/>
        <v>6.3</v>
      </c>
      <c r="Y302" s="12">
        <f t="shared" si="36"/>
        <v>271.8</v>
      </c>
      <c r="Z302" s="12" cm="1">
        <f t="array" ref="Z302">INDEX(municipality_wind_potential!$X:$X,MATCH(municipalities!$F302,municipality_wind_potential!$E:$E,0),0)</f>
        <v>22</v>
      </c>
      <c r="AA302" s="12">
        <f t="shared" si="37"/>
        <v>123.19999999999999</v>
      </c>
      <c r="AB302" s="12" cm="1">
        <f t="array" ref="AB302">INDEX(municipality_wind_potential!$Y:$Y,MATCH(municipalities!$F302,municipality_wind_potential!$E:$E,0),0) / 3.6</f>
        <v>381.66666666666669</v>
      </c>
      <c r="AC302" s="12">
        <f t="shared" si="38"/>
        <v>31.021118310535158</v>
      </c>
      <c r="AD302" s="12" cm="1">
        <f t="array" ref="AD302">INDEX(municipality_pv_potential!$G:$G,MATCH(municipalities!$A302,municipality_pv_potential!$E:$E,0),0)/3.6*$AH$4</f>
        <v>28.725555555555555</v>
      </c>
      <c r="AE302" s="12">
        <f t="shared" si="39"/>
        <v>152.24682025437966</v>
      </c>
      <c r="AF302" s="12" cm="1">
        <f t="array" ref="AF302">INDEX(municipality_pv_potential!$H:$H,MATCH(municipalities!$A302,municipality_pv_potential!$E:$E,0),0)/3.6</f>
        <v>140.98055555555555</v>
      </c>
      <c r="AG302" s="12"/>
      <c r="AJ302">
        <v>41</v>
      </c>
      <c r="AK302">
        <v>3.1</v>
      </c>
      <c r="AL302">
        <v>4.5999999999999996</v>
      </c>
      <c r="AM302">
        <v>6.3</v>
      </c>
      <c r="AN302">
        <v>271.8</v>
      </c>
    </row>
    <row r="303" spans="1:40" x14ac:dyDescent="0.25">
      <c r="A303" s="5" t="s">
        <v>923</v>
      </c>
      <c r="B303" s="6" t="s">
        <v>924</v>
      </c>
      <c r="C303" s="7" t="s">
        <v>925</v>
      </c>
      <c r="D303" s="7" t="s">
        <v>925</v>
      </c>
      <c r="E303" s="7" t="s">
        <v>22</v>
      </c>
      <c r="F303" s="7" t="s">
        <v>923</v>
      </c>
      <c r="G303" s="7" t="str" cm="1">
        <f t="array" ref="G303">INDEX('municipalities per province'!F:F,MATCH(municipalities!A303,'municipalities per province'!B:B,0),0)</f>
        <v>Gelderland</v>
      </c>
      <c r="H303" s="7" t="str" cm="1">
        <f t="array" ref="H303">INDEX('municipalities per province'!E:E,MATCH(municipalities!$A303,'municipalities per province'!$B:$B,0),0)</f>
        <v>PV25</v>
      </c>
      <c r="I303" s="7" t="str" cm="1">
        <f t="array" ref="I303">INDEX('municipalities per province'!G:G,MATCH(municipalities!$A303,'municipalities per province'!$B:$B,0),0)</f>
        <v>Achterhoek</v>
      </c>
      <c r="J303" s="7" t="str" cm="1">
        <f t="array" ref="J303">INDEX('municipalities per province'!H:H,MATCH(municipalities!$A303,'municipalities per province'!$B:$B,0),0)</f>
        <v>ES07</v>
      </c>
      <c r="K303" s="7" cm="1">
        <f t="array" ref="K303">INDEX(coordinates!C:C,MATCH(municipalities!$A303,coordinates!$A:$A,0),0)</f>
        <v>6.5707527978857119</v>
      </c>
      <c r="L303" s="7" cm="1">
        <f t="array" ref="L303">INDEX(coordinates!D:D,MATCH(municipalities!$A303,coordinates!$A:$A,0),0)</f>
        <v>52.100927332862113</v>
      </c>
      <c r="M303" s="8">
        <v>1</v>
      </c>
      <c r="N303" s="9">
        <v>44022</v>
      </c>
      <c r="O303" s="9">
        <v>22076</v>
      </c>
      <c r="P303" s="9">
        <v>21946</v>
      </c>
      <c r="Q303" s="9">
        <v>4</v>
      </c>
      <c r="R303" s="10">
        <v>651</v>
      </c>
      <c r="S303" s="11">
        <v>68</v>
      </c>
      <c r="T303" s="11">
        <v>32</v>
      </c>
      <c r="U303" s="12">
        <f t="shared" si="32"/>
        <v>32.700000000000003</v>
      </c>
      <c r="V303" s="12">
        <f t="shared" si="33"/>
        <v>4</v>
      </c>
      <c r="W303" s="12">
        <f t="shared" si="34"/>
        <v>6.8</v>
      </c>
      <c r="X303" s="12">
        <f t="shared" si="35"/>
        <v>9.6</v>
      </c>
      <c r="Y303" s="12">
        <f t="shared" si="36"/>
        <v>155.80000000000001</v>
      </c>
      <c r="Z303" s="12" cm="1">
        <f t="array" ref="Z303">INDEX(municipality_wind_potential!$X:$X,MATCH(municipalities!$F303,municipality_wind_potential!$E:$E,0),0)</f>
        <v>98</v>
      </c>
      <c r="AA303" s="12">
        <f t="shared" si="37"/>
        <v>548.79999999999995</v>
      </c>
      <c r="AB303" s="12" cm="1">
        <f t="array" ref="AB303">INDEX(municipality_wind_potential!$Y:$Y,MATCH(municipalities!$F303,municipality_wind_potential!$E:$E,0),0) / 3.6</f>
        <v>1580.5444444444445</v>
      </c>
      <c r="AC303" s="12">
        <f t="shared" si="38"/>
        <v>160.76733861291098</v>
      </c>
      <c r="AD303" s="12" cm="1">
        <f t="array" ref="AD303">INDEX(municipality_pv_potential!$G:$G,MATCH(municipalities!$A303,municipality_pv_potential!$E:$E,0),0)/3.6*$AH$4</f>
        <v>148.87055555555557</v>
      </c>
      <c r="AE303" s="12">
        <f t="shared" si="39"/>
        <v>928.70470362371009</v>
      </c>
      <c r="AF303" s="12" cm="1">
        <f t="array" ref="AF303">INDEX(municipality_pv_potential!$H:$H,MATCH(municipalities!$A303,municipality_pv_potential!$E:$E,0),0)/3.6</f>
        <v>859.9805555555555</v>
      </c>
      <c r="AG303" s="12"/>
      <c r="AJ303">
        <v>32.700000000000003</v>
      </c>
      <c r="AK303">
        <v>4</v>
      </c>
      <c r="AL303">
        <v>6.8</v>
      </c>
      <c r="AM303">
        <v>9.6</v>
      </c>
      <c r="AN303">
        <v>155.80000000000001</v>
      </c>
    </row>
    <row r="304" spans="1:40" x14ac:dyDescent="0.25">
      <c r="A304" s="5" t="s">
        <v>926</v>
      </c>
      <c r="B304" s="6" t="s">
        <v>927</v>
      </c>
      <c r="C304" s="7" t="s">
        <v>928</v>
      </c>
      <c r="D304" s="7" t="s">
        <v>928</v>
      </c>
      <c r="E304" s="7" t="s">
        <v>22</v>
      </c>
      <c r="F304" s="7" t="s">
        <v>926</v>
      </c>
      <c r="G304" s="7" t="str" cm="1">
        <f t="array" ref="G304">INDEX('municipalities per province'!F:F,MATCH(municipalities!A304,'municipalities per province'!B:B,0),0)</f>
        <v>Gelderland</v>
      </c>
      <c r="H304" s="7" t="str" cm="1">
        <f t="array" ref="H304">INDEX('municipalities per province'!E:E,MATCH(municipalities!$A304,'municipalities per province'!$B:$B,0),0)</f>
        <v>PV25</v>
      </c>
      <c r="I304" s="7" t="str" cm="1">
        <f t="array" ref="I304">INDEX('municipalities per province'!G:G,MATCH(municipalities!$A304,'municipalities per province'!$B:$B,0),0)</f>
        <v>Achterhoek</v>
      </c>
      <c r="J304" s="7" t="str" cm="1">
        <f t="array" ref="J304">INDEX('municipalities per province'!H:H,MATCH(municipalities!$A304,'municipalities per province'!$B:$B,0),0)</f>
        <v>ES07</v>
      </c>
      <c r="K304" s="7" cm="1">
        <f t="array" ref="K304">INDEX(coordinates!C:C,MATCH(municipalities!$A304,coordinates!$A:$A,0),0)</f>
        <v>6.3029445180613841</v>
      </c>
      <c r="L304" s="7" cm="1">
        <f t="array" ref="L304">INDEX(coordinates!D:D,MATCH(municipalities!$A304,coordinates!$A:$A,0),0)</f>
        <v>52.04524043262672</v>
      </c>
      <c r="M304" s="8">
        <v>1</v>
      </c>
      <c r="N304" s="9">
        <v>36277</v>
      </c>
      <c r="O304" s="9">
        <v>18120</v>
      </c>
      <c r="P304" s="9">
        <v>18157</v>
      </c>
      <c r="Q304" s="9">
        <v>5</v>
      </c>
      <c r="R304" s="10">
        <v>382</v>
      </c>
      <c r="S304" s="11">
        <v>71</v>
      </c>
      <c r="T304" s="11">
        <v>29</v>
      </c>
      <c r="U304" s="12">
        <f t="shared" si="32"/>
        <v>36.200000000000003</v>
      </c>
      <c r="V304" s="12">
        <f t="shared" si="33"/>
        <v>4</v>
      </c>
      <c r="W304" s="12">
        <f t="shared" si="34"/>
        <v>6.4</v>
      </c>
      <c r="X304" s="12">
        <f t="shared" si="35"/>
        <v>8.9</v>
      </c>
      <c r="Y304" s="12">
        <f t="shared" si="36"/>
        <v>216.4</v>
      </c>
      <c r="Z304" s="12" cm="1">
        <f t="array" ref="Z304">INDEX(municipality_wind_potential!$X:$X,MATCH(municipalities!$F304,municipality_wind_potential!$E:$E,0),0)</f>
        <v>105</v>
      </c>
      <c r="AA304" s="12">
        <f t="shared" si="37"/>
        <v>588</v>
      </c>
      <c r="AB304" s="12" cm="1">
        <f t="array" ref="AB304">INDEX(municipality_wind_potential!$Y:$Y,MATCH(municipalities!$F304,municipality_wind_potential!$E:$E,0),0) / 3.6</f>
        <v>1550.7805555555556</v>
      </c>
      <c r="AC304" s="12">
        <f t="shared" si="38"/>
        <v>138.11075113990881</v>
      </c>
      <c r="AD304" s="12" cm="1">
        <f t="array" ref="AD304">INDEX(municipality_pv_potential!$G:$G,MATCH(municipalities!$A304,municipality_pv_potential!$E:$E,0),0)/3.6*$AH$4</f>
        <v>127.89055555555557</v>
      </c>
      <c r="AE304" s="12">
        <f t="shared" si="39"/>
        <v>983.85229181665466</v>
      </c>
      <c r="AF304" s="12" cm="1">
        <f t="array" ref="AF304">INDEX(municipality_pv_potential!$H:$H,MATCH(municipalities!$A304,municipality_pv_potential!$E:$E,0),0)/3.6</f>
        <v>911.04722222222222</v>
      </c>
      <c r="AG304" s="12"/>
      <c r="AJ304">
        <v>36.200000000000003</v>
      </c>
      <c r="AK304">
        <v>4</v>
      </c>
      <c r="AL304">
        <v>6.4</v>
      </c>
      <c r="AM304">
        <v>8.9</v>
      </c>
      <c r="AN304">
        <v>216.4</v>
      </c>
    </row>
    <row r="305" spans="1:40" x14ac:dyDescent="0.25">
      <c r="A305" s="5" t="s">
        <v>929</v>
      </c>
      <c r="B305" s="6" t="s">
        <v>930</v>
      </c>
      <c r="C305" s="7" t="s">
        <v>931</v>
      </c>
      <c r="D305" s="7" t="s">
        <v>931</v>
      </c>
      <c r="E305" s="7" t="s">
        <v>22</v>
      </c>
      <c r="F305" s="7" t="s">
        <v>929</v>
      </c>
      <c r="G305" s="7" t="str" cm="1">
        <f t="array" ref="G305">INDEX('municipalities per province'!F:F,MATCH(municipalities!A305,'municipalities per province'!B:B,0),0)</f>
        <v>Limburg</v>
      </c>
      <c r="H305" s="7" t="str" cm="1">
        <f t="array" ref="H305">INDEX('municipalities per province'!E:E,MATCH(municipalities!$A305,'municipalities per province'!$B:$B,0),0)</f>
        <v>PV31</v>
      </c>
      <c r="I305" s="7" t="str" cm="1">
        <f t="array" ref="I305">INDEX('municipalities per province'!G:G,MATCH(municipalities!$A305,'municipalities per province'!$B:$B,0),0)</f>
        <v>Zuid-Limburg</v>
      </c>
      <c r="J305" s="7" t="str" cm="1">
        <f t="array" ref="J305">INDEX('municipalities per province'!H:H,MATCH(municipalities!$A305,'municipalities per province'!$B:$B,0),0)</f>
        <v>ES30</v>
      </c>
      <c r="K305" s="7" cm="1">
        <f t="array" ref="K305">INDEX(coordinates!C:C,MATCH(municipalities!$A305,coordinates!$A:$A,0),0)</f>
        <v>5.828193134616324</v>
      </c>
      <c r="L305" s="7" cm="1">
        <f t="array" ref="L305">INDEX(coordinates!D:D,MATCH(municipalities!$A305,coordinates!$A:$A,0),0)</f>
        <v>51.004872005217898</v>
      </c>
      <c r="M305" s="8">
        <v>1</v>
      </c>
      <c r="N305" s="9">
        <v>92234</v>
      </c>
      <c r="O305" s="9">
        <v>45772</v>
      </c>
      <c r="P305" s="9">
        <v>46462</v>
      </c>
      <c r="Q305" s="9">
        <v>2</v>
      </c>
      <c r="R305" s="10">
        <v>1524</v>
      </c>
      <c r="S305" s="11">
        <v>58</v>
      </c>
      <c r="T305" s="11">
        <v>41</v>
      </c>
      <c r="U305" s="12">
        <f t="shared" si="32"/>
        <v>30.9</v>
      </c>
      <c r="V305" s="12">
        <f t="shared" si="33"/>
        <v>7.7</v>
      </c>
      <c r="W305" s="12">
        <f t="shared" si="34"/>
        <v>12.2</v>
      </c>
      <c r="X305" s="12">
        <f t="shared" si="35"/>
        <v>15.4</v>
      </c>
      <c r="Y305" s="12">
        <f t="shared" si="36"/>
        <v>69.5</v>
      </c>
      <c r="Z305" s="12" cm="1">
        <f t="array" ref="Z305">INDEX(municipality_wind_potential!$X:$X,MATCH(municipalities!$F305,municipality_wind_potential!$E:$E,0),0)</f>
        <v>20</v>
      </c>
      <c r="AA305" s="12">
        <f t="shared" si="37"/>
        <v>112</v>
      </c>
      <c r="AB305" s="12" cm="1">
        <f t="array" ref="AB305">INDEX(municipality_wind_potential!$Y:$Y,MATCH(municipalities!$F305,municipality_wind_potential!$E:$E,0),0) / 3.6</f>
        <v>296.8</v>
      </c>
      <c r="AC305" s="12">
        <f t="shared" si="38"/>
        <v>189.73002159827215</v>
      </c>
      <c r="AD305" s="12" cm="1">
        <f t="array" ref="AD305">INDEX(municipality_pv_potential!$G:$G,MATCH(municipalities!$A305,municipality_pv_potential!$E:$E,0),0)/3.6*$AH$4</f>
        <v>175.69000000000003</v>
      </c>
      <c r="AE305" s="12">
        <f t="shared" si="39"/>
        <v>134.51523878089753</v>
      </c>
      <c r="AF305" s="12" cm="1">
        <f t="array" ref="AF305">INDEX(municipality_pv_potential!$H:$H,MATCH(municipalities!$A305,municipality_pv_potential!$E:$E,0),0)/3.6</f>
        <v>124.56111111111112</v>
      </c>
      <c r="AG305" s="12"/>
      <c r="AJ305">
        <v>30.9</v>
      </c>
      <c r="AK305">
        <v>7.7</v>
      </c>
      <c r="AL305">
        <v>12.2</v>
      </c>
      <c r="AM305">
        <v>15.4</v>
      </c>
      <c r="AN305">
        <v>69.5</v>
      </c>
    </row>
    <row r="306" spans="1:40" x14ac:dyDescent="0.25">
      <c r="A306" s="5" t="s">
        <v>932</v>
      </c>
      <c r="B306" s="6" t="s">
        <v>933</v>
      </c>
      <c r="C306" s="7" t="s">
        <v>934</v>
      </c>
      <c r="D306" s="7" t="s">
        <v>934</v>
      </c>
      <c r="E306" s="7" t="s">
        <v>22</v>
      </c>
      <c r="F306" s="7" t="s">
        <v>932</v>
      </c>
      <c r="G306" s="7" t="str" cm="1">
        <f t="array" ref="G306">INDEX('municipalities per province'!F:F,MATCH(municipalities!A306,'municipalities per province'!B:B,0),0)</f>
        <v>Zuid-Holland</v>
      </c>
      <c r="H306" s="7" t="str" cm="1">
        <f t="array" ref="H306">INDEX('municipalities per province'!E:E,MATCH(municipalities!$A306,'municipalities per province'!$B:$B,0),0)</f>
        <v>PV28</v>
      </c>
      <c r="I306" s="7" t="str" cm="1">
        <f t="array" ref="I306">INDEX('municipalities per province'!G:G,MATCH(municipalities!$A306,'municipalities per province'!$B:$B,0),0)</f>
        <v>HollandRijnland</v>
      </c>
      <c r="J306" s="7" t="str" cm="1">
        <f t="array" ref="J306">INDEX('municipalities per province'!H:H,MATCH(municipalities!$A306,'municipalities per province'!$B:$B,0),0)</f>
        <v>ES21</v>
      </c>
      <c r="K306" s="7" cm="1">
        <f t="array" ref="K306">INDEX(coordinates!C:C,MATCH(municipalities!$A306,coordinates!$A:$A,0),0)</f>
        <v>4.6292119323889782</v>
      </c>
      <c r="L306" s="7" cm="1">
        <f t="array" ref="L306">INDEX(coordinates!D:D,MATCH(municipalities!$A306,coordinates!$A:$A,0),0)</f>
        <v>52.192579837108447</v>
      </c>
      <c r="M306" s="8">
        <v>1</v>
      </c>
      <c r="N306" s="9">
        <v>28573</v>
      </c>
      <c r="O306" s="9">
        <v>14426</v>
      </c>
      <c r="P306" s="9">
        <v>14147</v>
      </c>
      <c r="Q306" s="9">
        <v>4</v>
      </c>
      <c r="R306" s="10">
        <v>664</v>
      </c>
      <c r="S306" s="11">
        <v>65</v>
      </c>
      <c r="T306" s="11">
        <v>34</v>
      </c>
      <c r="U306" s="12">
        <f t="shared" si="32"/>
        <v>38.200000000000003</v>
      </c>
      <c r="V306" s="12">
        <f t="shared" si="33"/>
        <v>3.8</v>
      </c>
      <c r="W306" s="12">
        <f t="shared" si="34"/>
        <v>5.9</v>
      </c>
      <c r="X306" s="12">
        <f t="shared" si="35"/>
        <v>8.4</v>
      </c>
      <c r="Y306" s="12">
        <f t="shared" si="36"/>
        <v>193.9</v>
      </c>
      <c r="Z306" s="12" cm="1">
        <f t="array" ref="Z306">INDEX(municipality_wind_potential!$X:$X,MATCH(municipalities!$F306,municipality_wind_potential!$E:$E,0),0)</f>
        <v>27</v>
      </c>
      <c r="AA306" s="12">
        <f t="shared" si="37"/>
        <v>151.19999999999999</v>
      </c>
      <c r="AB306" s="12" cm="1">
        <f t="array" ref="AB306">INDEX(municipality_wind_potential!$Y:$Y,MATCH(municipalities!$F306,municipality_wind_potential!$E:$E,0),0) / 3.6</f>
        <v>479.30277777777775</v>
      </c>
      <c r="AC306" s="12">
        <f t="shared" si="38"/>
        <v>50.026397888168958</v>
      </c>
      <c r="AD306" s="12" cm="1">
        <f t="array" ref="AD306">INDEX(municipality_pv_potential!$G:$G,MATCH(municipalities!$A306,municipality_pv_potential!$E:$E,0),0)/3.6*$AH$4</f>
        <v>46.324444444444453</v>
      </c>
      <c r="AE306" s="12">
        <f t="shared" si="39"/>
        <v>234.45824334053279</v>
      </c>
      <c r="AF306" s="12" cm="1">
        <f t="array" ref="AF306">INDEX(municipality_pv_potential!$H:$H,MATCH(municipalities!$A306,municipality_pv_potential!$E:$E,0),0)/3.6</f>
        <v>217.10833333333335</v>
      </c>
      <c r="AG306" s="12"/>
      <c r="AJ306">
        <v>38.200000000000003</v>
      </c>
      <c r="AK306">
        <v>3.8</v>
      </c>
      <c r="AL306">
        <v>5.9</v>
      </c>
      <c r="AM306">
        <v>8.4</v>
      </c>
      <c r="AN306">
        <v>193.9</v>
      </c>
    </row>
    <row r="307" spans="1:40" x14ac:dyDescent="0.25">
      <c r="A307" s="5" t="s">
        <v>935</v>
      </c>
      <c r="B307" s="6" t="s">
        <v>936</v>
      </c>
      <c r="C307" s="7" t="s">
        <v>937</v>
      </c>
      <c r="D307" s="7" t="s">
        <v>937</v>
      </c>
      <c r="E307" s="7" t="s">
        <v>22</v>
      </c>
      <c r="F307" s="7" t="s">
        <v>935</v>
      </c>
      <c r="G307" s="7" t="str" cm="1">
        <f t="array" ref="G307">INDEX('municipalities per province'!F:F,MATCH(municipalities!A307,'municipalities per province'!B:B,0),0)</f>
        <v>Friesland</v>
      </c>
      <c r="H307" s="7" t="str" cm="1">
        <f t="array" ref="H307">INDEX('municipalities per province'!E:E,MATCH(municipalities!$A307,'municipalities per province'!$B:$B,0),0)</f>
        <v>PV21</v>
      </c>
      <c r="I307" s="7" t="str" cm="1">
        <f t="array" ref="I307">INDEX('municipalities per province'!G:G,MATCH(municipalities!$A307,'municipalities per province'!$B:$B,0),0)</f>
        <v>Friesland</v>
      </c>
      <c r="J307" s="7" t="str" cm="1">
        <f t="array" ref="J307">INDEX('municipalities per province'!H:H,MATCH(municipalities!$A307,'municipalities per province'!$B:$B,0),0)</f>
        <v>ES02</v>
      </c>
      <c r="K307" s="7" cm="1">
        <f t="array" ref="K307">INDEX(coordinates!C:C,MATCH(municipalities!$A307,coordinates!$A:$A,0),0)</f>
        <v>5.9845275104355702</v>
      </c>
      <c r="L307" s="7" cm="1">
        <f t="array" ref="L307">INDEX(coordinates!D:D,MATCH(municipalities!$A307,coordinates!$A:$A,0),0)</f>
        <v>53.280049330215739</v>
      </c>
      <c r="M307" s="8">
        <v>1</v>
      </c>
      <c r="N307" s="9">
        <v>19194</v>
      </c>
      <c r="O307" s="9">
        <v>9638</v>
      </c>
      <c r="P307" s="9">
        <v>9556</v>
      </c>
      <c r="Q307" s="9">
        <v>5</v>
      </c>
      <c r="R307" s="10">
        <v>458</v>
      </c>
      <c r="S307" s="11">
        <v>63</v>
      </c>
      <c r="T307" s="11">
        <v>37</v>
      </c>
      <c r="U307" s="12">
        <f t="shared" si="32"/>
        <v>29.8</v>
      </c>
      <c r="V307" s="12">
        <f t="shared" si="33"/>
        <v>6.3</v>
      </c>
      <c r="W307" s="12">
        <f t="shared" si="34"/>
        <v>10.1</v>
      </c>
      <c r="X307" s="12">
        <f t="shared" si="35"/>
        <v>13.6</v>
      </c>
      <c r="Y307" s="12">
        <f t="shared" si="36"/>
        <v>119.9</v>
      </c>
      <c r="Z307" s="12" cm="1">
        <f t="array" ref="Z307">INDEX(municipality_wind_potential!$X:$X,MATCH(municipalities!$F307,municipality_wind_potential!$E:$E,0),0)</f>
        <v>35</v>
      </c>
      <c r="AA307" s="12">
        <f t="shared" si="37"/>
        <v>196</v>
      </c>
      <c r="AB307" s="12" cm="1">
        <f t="array" ref="AB307">INDEX(municipality_wind_potential!$Y:$Y,MATCH(municipalities!$F307,municipality_wind_potential!$E:$E,0),0) / 3.6</f>
        <v>676.2</v>
      </c>
      <c r="AC307" s="12">
        <f t="shared" si="38"/>
        <v>42.787377009839204</v>
      </c>
      <c r="AD307" s="12" cm="1">
        <f t="array" ref="AD307">INDEX(municipality_pv_potential!$G:$G,MATCH(municipalities!$A307,municipality_pv_potential!$E:$E,0),0)/3.6*$AH$4</f>
        <v>39.621111111111105</v>
      </c>
      <c r="AE307" s="12">
        <f t="shared" si="39"/>
        <v>313.34593232541391</v>
      </c>
      <c r="AF307" s="12" cm="1">
        <f t="array" ref="AF307">INDEX(municipality_pv_potential!$H:$H,MATCH(municipalities!$A307,municipality_pv_potential!$E:$E,0),0)/3.6</f>
        <v>290.1583333333333</v>
      </c>
      <c r="AG307" s="12"/>
      <c r="AJ307">
        <v>29.8</v>
      </c>
      <c r="AK307">
        <v>6.3</v>
      </c>
      <c r="AL307">
        <v>10.1</v>
      </c>
      <c r="AM307">
        <v>13.6</v>
      </c>
      <c r="AN307">
        <v>119.9</v>
      </c>
    </row>
    <row r="308" spans="1:40" x14ac:dyDescent="0.25">
      <c r="A308" s="5" t="s">
        <v>938</v>
      </c>
      <c r="B308" s="6" t="s">
        <v>939</v>
      </c>
      <c r="C308" s="7" t="s">
        <v>940</v>
      </c>
      <c r="D308" s="7" t="s">
        <v>940</v>
      </c>
      <c r="E308" s="7" t="s">
        <v>22</v>
      </c>
      <c r="F308" s="7" t="s">
        <v>938</v>
      </c>
      <c r="G308" s="7" t="str" cm="1">
        <f t="array" ref="G308">INDEX('municipalities per province'!F:F,MATCH(municipalities!A308,'municipalities per province'!B:B,0),0)</f>
        <v>Zuid-Holland</v>
      </c>
      <c r="H308" s="7" t="str" cm="1">
        <f t="array" ref="H308">INDEX('municipalities per province'!E:E,MATCH(municipalities!$A308,'municipalities per province'!$B:$B,0),0)</f>
        <v>PV28</v>
      </c>
      <c r="I308" s="7" t="str" cm="1">
        <f t="array" ref="I308">INDEX('municipalities per province'!G:G,MATCH(municipalities!$A308,'municipalities per province'!$B:$B,0),0)</f>
        <v>Midden-Holland</v>
      </c>
      <c r="J308" s="7" t="str" cm="1">
        <f t="array" ref="J308">INDEX('municipalities per province'!H:H,MATCH(municipalities!$A308,'municipalities per province'!$B:$B,0),0)</f>
        <v>ES22</v>
      </c>
      <c r="K308" s="7" cm="1">
        <f t="array" ref="K308">INDEX(coordinates!C:C,MATCH(municipalities!$A308,coordinates!$A:$A,0),0)</f>
        <v>4.6070583933833058</v>
      </c>
      <c r="L308" s="7" cm="1">
        <f t="array" ref="L308">INDEX(coordinates!D:D,MATCH(municipalities!$A308,coordinates!$A:$A,0),0)</f>
        <v>51.998892082467052</v>
      </c>
      <c r="M308" s="8">
        <v>1</v>
      </c>
      <c r="N308" s="9">
        <v>46981</v>
      </c>
      <c r="O308" s="9">
        <v>23369</v>
      </c>
      <c r="P308" s="9">
        <v>23612</v>
      </c>
      <c r="Q308" s="9">
        <v>3</v>
      </c>
      <c r="R308" s="10">
        <v>1201</v>
      </c>
      <c r="S308" s="11">
        <v>68</v>
      </c>
      <c r="T308" s="11">
        <v>32</v>
      </c>
      <c r="U308" s="12">
        <f t="shared" si="32"/>
        <v>37.700000000000003</v>
      </c>
      <c r="V308" s="12">
        <f t="shared" si="33"/>
        <v>4</v>
      </c>
      <c r="W308" s="12">
        <f t="shared" si="34"/>
        <v>6.1</v>
      </c>
      <c r="X308" s="12">
        <f t="shared" si="35"/>
        <v>8.1999999999999993</v>
      </c>
      <c r="Y308" s="12">
        <f t="shared" si="36"/>
        <v>157.69999999999999</v>
      </c>
      <c r="Z308" s="12" cm="1">
        <f t="array" ref="Z308">INDEX(municipality_wind_potential!$X:$X,MATCH(municipalities!$F308,municipality_wind_potential!$E:$E,0),0)</f>
        <v>17</v>
      </c>
      <c r="AA308" s="12">
        <f t="shared" si="37"/>
        <v>95.199999999999989</v>
      </c>
      <c r="AB308" s="12" cm="1">
        <f t="array" ref="AB308">INDEX(municipality_wind_potential!$Y:$Y,MATCH(municipalities!$F308,municipality_wind_potential!$E:$E,0),0) / 3.6</f>
        <v>292.90833333333336</v>
      </c>
      <c r="AC308" s="12">
        <f t="shared" si="38"/>
        <v>65.995320374370053</v>
      </c>
      <c r="AD308" s="12" cm="1">
        <f t="array" ref="AD308">INDEX(municipality_pv_potential!$G:$G,MATCH(municipalities!$A308,municipality_pv_potential!$E:$E,0),0)/3.6*$AH$4</f>
        <v>61.111666666666672</v>
      </c>
      <c r="AE308" s="12">
        <f t="shared" si="39"/>
        <v>142.11063114950804</v>
      </c>
      <c r="AF308" s="12" cm="1">
        <f t="array" ref="AF308">INDEX(municipality_pv_potential!$H:$H,MATCH(municipalities!$A308,municipality_pv_potential!$E:$E,0),0)/3.6</f>
        <v>131.59444444444443</v>
      </c>
      <c r="AG308" s="12"/>
      <c r="AJ308">
        <v>37.700000000000003</v>
      </c>
      <c r="AK308">
        <v>4</v>
      </c>
      <c r="AL308">
        <v>6.1</v>
      </c>
      <c r="AM308">
        <v>8.1999999999999993</v>
      </c>
      <c r="AN308">
        <v>157.69999999999999</v>
      </c>
    </row>
    <row r="309" spans="1:40" x14ac:dyDescent="0.25">
      <c r="A309" s="5" t="s">
        <v>941</v>
      </c>
      <c r="B309" s="6" t="s">
        <v>942</v>
      </c>
      <c r="C309" s="7" t="s">
        <v>943</v>
      </c>
      <c r="D309" s="7" t="s">
        <v>943</v>
      </c>
      <c r="E309" s="7" t="s">
        <v>22</v>
      </c>
      <c r="F309" s="7" t="s">
        <v>941</v>
      </c>
      <c r="G309" s="7" t="str" cm="1">
        <f t="array" ref="G309">INDEX('municipalities per province'!F:F,MATCH(municipalities!A309,'municipalities per province'!B:B,0),0)</f>
        <v>Limburg</v>
      </c>
      <c r="H309" s="7" t="str" cm="1">
        <f t="array" ref="H309">INDEX('municipalities per province'!E:E,MATCH(municipalities!$A309,'municipalities per province'!$B:$B,0),0)</f>
        <v>PV31</v>
      </c>
      <c r="I309" s="7" t="str" cm="1">
        <f t="array" ref="I309">INDEX('municipalities per province'!G:G,MATCH(municipalities!$A309,'municipalities per province'!$B:$B,0),0)</f>
        <v>Noord-enMidden-Limburg</v>
      </c>
      <c r="J309" s="7" t="str" cm="1">
        <f t="array" ref="J309">INDEX('municipalities per province'!H:H,MATCH(municipalities!$A309,'municipalities per province'!$B:$B,0),0)</f>
        <v>ES29</v>
      </c>
      <c r="K309" s="7" cm="1">
        <f t="array" ref="K309">INDEX(coordinates!C:C,MATCH(municipalities!$A309,coordinates!$A:$A,0),0)</f>
        <v>5.9948464947639142</v>
      </c>
      <c r="L309" s="7" cm="1">
        <f t="array" ref="L309">INDEX(coordinates!D:D,MATCH(municipalities!$A309,coordinates!$A:$A,0),0)</f>
        <v>51.336297465822909</v>
      </c>
      <c r="M309" s="8">
        <v>1</v>
      </c>
      <c r="N309" s="9">
        <v>45276</v>
      </c>
      <c r="O309" s="9">
        <v>23060</v>
      </c>
      <c r="P309" s="9">
        <v>22216</v>
      </c>
      <c r="Q309" s="9">
        <v>4</v>
      </c>
      <c r="R309" s="10">
        <v>597</v>
      </c>
      <c r="S309" s="11">
        <v>73</v>
      </c>
      <c r="T309" s="11">
        <v>27</v>
      </c>
      <c r="U309" s="12">
        <f t="shared" si="32"/>
        <v>34.1</v>
      </c>
      <c r="V309" s="12">
        <f t="shared" si="33"/>
        <v>3.4</v>
      </c>
      <c r="W309" s="12">
        <f t="shared" si="34"/>
        <v>5.8</v>
      </c>
      <c r="X309" s="12">
        <f t="shared" si="35"/>
        <v>8</v>
      </c>
      <c r="Y309" s="12">
        <f t="shared" si="36"/>
        <v>185.6</v>
      </c>
      <c r="Z309" s="12" cm="1">
        <f t="array" ref="Z309">INDEX(municipality_wind_potential!$X:$X,MATCH(municipalities!$F309,municipality_wind_potential!$E:$E,0),0)</f>
        <v>76</v>
      </c>
      <c r="AA309" s="12">
        <f t="shared" si="37"/>
        <v>425.59999999999997</v>
      </c>
      <c r="AB309" s="12" cm="1">
        <f t="array" ref="AB309">INDEX(municipality_wind_potential!$Y:$Y,MATCH(municipalities!$F309,municipality_wind_potential!$E:$E,0),0) / 3.6</f>
        <v>1127.8388888888887</v>
      </c>
      <c r="AC309" s="12">
        <f t="shared" si="38"/>
        <v>144.15586753059753</v>
      </c>
      <c r="AD309" s="12" cm="1">
        <f t="array" ref="AD309">INDEX(municipality_pv_potential!$G:$G,MATCH(municipalities!$A309,municipality_pv_potential!$E:$E,0),0)/3.6*$AH$4</f>
        <v>133.48833333333332</v>
      </c>
      <c r="AE309" s="12">
        <f t="shared" si="39"/>
        <v>427.44780417566596</v>
      </c>
      <c r="AF309" s="12" cm="1">
        <f t="array" ref="AF309">INDEX(municipality_pv_potential!$H:$H,MATCH(municipalities!$A309,municipality_pv_potential!$E:$E,0),0)/3.6</f>
        <v>395.81666666666666</v>
      </c>
      <c r="AG309" s="12"/>
      <c r="AJ309">
        <v>34.1</v>
      </c>
      <c r="AK309">
        <v>3.4</v>
      </c>
      <c r="AL309">
        <v>5.8</v>
      </c>
      <c r="AM309">
        <v>8</v>
      </c>
      <c r="AN309">
        <v>185.6</v>
      </c>
    </row>
    <row r="310" spans="1:40" x14ac:dyDescent="0.25">
      <c r="A310" s="5" t="s">
        <v>944</v>
      </c>
      <c r="B310" s="6" t="s">
        <v>945</v>
      </c>
      <c r="C310" s="7" t="s">
        <v>946</v>
      </c>
      <c r="D310" s="7" t="s">
        <v>946</v>
      </c>
      <c r="E310" s="7" t="s">
        <v>22</v>
      </c>
      <c r="F310" s="7" t="s">
        <v>944</v>
      </c>
      <c r="G310" s="7" t="str" cm="1">
        <f t="array" ref="G310">INDEX('municipalities per province'!F:F,MATCH(municipalities!A310,'municipalities per province'!B:B,0),0)</f>
        <v>Groningen</v>
      </c>
      <c r="H310" s="7" t="str" cm="1">
        <f t="array" ref="H310">INDEX('municipalities per province'!E:E,MATCH(municipalities!$A310,'municipalities per province'!$B:$B,0),0)</f>
        <v>PV20</v>
      </c>
      <c r="I310" s="7" t="str" cm="1">
        <f t="array" ref="I310">INDEX('municipalities per province'!G:G,MATCH(municipalities!$A310,'municipalities per province'!$B:$B,0),0)</f>
        <v>Groningen</v>
      </c>
      <c r="J310" s="7" t="str" cm="1">
        <f t="array" ref="J310">INDEX('municipalities per province'!H:H,MATCH(municipalities!$A310,'municipalities per province'!$B:$B,0),0)</f>
        <v>ES01</v>
      </c>
      <c r="K310" s="7" cm="1">
        <f t="array" ref="K310">INDEX(coordinates!C:C,MATCH(municipalities!$A310,coordinates!$A:$A,0),0)</f>
        <v>7.1570400427472078</v>
      </c>
      <c r="L310" s="7" cm="1">
        <f t="array" ref="L310">INDEX(coordinates!D:D,MATCH(municipalities!$A310,coordinates!$A:$A,0),0)</f>
        <v>53.287128170886739</v>
      </c>
      <c r="M310" s="8">
        <v>1</v>
      </c>
      <c r="N310" s="9">
        <v>39044</v>
      </c>
      <c r="O310" s="9">
        <v>19597</v>
      </c>
      <c r="P310" s="9">
        <v>19447</v>
      </c>
      <c r="Q310" s="9">
        <v>4</v>
      </c>
      <c r="R310" s="10">
        <v>841</v>
      </c>
      <c r="S310" s="11">
        <v>63</v>
      </c>
      <c r="T310" s="11">
        <v>36</v>
      </c>
      <c r="U310" s="12">
        <f t="shared" si="32"/>
        <v>28.9</v>
      </c>
      <c r="V310" s="12">
        <f t="shared" si="33"/>
        <v>8</v>
      </c>
      <c r="W310" s="12">
        <f t="shared" si="34"/>
        <v>13.1</v>
      </c>
      <c r="X310" s="12">
        <f t="shared" si="35"/>
        <v>16.7</v>
      </c>
      <c r="Y310" s="12">
        <f t="shared" si="36"/>
        <v>62.1</v>
      </c>
      <c r="Z310" s="12" cm="1">
        <f t="array" ref="Z310">INDEX(municipality_wind_potential!$X:$X,MATCH(municipalities!$F310,municipality_wind_potential!$E:$E,0),0)</f>
        <v>180</v>
      </c>
      <c r="AA310" s="12">
        <f t="shared" si="37"/>
        <v>1007.9999999999999</v>
      </c>
      <c r="AB310" s="12" cm="1">
        <f t="array" ref="AB310">INDEX(municipality_wind_potential!$Y:$Y,MATCH(municipalities!$F310,municipality_wind_potential!$E:$E,0),0) / 3.6</f>
        <v>3527.9999999999995</v>
      </c>
      <c r="AC310" s="12">
        <f t="shared" si="38"/>
        <v>100.69474442044637</v>
      </c>
      <c r="AD310" s="12" cm="1">
        <f t="array" ref="AD310">INDEX(municipality_pv_potential!$G:$G,MATCH(municipalities!$A310,municipality_pv_potential!$E:$E,0),0)/3.6*$AH$4</f>
        <v>93.243333333333339</v>
      </c>
      <c r="AE310" s="12">
        <f t="shared" si="39"/>
        <v>883.9092872570194</v>
      </c>
      <c r="AF310" s="12" cm="1">
        <f t="array" ref="AF310">INDEX(municipality_pv_potential!$H:$H,MATCH(municipalities!$A310,municipality_pv_potential!$E:$E,0),0)/3.6</f>
        <v>818.5</v>
      </c>
      <c r="AG310" s="12"/>
      <c r="AJ310">
        <v>28.9</v>
      </c>
      <c r="AK310">
        <v>8</v>
      </c>
      <c r="AL310">
        <v>13.1</v>
      </c>
      <c r="AM310">
        <v>16.7</v>
      </c>
      <c r="AN310">
        <v>62.1</v>
      </c>
    </row>
    <row r="311" spans="1:40" x14ac:dyDescent="0.25">
      <c r="A311" s="5" t="s">
        <v>947</v>
      </c>
      <c r="B311" s="6" t="s">
        <v>948</v>
      </c>
      <c r="C311" s="7" t="s">
        <v>949</v>
      </c>
      <c r="D311" s="7" t="s">
        <v>949</v>
      </c>
      <c r="E311" s="7" t="s">
        <v>22</v>
      </c>
      <c r="F311" s="7" t="s">
        <v>947</v>
      </c>
      <c r="G311" s="7" t="str" cm="1">
        <f t="array" ref="G311">INDEX('municipalities per province'!F:F,MATCH(municipalities!A311,'municipalities per province'!B:B,0),0)</f>
        <v>Overijssel</v>
      </c>
      <c r="H311" s="7" t="str" cm="1">
        <f t="array" ref="H311">INDEX('municipalities per province'!E:E,MATCH(municipalities!$A311,'municipalities per province'!$B:$B,0),0)</f>
        <v>PV23</v>
      </c>
      <c r="I311" s="7" t="str" cm="1">
        <f t="array" ref="I311">INDEX('municipalities per province'!G:G,MATCH(municipalities!$A311,'municipalities per province'!$B:$B,0),0)</f>
        <v>West-Overijssel</v>
      </c>
      <c r="J311" s="7" t="str" cm="1">
        <f t="array" ref="J311">INDEX('municipalities per province'!H:H,MATCH(municipalities!$A311,'municipalities per province'!$B:$B,0),0)</f>
        <v>ES05</v>
      </c>
      <c r="K311" s="7" cm="1">
        <f t="array" ref="K311">INDEX(coordinates!C:C,MATCH(municipalities!$A311,coordinates!$A:$A,0),0)</f>
        <v>6.0008020895129457</v>
      </c>
      <c r="L311" s="7" cm="1">
        <f t="array" ref="L311">INDEX(coordinates!D:D,MATCH(municipalities!$A311,coordinates!$A:$A,0),0)</f>
        <v>52.633001622978327</v>
      </c>
      <c r="M311" s="8">
        <v>1</v>
      </c>
      <c r="N311" s="9">
        <v>23368</v>
      </c>
      <c r="O311" s="9">
        <v>11852</v>
      </c>
      <c r="P311" s="9">
        <v>11516</v>
      </c>
      <c r="Q311" s="9">
        <v>4</v>
      </c>
      <c r="R311" s="10">
        <v>736</v>
      </c>
      <c r="S311" s="11">
        <v>72</v>
      </c>
      <c r="T311" s="11">
        <v>28</v>
      </c>
      <c r="U311" s="12">
        <f t="shared" si="32"/>
        <v>35.200000000000003</v>
      </c>
      <c r="V311" s="12">
        <f t="shared" si="33"/>
        <v>3.3</v>
      </c>
      <c r="W311" s="12">
        <f t="shared" si="34"/>
        <v>5.5</v>
      </c>
      <c r="X311" s="12">
        <f t="shared" si="35"/>
        <v>7.8</v>
      </c>
      <c r="Y311" s="12">
        <f t="shared" si="36"/>
        <v>125.9</v>
      </c>
      <c r="Z311" s="12" cm="1">
        <f t="array" ref="Z311">INDEX(municipality_wind_potential!$X:$X,MATCH(municipalities!$F311,municipality_wind_potential!$E:$E,0),0)</f>
        <v>57</v>
      </c>
      <c r="AA311" s="12">
        <f t="shared" si="37"/>
        <v>319.2</v>
      </c>
      <c r="AB311" s="12" cm="1">
        <f t="array" ref="AB311">INDEX(municipality_wind_potential!$Y:$Y,MATCH(municipalities!$F311,municipality_wind_potential!$E:$E,0),0) / 3.6</f>
        <v>1002.9888888888889</v>
      </c>
      <c r="AC311" s="12">
        <f t="shared" si="38"/>
        <v>60.324574034077266</v>
      </c>
      <c r="AD311" s="12" cm="1">
        <f t="array" ref="AD311">INDEX(municipality_pv_potential!$G:$G,MATCH(municipalities!$A311,municipality_pv_potential!$E:$E,0),0)/3.6*$AH$4</f>
        <v>55.86055555555555</v>
      </c>
      <c r="AE311" s="12">
        <f t="shared" si="39"/>
        <v>322.07223422126231</v>
      </c>
      <c r="AF311" s="12" cm="1">
        <f t="array" ref="AF311">INDEX(municipality_pv_potential!$H:$H,MATCH(municipalities!$A311,municipality_pv_potential!$E:$E,0),0)/3.6</f>
        <v>298.23888888888888</v>
      </c>
      <c r="AG311" s="12"/>
      <c r="AJ311">
        <v>35.200000000000003</v>
      </c>
      <c r="AK311">
        <v>3.3</v>
      </c>
      <c r="AL311">
        <v>5.5</v>
      </c>
      <c r="AM311">
        <v>7.8</v>
      </c>
      <c r="AN311">
        <v>125.9</v>
      </c>
    </row>
    <row r="312" spans="1:40" x14ac:dyDescent="0.25">
      <c r="A312" s="5" t="s">
        <v>950</v>
      </c>
      <c r="B312" s="6" t="s">
        <v>951</v>
      </c>
      <c r="C312" s="7" t="s">
        <v>952</v>
      </c>
      <c r="D312" s="7" t="s">
        <v>952</v>
      </c>
      <c r="E312" s="7" t="s">
        <v>22</v>
      </c>
      <c r="F312" s="7" t="s">
        <v>950</v>
      </c>
      <c r="G312" s="7" t="str" cm="1">
        <f t="array" ref="G312">INDEX('municipalities per province'!F:F,MATCH(municipalities!A312,'municipalities per province'!B:B,0),0)</f>
        <v>Friesland</v>
      </c>
      <c r="H312" s="7" t="str" cm="1">
        <f t="array" ref="H312">INDEX('municipalities per province'!E:E,MATCH(municipalities!$A312,'municipalities per province'!$B:$B,0),0)</f>
        <v>PV21</v>
      </c>
      <c r="I312" s="7" t="str" cm="1">
        <f t="array" ref="I312">INDEX('municipalities per province'!G:G,MATCH(municipalities!$A312,'municipalities per province'!$B:$B,0),0)</f>
        <v>Friesland</v>
      </c>
      <c r="J312" s="7" t="str" cm="1">
        <f t="array" ref="J312">INDEX('municipalities per province'!H:H,MATCH(municipalities!$A312,'municipalities per province'!$B:$B,0),0)</f>
        <v>ES02</v>
      </c>
      <c r="K312" s="7" cm="1">
        <f t="array" ref="K312">INDEX(coordinates!C:C,MATCH(municipalities!$A312,coordinates!$A:$A,0),0)</f>
        <v>5.3102763373515343</v>
      </c>
      <c r="L312" s="7" cm="1">
        <f t="array" ref="L312">INDEX(coordinates!D:D,MATCH(municipalities!$A312,coordinates!$A:$A,0),0)</f>
        <v>52.951344925593453</v>
      </c>
      <c r="M312" s="8">
        <v>1</v>
      </c>
      <c r="N312" s="9">
        <v>90883</v>
      </c>
      <c r="O312" s="9">
        <v>45824</v>
      </c>
      <c r="P312" s="9">
        <v>45059</v>
      </c>
      <c r="Q312" s="9">
        <v>4</v>
      </c>
      <c r="R312" s="10">
        <v>852</v>
      </c>
      <c r="S312" s="11">
        <v>65</v>
      </c>
      <c r="T312" s="11">
        <v>35</v>
      </c>
      <c r="U312" s="12">
        <f t="shared" si="32"/>
        <v>31.7</v>
      </c>
      <c r="V312" s="12">
        <f t="shared" si="33"/>
        <v>6.5</v>
      </c>
      <c r="W312" s="12">
        <f t="shared" si="34"/>
        <v>9.9</v>
      </c>
      <c r="X312" s="12">
        <f t="shared" si="35"/>
        <v>12.7</v>
      </c>
      <c r="Y312" s="12">
        <f t="shared" si="36"/>
        <v>104.4</v>
      </c>
      <c r="Z312" s="12" cm="1">
        <f t="array" ref="Z312">INDEX(municipality_wind_potential!$X:$X,MATCH(municipalities!$F312,municipality_wind_potential!$E:$E,0),0)</f>
        <v>338</v>
      </c>
      <c r="AA312" s="12">
        <f t="shared" si="37"/>
        <v>1892.8</v>
      </c>
      <c r="AB312" s="12" cm="1">
        <f t="array" ref="AB312">INDEX(municipality_wind_potential!$Y:$Y,MATCH(municipalities!$F312,municipality_wind_potential!$E:$E,0),0) / 3.6</f>
        <v>7287.2805555555551</v>
      </c>
      <c r="AC312" s="12">
        <f t="shared" si="38"/>
        <v>237.26001919846414</v>
      </c>
      <c r="AD312" s="12" cm="1">
        <f t="array" ref="AD312">INDEX(municipality_pv_potential!$G:$G,MATCH(municipalities!$A312,municipality_pv_potential!$E:$E,0),0)/3.6*$AH$4</f>
        <v>219.70277777777778</v>
      </c>
      <c r="AE312" s="12">
        <f t="shared" si="39"/>
        <v>2212.5689944804417</v>
      </c>
      <c r="AF312" s="12" cm="1">
        <f t="array" ref="AF312">INDEX(municipality_pv_potential!$H:$H,MATCH(municipalities!$A312,municipality_pv_potential!$E:$E,0),0)/3.6</f>
        <v>2048.838888888889</v>
      </c>
      <c r="AG312" s="12"/>
      <c r="AJ312">
        <v>31.7</v>
      </c>
      <c r="AK312">
        <v>6.5</v>
      </c>
      <c r="AL312">
        <v>9.9</v>
      </c>
      <c r="AM312">
        <v>12.7</v>
      </c>
      <c r="AN312">
        <v>104.4</v>
      </c>
    </row>
    <row r="313" spans="1:40" x14ac:dyDescent="0.25">
      <c r="A313" s="5" t="s">
        <v>953</v>
      </c>
      <c r="B313" s="6" t="s">
        <v>954</v>
      </c>
      <c r="C313" s="7" t="s">
        <v>955</v>
      </c>
      <c r="D313" s="7" t="s">
        <v>955</v>
      </c>
      <c r="E313" s="7" t="s">
        <v>22</v>
      </c>
      <c r="F313" s="7" t="s">
        <v>953</v>
      </c>
      <c r="G313" s="7" t="str" cm="1">
        <f t="array" ref="G313">INDEX('municipalities per province'!F:F,MATCH(municipalities!A313,'municipalities per province'!B:B,0),0)</f>
        <v>Zuid-Holland</v>
      </c>
      <c r="H313" s="7" t="str" cm="1">
        <f t="array" ref="H313">INDEX('municipalities per province'!E:E,MATCH(municipalities!$A313,'municipalities per province'!$B:$B,0),0)</f>
        <v>PV28</v>
      </c>
      <c r="I313" s="7" t="str" cm="1">
        <f t="array" ref="I313">INDEX('municipalities per province'!G:G,MATCH(municipalities!$A313,'municipalities per province'!$B:$B,0),0)</f>
        <v>Midden-Holland</v>
      </c>
      <c r="J313" s="7" t="str" cm="1">
        <f t="array" ref="J313">INDEX('municipalities per province'!H:H,MATCH(municipalities!$A313,'municipalities per province'!$B:$B,0),0)</f>
        <v>ES22</v>
      </c>
      <c r="K313" s="7" cm="1">
        <f t="array" ref="K313">INDEX(coordinates!C:C,MATCH(municipalities!$A313,coordinates!$A:$A,0),0)</f>
        <v>4.7660969938689117</v>
      </c>
      <c r="L313" s="7" cm="1">
        <f t="array" ref="L313">INDEX(coordinates!D:D,MATCH(municipalities!$A313,coordinates!$A:$A,0),0)</f>
        <v>52.065419368709883</v>
      </c>
      <c r="M313" s="8">
        <v>1</v>
      </c>
      <c r="N313" s="9">
        <v>36308</v>
      </c>
      <c r="O313" s="9">
        <v>18088</v>
      </c>
      <c r="P313" s="9">
        <v>18220</v>
      </c>
      <c r="Q313" s="9">
        <v>3</v>
      </c>
      <c r="R313" s="10">
        <v>1155</v>
      </c>
      <c r="S313" s="11">
        <v>72</v>
      </c>
      <c r="T313" s="11">
        <v>28</v>
      </c>
      <c r="U313" s="12">
        <f t="shared" si="32"/>
        <v>38.700000000000003</v>
      </c>
      <c r="V313" s="12">
        <f t="shared" si="33"/>
        <v>3.9</v>
      </c>
      <c r="W313" s="12">
        <f t="shared" si="34"/>
        <v>5.8</v>
      </c>
      <c r="X313" s="12">
        <f t="shared" si="35"/>
        <v>7.8</v>
      </c>
      <c r="Y313" s="12">
        <f t="shared" si="36"/>
        <v>207</v>
      </c>
      <c r="Z313" s="12" cm="1">
        <f t="array" ref="Z313">INDEX(municipality_wind_potential!$X:$X,MATCH(municipalities!$F313,municipality_wind_potential!$E:$E,0),0)</f>
        <v>60</v>
      </c>
      <c r="AA313" s="12">
        <f t="shared" si="37"/>
        <v>336</v>
      </c>
      <c r="AB313" s="12" cm="1">
        <f t="array" ref="AB313">INDEX(municipality_wind_potential!$Y:$Y,MATCH(municipalities!$F313,municipality_wind_potential!$E:$E,0),0) / 3.6</f>
        <v>1065.1194444444443</v>
      </c>
      <c r="AC313" s="12">
        <f t="shared" si="38"/>
        <v>63.602111831053506</v>
      </c>
      <c r="AD313" s="12" cm="1">
        <f t="array" ref="AD313">INDEX(municipality_pv_potential!$G:$G,MATCH(municipalities!$A313,municipality_pv_potential!$E:$E,0),0)/3.6*$AH$4</f>
        <v>58.895555555555553</v>
      </c>
      <c r="AE313" s="12">
        <f t="shared" si="39"/>
        <v>262.27201823854091</v>
      </c>
      <c r="AF313" s="12" cm="1">
        <f t="array" ref="AF313">INDEX(municipality_pv_potential!$H:$H,MATCH(municipalities!$A313,municipality_pv_potential!$E:$E,0),0)/3.6</f>
        <v>242.86388888888888</v>
      </c>
      <c r="AG313" s="12"/>
      <c r="AJ313">
        <v>38.700000000000003</v>
      </c>
      <c r="AK313">
        <v>3.9</v>
      </c>
      <c r="AL313">
        <v>5.8</v>
      </c>
      <c r="AM313">
        <v>7.8</v>
      </c>
      <c r="AN313">
        <v>207</v>
      </c>
    </row>
    <row r="314" spans="1:40" x14ac:dyDescent="0.25">
      <c r="A314" s="5" t="s">
        <v>956</v>
      </c>
      <c r="B314" s="6" t="s">
        <v>957</v>
      </c>
      <c r="C314" s="7" t="s">
        <v>958</v>
      </c>
      <c r="D314" s="7" t="s">
        <v>958</v>
      </c>
      <c r="E314" s="7" t="s">
        <v>22</v>
      </c>
      <c r="F314" s="7" t="s">
        <v>956</v>
      </c>
      <c r="G314" s="7" t="str" cm="1">
        <f t="array" ref="G314">INDEX('municipalities per province'!F:F,MATCH(municipalities!A314,'municipalities per province'!B:B,0),0)</f>
        <v>Limburg</v>
      </c>
      <c r="H314" s="7" t="str" cm="1">
        <f t="array" ref="H314">INDEX('municipalities per province'!E:E,MATCH(municipalities!$A314,'municipalities per province'!$B:$B,0),0)</f>
        <v>PV31</v>
      </c>
      <c r="I314" s="7" t="str" cm="1">
        <f t="array" ref="I314">INDEX('municipalities per province'!G:G,MATCH(municipalities!$A314,'municipalities per province'!$B:$B,0),0)</f>
        <v>Zuid-Limburg</v>
      </c>
      <c r="J314" s="7" t="str" cm="1">
        <f t="array" ref="J314">INDEX('municipalities per province'!H:H,MATCH(municipalities!$A314,'municipalities per province'!$B:$B,0),0)</f>
        <v>ES30</v>
      </c>
      <c r="K314" s="7" cm="1">
        <f t="array" ref="K314">INDEX(coordinates!C:C,MATCH(municipalities!$A314,coordinates!$A:$A,0),0)</f>
        <v>5.7736981379484256</v>
      </c>
      <c r="L314" s="7" cm="1">
        <f t="array" ref="L314">INDEX(coordinates!D:D,MATCH(municipalities!$A314,coordinates!$A:$A,0),0)</f>
        <v>50.801067407647643</v>
      </c>
      <c r="M314" s="8">
        <v>1</v>
      </c>
      <c r="N314" s="9">
        <v>25991</v>
      </c>
      <c r="O314" s="9">
        <v>13003</v>
      </c>
      <c r="P314" s="9">
        <v>12988</v>
      </c>
      <c r="Q314" s="9">
        <v>5</v>
      </c>
      <c r="R314" s="10">
        <v>468</v>
      </c>
      <c r="S314" s="11">
        <v>77</v>
      </c>
      <c r="T314" s="11">
        <v>23</v>
      </c>
      <c r="U314" s="12">
        <f t="shared" si="32"/>
        <v>37</v>
      </c>
      <c r="V314" s="12">
        <f t="shared" si="33"/>
        <v>3.2</v>
      </c>
      <c r="W314" s="12">
        <f t="shared" si="34"/>
        <v>5</v>
      </c>
      <c r="X314" s="12">
        <f t="shared" si="35"/>
        <v>6.7</v>
      </c>
      <c r="Y314" s="12">
        <f t="shared" si="36"/>
        <v>221.6</v>
      </c>
      <c r="Z314" s="12" cm="1">
        <f t="array" ref="Z314">INDEX(municipality_wind_potential!$X:$X,MATCH(municipalities!$F314,municipality_wind_potential!$E:$E,0),0)</f>
        <v>40</v>
      </c>
      <c r="AA314" s="12">
        <f t="shared" si="37"/>
        <v>224</v>
      </c>
      <c r="AB314" s="12" cm="1">
        <f t="array" ref="AB314">INDEX(municipality_wind_potential!$Y:$Y,MATCH(municipalities!$F314,municipality_wind_potential!$E:$E,0),0) / 3.6</f>
        <v>586.18055555555554</v>
      </c>
      <c r="AC314" s="12">
        <f t="shared" si="38"/>
        <v>56.167506599472048</v>
      </c>
      <c r="AD314" s="12" cm="1">
        <f t="array" ref="AD314">INDEX(municipality_pv_potential!$G:$G,MATCH(municipalities!$A314,municipality_pv_potential!$E:$E,0),0)/3.6*$AH$4</f>
        <v>52.011111111111113</v>
      </c>
      <c r="AE314" s="12">
        <f t="shared" si="39"/>
        <v>243.93448524118068</v>
      </c>
      <c r="AF314" s="12" cm="1">
        <f t="array" ref="AF314">INDEX(municipality_pv_potential!$H:$H,MATCH(municipalities!$A314,municipality_pv_potential!$E:$E,0),0)/3.6</f>
        <v>225.88333333333333</v>
      </c>
      <c r="AG314" s="12"/>
      <c r="AJ314">
        <v>37</v>
      </c>
      <c r="AK314">
        <v>3.2</v>
      </c>
      <c r="AL314">
        <v>5</v>
      </c>
      <c r="AM314">
        <v>6.7</v>
      </c>
      <c r="AN314">
        <v>221.6</v>
      </c>
    </row>
    <row r="315" spans="1:40" x14ac:dyDescent="0.25">
      <c r="A315" s="5" t="s">
        <v>959</v>
      </c>
      <c r="B315" s="6" t="s">
        <v>960</v>
      </c>
      <c r="C315" s="7" t="s">
        <v>961</v>
      </c>
      <c r="D315" s="7" t="s">
        <v>961</v>
      </c>
      <c r="E315" s="7" t="s">
        <v>22</v>
      </c>
      <c r="F315" s="7" t="s">
        <v>959</v>
      </c>
      <c r="G315" s="7" t="str" cm="1">
        <f t="array" ref="G315">INDEX('municipalities per province'!F:F,MATCH(municipalities!A315,'municipalities per province'!B:B,0),0)</f>
        <v>Utrecht</v>
      </c>
      <c r="H315" s="7" t="str" cm="1">
        <f t="array" ref="H315">INDEX('municipalities per province'!E:E,MATCH(municipalities!$A315,'municipalities per province'!$B:$B,0),0)</f>
        <v>PV26</v>
      </c>
      <c r="I315" s="7" t="str" cm="1">
        <f t="array" ref="I315">INDEX('municipalities per province'!G:G,MATCH(municipalities!$A315,'municipalities per province'!$B:$B,0),0)</f>
        <v>U16</v>
      </c>
      <c r="J315" s="7" t="str" cm="1">
        <f t="array" ref="J315">INDEX('municipalities per province'!H:H,MATCH(municipalities!$A315,'municipalities per province'!$B:$B,0),0)</f>
        <v>ES14</v>
      </c>
      <c r="K315" s="7" cm="1">
        <f t="array" ref="K315">INDEX(coordinates!C:C,MATCH(municipalities!$A315,coordinates!$A:$A,0),0)</f>
        <v>5.012586967679364</v>
      </c>
      <c r="L315" s="7" cm="1">
        <f t="array" ref="L315">INDEX(coordinates!D:D,MATCH(municipalities!$A315,coordinates!$A:$A,0),0)</f>
        <v>52.176969775346841</v>
      </c>
      <c r="M315" s="8">
        <v>1</v>
      </c>
      <c r="N315" s="9">
        <v>65771</v>
      </c>
      <c r="O315" s="9">
        <v>32204</v>
      </c>
      <c r="P315" s="9">
        <v>33567</v>
      </c>
      <c r="Q315" s="9">
        <v>3</v>
      </c>
      <c r="R315" s="10">
        <v>1199</v>
      </c>
      <c r="S315" s="11">
        <v>65</v>
      </c>
      <c r="T315" s="11">
        <v>35</v>
      </c>
      <c r="U315" s="12">
        <f t="shared" si="32"/>
        <v>39.6</v>
      </c>
      <c r="V315" s="12">
        <f t="shared" si="33"/>
        <v>4.0999999999999996</v>
      </c>
      <c r="W315" s="12">
        <f t="shared" si="34"/>
        <v>6.1</v>
      </c>
      <c r="X315" s="12">
        <f t="shared" si="35"/>
        <v>8.1999999999999993</v>
      </c>
      <c r="Y315" s="12">
        <f t="shared" si="36"/>
        <v>169.1</v>
      </c>
      <c r="Z315" s="12" cm="1">
        <f t="array" ref="Z315">INDEX(municipality_wind_potential!$X:$X,MATCH(municipalities!$F315,municipality_wind_potential!$E:$E,0),0)</f>
        <v>53</v>
      </c>
      <c r="AA315" s="12">
        <f t="shared" si="37"/>
        <v>296.79999999999995</v>
      </c>
      <c r="AB315" s="12" cm="1">
        <f t="array" ref="AB315">INDEX(municipality_wind_potential!$Y:$Y,MATCH(municipalities!$F315,municipality_wind_potential!$E:$E,0),0) / 3.6</f>
        <v>931.98055555555561</v>
      </c>
      <c r="AC315" s="12">
        <f t="shared" si="38"/>
        <v>87.323614110871134</v>
      </c>
      <c r="AD315" s="12" cm="1">
        <f t="array" ref="AD315">INDEX(municipality_pv_potential!$G:$G,MATCH(municipalities!$A315,municipality_pv_potential!$E:$E,0),0)/3.6*$AH$4</f>
        <v>80.861666666666679</v>
      </c>
      <c r="AE315" s="12">
        <f t="shared" si="39"/>
        <v>289.72882169426447</v>
      </c>
      <c r="AF315" s="12" cm="1">
        <f t="array" ref="AF315">INDEX(municipality_pv_potential!$H:$H,MATCH(municipalities!$A315,municipality_pv_potential!$E:$E,0),0)/3.6</f>
        <v>268.28888888888889</v>
      </c>
      <c r="AG315" s="12"/>
      <c r="AJ315">
        <v>39.6</v>
      </c>
      <c r="AK315">
        <v>4.0999999999999996</v>
      </c>
      <c r="AL315">
        <v>6.1</v>
      </c>
      <c r="AM315">
        <v>8.1999999999999993</v>
      </c>
      <c r="AN315">
        <v>169.1</v>
      </c>
    </row>
    <row r="316" spans="1:40" x14ac:dyDescent="0.25">
      <c r="A316" s="5" t="s">
        <v>962</v>
      </c>
      <c r="B316" s="6" t="s">
        <v>963</v>
      </c>
      <c r="C316" s="7" t="s">
        <v>964</v>
      </c>
      <c r="D316" s="7" t="s">
        <v>964</v>
      </c>
      <c r="E316" s="7" t="s">
        <v>22</v>
      </c>
      <c r="F316" s="7" t="s">
        <v>962</v>
      </c>
      <c r="G316" s="7" t="str" cm="1">
        <f t="array" ref="G316">INDEX('municipalities per province'!F:F,MATCH(municipalities!A316,'municipalities per province'!B:B,0),0)</f>
        <v>Noord-Holland</v>
      </c>
      <c r="H316" s="7" t="str" cm="1">
        <f t="array" ref="H316">INDEX('municipalities per province'!E:E,MATCH(municipalities!$A316,'municipalities per province'!$B:$B,0),0)</f>
        <v>PV27</v>
      </c>
      <c r="I316" s="7" t="str" cm="1">
        <f t="array" ref="I316">INDEX('municipalities per province'!G:G,MATCH(municipalities!$A316,'municipalities per province'!$B:$B,0),0)</f>
        <v>Noord-HollandNoord</v>
      </c>
      <c r="J316" s="7" t="str" cm="1">
        <f t="array" ref="J316">INDEX('municipalities per province'!H:H,MATCH(municipalities!$A316,'municipalities per province'!$B:$B,0),0)</f>
        <v>ES15</v>
      </c>
      <c r="K316" s="7" cm="1">
        <f t="array" ref="K316">INDEX(coordinates!C:C,MATCH(municipalities!$A316,coordinates!$A:$A,0),0)</f>
        <v>5.0492550915084822</v>
      </c>
      <c r="L316" s="7" cm="1">
        <f t="array" ref="L316">INDEX(coordinates!D:D,MATCH(municipalities!$A316,coordinates!$A:$A,0),0)</f>
        <v>52.958402614130279</v>
      </c>
      <c r="M316" s="8">
        <v>1</v>
      </c>
      <c r="N316" s="9">
        <v>49431</v>
      </c>
      <c r="O316" s="9">
        <v>25103</v>
      </c>
      <c r="P316" s="9">
        <v>24328</v>
      </c>
      <c r="Q316" s="9">
        <v>5</v>
      </c>
      <c r="R316" s="10">
        <v>446</v>
      </c>
      <c r="S316" s="11">
        <v>71</v>
      </c>
      <c r="T316" s="11">
        <v>29</v>
      </c>
      <c r="U316" s="12">
        <f t="shared" si="32"/>
        <v>33.5</v>
      </c>
      <c r="V316" s="12">
        <f t="shared" si="33"/>
        <v>3.9</v>
      </c>
      <c r="W316" s="12">
        <f t="shared" si="34"/>
        <v>6.4</v>
      </c>
      <c r="X316" s="12">
        <f t="shared" si="35"/>
        <v>8.8000000000000007</v>
      </c>
      <c r="Y316" s="12">
        <f t="shared" si="36"/>
        <v>120.4</v>
      </c>
      <c r="Z316" s="12" cm="1">
        <f t="array" ref="Z316">INDEX(municipality_wind_potential!$X:$X,MATCH(municipalities!$F316,municipality_wind_potential!$E:$E,0),0)</f>
        <v>264</v>
      </c>
      <c r="AA316" s="12">
        <f t="shared" si="37"/>
        <v>1478.3999999999999</v>
      </c>
      <c r="AB316" s="12" cm="1">
        <f t="array" ref="AB316">INDEX(municipality_wind_potential!$Y:$Y,MATCH(municipalities!$F316,municipality_wind_potential!$E:$E,0),0) / 3.6</f>
        <v>5681.0611111111111</v>
      </c>
      <c r="AC316" s="12">
        <f t="shared" si="38"/>
        <v>152.22582193424526</v>
      </c>
      <c r="AD316" s="12" cm="1">
        <f t="array" ref="AD316">INDEX(municipality_pv_potential!$G:$G,MATCH(municipalities!$A316,municipality_pv_potential!$E:$E,0),0)/3.6*$AH$4</f>
        <v>140.96111111111111</v>
      </c>
      <c r="AE316" s="12">
        <f t="shared" si="39"/>
        <v>1515.4667626589874</v>
      </c>
      <c r="AF316" s="12" cm="1">
        <f t="array" ref="AF316">INDEX(municipality_pv_potential!$H:$H,MATCH(municipalities!$A316,municipality_pv_potential!$E:$E,0),0)/3.6</f>
        <v>1403.3222222222223</v>
      </c>
      <c r="AG316" s="12"/>
      <c r="AJ316">
        <v>33.5</v>
      </c>
      <c r="AK316">
        <v>3.9</v>
      </c>
      <c r="AL316">
        <v>6.4</v>
      </c>
      <c r="AM316">
        <v>8.8000000000000007</v>
      </c>
      <c r="AN316">
        <v>120.4</v>
      </c>
    </row>
    <row r="317" spans="1:40" x14ac:dyDescent="0.25">
      <c r="A317" s="5" t="s">
        <v>965</v>
      </c>
      <c r="B317" s="6" t="s">
        <v>966</v>
      </c>
      <c r="C317" s="7" t="s">
        <v>967</v>
      </c>
      <c r="D317" s="7" t="s">
        <v>967</v>
      </c>
      <c r="E317" s="7" t="s">
        <v>22</v>
      </c>
      <c r="F317" s="7" t="s">
        <v>965</v>
      </c>
      <c r="G317" s="7" t="str" cm="1">
        <f t="array" ref="G317">INDEX('municipalities per province'!F:F,MATCH(municipalities!A317,'municipalities per province'!B:B,0),0)</f>
        <v>Zuid-Holland</v>
      </c>
      <c r="H317" s="7" t="str" cm="1">
        <f t="array" ref="H317">INDEX('municipalities per province'!E:E,MATCH(municipalities!$A317,'municipalities per province'!$B:$B,0),0)</f>
        <v>PV28</v>
      </c>
      <c r="I317" s="7" t="str" cm="1">
        <f t="array" ref="I317">INDEX('municipalities per province'!G:G,MATCH(municipalities!$A317,'municipalities per province'!$B:$B,0),0)</f>
        <v>Rotterdam/DenHaag</v>
      </c>
      <c r="J317" s="7" t="str" cm="1">
        <f t="array" ref="J317">INDEX('municipalities per province'!H:H,MATCH(municipalities!$A317,'municipalities per province'!$B:$B,0),0)</f>
        <v>ES23</v>
      </c>
      <c r="K317" s="7" cm="1">
        <f t="array" ref="K317">INDEX(coordinates!C:C,MATCH(municipalities!$A317,coordinates!$A:$A,0),0)</f>
        <v>4.4223072085623771</v>
      </c>
      <c r="L317" s="7" cm="1">
        <f t="array" ref="L317">INDEX(coordinates!D:D,MATCH(municipalities!$A317,coordinates!$A:$A,0),0)</f>
        <v>52.090328297209503</v>
      </c>
      <c r="M317" s="8">
        <v>1</v>
      </c>
      <c r="N317" s="9">
        <v>77753</v>
      </c>
      <c r="O317" s="9">
        <v>37435</v>
      </c>
      <c r="P317" s="9">
        <v>40318</v>
      </c>
      <c r="Q317" s="9">
        <v>1</v>
      </c>
      <c r="R317" s="10">
        <v>3005</v>
      </c>
      <c r="S317" s="11">
        <v>58</v>
      </c>
      <c r="T317" s="11">
        <v>42</v>
      </c>
      <c r="U317" s="12">
        <f t="shared" si="32"/>
        <v>36.9</v>
      </c>
      <c r="V317" s="12">
        <f t="shared" si="33"/>
        <v>6.6</v>
      </c>
      <c r="W317" s="12">
        <f t="shared" si="34"/>
        <v>9.6999999999999993</v>
      </c>
      <c r="X317" s="12">
        <f t="shared" si="35"/>
        <v>12.1</v>
      </c>
      <c r="Y317" s="12">
        <f t="shared" si="36"/>
        <v>114.3</v>
      </c>
      <c r="Z317" s="12" cm="1">
        <f t="array" ref="Z317">INDEX(municipality_wind_potential!$X:$X,MATCH(municipalities!$F317,municipality_wind_potential!$E:$E,0),0)</f>
        <v>10</v>
      </c>
      <c r="AA317" s="12">
        <f t="shared" si="37"/>
        <v>56</v>
      </c>
      <c r="AB317" s="12" cm="1">
        <f t="array" ref="AB317">INDEX(municipality_wind_potential!$Y:$Y,MATCH(municipalities!$F317,municipality_wind_potential!$E:$E,0),0) / 3.6</f>
        <v>177.51944444444445</v>
      </c>
      <c r="AC317" s="12">
        <f t="shared" si="38"/>
        <v>65.698344132469416</v>
      </c>
      <c r="AD317" s="12" cm="1">
        <f t="array" ref="AD317">INDEX(municipality_pv_potential!$G:$G,MATCH(municipalities!$A317,municipality_pv_potential!$E:$E,0),0)/3.6*$AH$4</f>
        <v>60.836666666666673</v>
      </c>
      <c r="AE317" s="12">
        <f t="shared" si="39"/>
        <v>69.309455243580516</v>
      </c>
      <c r="AF317" s="12" cm="1">
        <f t="array" ref="AF317">INDEX(municipality_pv_potential!$H:$H,MATCH(municipalities!$A317,municipality_pv_potential!$E:$E,0),0)/3.6</f>
        <v>64.180555555555557</v>
      </c>
      <c r="AG317" s="12"/>
      <c r="AJ317">
        <v>36.9</v>
      </c>
      <c r="AK317">
        <v>6.6</v>
      </c>
      <c r="AL317">
        <v>9.6999999999999993</v>
      </c>
      <c r="AM317">
        <v>12.1</v>
      </c>
      <c r="AN317">
        <v>114.3</v>
      </c>
    </row>
    <row r="318" spans="1:40" x14ac:dyDescent="0.25">
      <c r="A318" s="5" t="s">
        <v>968</v>
      </c>
      <c r="B318" s="6" t="s">
        <v>969</v>
      </c>
      <c r="C318" s="7" t="s">
        <v>970</v>
      </c>
      <c r="D318" s="7" t="s">
        <v>970</v>
      </c>
      <c r="E318" s="7" t="s">
        <v>22</v>
      </c>
      <c r="F318" s="7" t="s">
        <v>968</v>
      </c>
      <c r="G318" s="7" t="str" cm="1">
        <f t="array" ref="G318">INDEX('municipalities per province'!F:F,MATCH(municipalities!A318,'municipalities per province'!B:B,0),0)</f>
        <v>Zuid-Holland</v>
      </c>
      <c r="H318" s="7" t="str" cm="1">
        <f t="array" ref="H318">INDEX('municipalities per province'!E:E,MATCH(municipalities!$A318,'municipalities per province'!$B:$B,0),0)</f>
        <v>PV28</v>
      </c>
      <c r="I318" s="7" t="str" cm="1">
        <f t="array" ref="I318">INDEX('municipalities per province'!G:G,MATCH(municipalities!$A318,'municipalities per province'!$B:$B,0),0)</f>
        <v>Goeree-Overflakkee</v>
      </c>
      <c r="J318" s="7" t="str" cm="1">
        <f t="array" ref="J318">INDEX('municipalities per province'!H:H,MATCH(municipalities!$A318,'municipalities per province'!$B:$B,0),0)</f>
        <v>ES19</v>
      </c>
      <c r="K318" s="7" cm="1">
        <f t="array" ref="K318">INDEX(coordinates!C:C,MATCH(municipalities!$A318,coordinates!$A:$A,0),0)</f>
        <v>4.0593091640441781</v>
      </c>
      <c r="L318" s="7" cm="1">
        <f t="array" ref="L318">INDEX(coordinates!D:D,MATCH(municipalities!$A318,coordinates!$A:$A,0),0)</f>
        <v>51.760367742182581</v>
      </c>
      <c r="M318" s="8">
        <v>1</v>
      </c>
      <c r="N318" s="9">
        <v>51590</v>
      </c>
      <c r="O318" s="9">
        <v>25410</v>
      </c>
      <c r="P318" s="9">
        <v>26180</v>
      </c>
      <c r="Q318" s="9">
        <v>4</v>
      </c>
      <c r="R318" s="10">
        <v>639</v>
      </c>
      <c r="S318" s="11">
        <v>65</v>
      </c>
      <c r="T318" s="11">
        <v>35</v>
      </c>
      <c r="U318" s="12">
        <f t="shared" si="32"/>
        <v>35.200000000000003</v>
      </c>
      <c r="V318" s="12">
        <f t="shared" si="33"/>
        <v>4</v>
      </c>
      <c r="W318" s="12">
        <f t="shared" si="34"/>
        <v>6.4</v>
      </c>
      <c r="X318" s="12">
        <f t="shared" si="35"/>
        <v>8.9</v>
      </c>
      <c r="Y318" s="12">
        <f t="shared" si="36"/>
        <v>113.1</v>
      </c>
      <c r="Z318" s="12" cm="1">
        <f t="array" ref="Z318">INDEX(municipality_wind_potential!$X:$X,MATCH(municipalities!$F318,municipality_wind_potential!$E:$E,0),0)</f>
        <v>207</v>
      </c>
      <c r="AA318" s="12">
        <f t="shared" si="37"/>
        <v>1159.1999999999998</v>
      </c>
      <c r="AB318" s="12" cm="1">
        <f t="array" ref="AB318">INDEX(municipality_wind_potential!$Y:$Y,MATCH(municipalities!$F318,municipality_wind_potential!$E:$E,0),0) / 3.6</f>
        <v>4057.2</v>
      </c>
      <c r="AC318" s="12">
        <f t="shared" si="38"/>
        <v>107.36081113510919</v>
      </c>
      <c r="AD318" s="12" cm="1">
        <f t="array" ref="AD318">INDEX(municipality_pv_potential!$G:$G,MATCH(municipalities!$A318,municipality_pv_potential!$E:$E,0),0)/3.6*$AH$4</f>
        <v>99.416111111111107</v>
      </c>
      <c r="AE318" s="12">
        <f t="shared" si="39"/>
        <v>881.99544036477062</v>
      </c>
      <c r="AF318" s="12" cm="1">
        <f t="array" ref="AF318">INDEX(municipality_pv_potential!$H:$H,MATCH(municipalities!$A318,municipality_pv_potential!$E:$E,0),0)/3.6</f>
        <v>816.72777777777765</v>
      </c>
      <c r="AG318" s="12"/>
      <c r="AJ318">
        <v>35.200000000000003</v>
      </c>
      <c r="AK318">
        <v>4</v>
      </c>
      <c r="AL318">
        <v>6.4</v>
      </c>
      <c r="AM318">
        <v>8.9</v>
      </c>
      <c r="AN318">
        <v>113.1</v>
      </c>
    </row>
    <row r="319" spans="1:40" x14ac:dyDescent="0.25">
      <c r="A319" s="5" t="s">
        <v>971</v>
      </c>
      <c r="B319" s="6" t="s">
        <v>972</v>
      </c>
      <c r="C319" s="7" t="s">
        <v>973</v>
      </c>
      <c r="D319" s="7" t="s">
        <v>973</v>
      </c>
      <c r="E319" s="7" t="s">
        <v>22</v>
      </c>
      <c r="F319" s="7" t="s">
        <v>971</v>
      </c>
      <c r="G319" s="7" t="str" cm="1">
        <f t="array" ref="G319">INDEX('municipalities per province'!F:F,MATCH(municipalities!A319,'municipalities per province'!B:B,0),0)</f>
        <v>Zuid-Holland</v>
      </c>
      <c r="H319" s="7" t="str" cm="1">
        <f t="array" ref="H319">INDEX('municipalities per province'!E:E,MATCH(municipalities!$A319,'municipalities per province'!$B:$B,0),0)</f>
        <v>PV28</v>
      </c>
      <c r="I319" s="7" t="str" cm="1">
        <f t="array" ref="I319">INDEX('municipalities per province'!G:G,MATCH(municipalities!$A319,'municipalities per province'!$B:$B,0),0)</f>
        <v>Rotterdam/DenHaag</v>
      </c>
      <c r="J319" s="7" t="str" cm="1">
        <f t="array" ref="J319">INDEX('municipalities per province'!H:H,MATCH(municipalities!$A319,'municipalities per province'!$B:$B,0),0)</f>
        <v>ES23</v>
      </c>
      <c r="K319" s="7" cm="1">
        <f t="array" ref="K319">INDEX(coordinates!C:C,MATCH(municipalities!$A319,coordinates!$A:$A,0),0)</f>
        <v>4.4219551342515073</v>
      </c>
      <c r="L319" s="7" cm="1">
        <f t="array" ref="L319">INDEX(coordinates!D:D,MATCH(municipalities!$A319,coordinates!$A:$A,0),0)</f>
        <v>52.017537599760843</v>
      </c>
      <c r="M319" s="8">
        <v>1</v>
      </c>
      <c r="N319" s="9">
        <v>57672</v>
      </c>
      <c r="O319" s="9">
        <v>28674</v>
      </c>
      <c r="P319" s="9">
        <v>28998</v>
      </c>
      <c r="Q319" s="9">
        <v>2</v>
      </c>
      <c r="R319" s="10">
        <v>1580</v>
      </c>
      <c r="S319" s="11">
        <v>72</v>
      </c>
      <c r="T319" s="11">
        <v>28</v>
      </c>
      <c r="U319" s="12">
        <f t="shared" si="32"/>
        <v>39.700000000000003</v>
      </c>
      <c r="V319" s="12">
        <f t="shared" si="33"/>
        <v>3.2</v>
      </c>
      <c r="W319" s="12">
        <f t="shared" si="34"/>
        <v>4.8</v>
      </c>
      <c r="X319" s="12">
        <f t="shared" si="35"/>
        <v>6.2</v>
      </c>
      <c r="Y319" s="12">
        <f t="shared" si="36"/>
        <v>209.8</v>
      </c>
      <c r="Z319" s="12" cm="1">
        <f t="array" ref="Z319">INDEX(municipality_wind_potential!$X:$X,MATCH(municipalities!$F319,municipality_wind_potential!$E:$E,0),0)</f>
        <v>5</v>
      </c>
      <c r="AA319" s="12">
        <f t="shared" si="37"/>
        <v>28</v>
      </c>
      <c r="AB319" s="12" cm="1">
        <f t="array" ref="AB319">INDEX(municipality_wind_potential!$Y:$Y,MATCH(municipalities!$F319,municipality_wind_potential!$E:$E,0),0) / 3.6</f>
        <v>88.76111111111112</v>
      </c>
      <c r="AC319" s="12">
        <f t="shared" si="38"/>
        <v>65.311975041996632</v>
      </c>
      <c r="AD319" s="12" cm="1">
        <f t="array" ref="AD319">INDEX(municipality_pv_potential!$G:$G,MATCH(municipalities!$A319,municipality_pv_potential!$E:$E,0),0)/3.6*$AH$4</f>
        <v>60.478888888888882</v>
      </c>
      <c r="AE319" s="12">
        <f t="shared" si="39"/>
        <v>42.881569474442045</v>
      </c>
      <c r="AF319" s="12" cm="1">
        <f t="array" ref="AF319">INDEX(municipality_pv_potential!$H:$H,MATCH(municipalities!$A319,municipality_pv_potential!$E:$E,0),0)/3.6</f>
        <v>39.708333333333329</v>
      </c>
      <c r="AG319" s="12"/>
      <c r="AJ319">
        <v>39.700000000000003</v>
      </c>
      <c r="AK319">
        <v>3.2</v>
      </c>
      <c r="AL319">
        <v>4.8</v>
      </c>
      <c r="AM319">
        <v>6.2</v>
      </c>
      <c r="AN319">
        <v>209.8</v>
      </c>
    </row>
    <row r="320" spans="1:40" x14ac:dyDescent="0.25">
      <c r="A320" s="5" t="s">
        <v>974</v>
      </c>
      <c r="B320" s="6" t="s">
        <v>975</v>
      </c>
      <c r="C320" s="7" t="s">
        <v>976</v>
      </c>
      <c r="D320" s="7" t="s">
        <v>976</v>
      </c>
      <c r="E320" s="7" t="s">
        <v>22</v>
      </c>
      <c r="F320" s="7" t="s">
        <v>974</v>
      </c>
      <c r="G320" s="7" t="str" cm="1">
        <f t="array" ref="G320">INDEX('municipalities per province'!F:F,MATCH(municipalities!A320,'municipalities per province'!B:B,0),0)</f>
        <v>Zuid-Holland</v>
      </c>
      <c r="H320" s="7" t="str" cm="1">
        <f t="array" ref="H320">INDEX('municipalities per province'!E:E,MATCH(municipalities!$A320,'municipalities per province'!$B:$B,0),0)</f>
        <v>PV28</v>
      </c>
      <c r="I320" s="7" t="str" cm="1">
        <f t="array" ref="I320">INDEX('municipalities per province'!G:G,MATCH(municipalities!$A320,'municipalities per province'!$B:$B,0),0)</f>
        <v>Rotterdam/DenHaag</v>
      </c>
      <c r="J320" s="7" t="str" cm="1">
        <f t="array" ref="J320">INDEX('municipalities per province'!H:H,MATCH(municipalities!$A320,'municipalities per province'!$B:$B,0),0)</f>
        <v>ES23</v>
      </c>
      <c r="K320" s="7" cm="1">
        <f t="array" ref="K320">INDEX(coordinates!C:C,MATCH(municipalities!$A320,coordinates!$A:$A,0),0)</f>
        <v>4.2112333441321299</v>
      </c>
      <c r="L320" s="7" cm="1">
        <f t="array" ref="L320">INDEX(coordinates!D:D,MATCH(municipalities!$A320,coordinates!$A:$A,0),0)</f>
        <v>51.79319506735574</v>
      </c>
      <c r="M320" s="8">
        <v>1</v>
      </c>
      <c r="N320" s="9">
        <v>86833</v>
      </c>
      <c r="O320" s="9">
        <v>42538</v>
      </c>
      <c r="P320" s="9">
        <v>44295</v>
      </c>
      <c r="Q320" s="9">
        <v>2</v>
      </c>
      <c r="R320" s="10">
        <v>2058</v>
      </c>
      <c r="S320" s="11">
        <v>59</v>
      </c>
      <c r="T320" s="11">
        <v>41</v>
      </c>
      <c r="U320" s="12">
        <f t="shared" si="32"/>
        <v>32.700000000000003</v>
      </c>
      <c r="V320" s="12">
        <f t="shared" si="33"/>
        <v>6.2</v>
      </c>
      <c r="W320" s="12">
        <f t="shared" si="34"/>
        <v>9.9</v>
      </c>
      <c r="X320" s="12">
        <f t="shared" si="35"/>
        <v>12.7</v>
      </c>
      <c r="Y320" s="12">
        <f t="shared" si="36"/>
        <v>61.2</v>
      </c>
      <c r="Z320" s="12" cm="1">
        <f t="array" ref="Z320">INDEX(municipality_wind_potential!$X:$X,MATCH(municipalities!$F320,municipality_wind_potential!$E:$E,0),0)</f>
        <v>33</v>
      </c>
      <c r="AA320" s="12">
        <f t="shared" si="37"/>
        <v>184.79999999999998</v>
      </c>
      <c r="AB320" s="12" cm="1">
        <f t="array" ref="AB320">INDEX(municipality_wind_potential!$Y:$Y,MATCH(municipalities!$F320,municipality_wind_potential!$E:$E,0),0) / 3.6</f>
        <v>585.81666666666672</v>
      </c>
      <c r="AC320" s="12">
        <f t="shared" si="38"/>
        <v>88.626709863210934</v>
      </c>
      <c r="AD320" s="12" cm="1">
        <f t="array" ref="AD320">INDEX(municipality_pv_potential!$G:$G,MATCH(municipalities!$A320,municipality_pv_potential!$E:$E,0),0)/3.6*$AH$4</f>
        <v>82.068333333333328</v>
      </c>
      <c r="AE320" s="12">
        <f t="shared" si="39"/>
        <v>213.6519078473722</v>
      </c>
      <c r="AF320" s="12" cm="1">
        <f t="array" ref="AF320">INDEX(municipality_pv_potential!$H:$H,MATCH(municipalities!$A320,municipality_pv_potential!$E:$E,0),0)/3.6</f>
        <v>197.84166666666667</v>
      </c>
      <c r="AG320" s="12"/>
      <c r="AJ320">
        <v>32.700000000000003</v>
      </c>
      <c r="AK320">
        <v>6.2</v>
      </c>
      <c r="AL320">
        <v>9.9</v>
      </c>
      <c r="AM320">
        <v>12.7</v>
      </c>
      <c r="AN320">
        <v>61.2</v>
      </c>
    </row>
    <row r="321" spans="1:40" x14ac:dyDescent="0.25">
      <c r="A321" s="5" t="s">
        <v>977</v>
      </c>
      <c r="B321" s="6" t="s">
        <v>978</v>
      </c>
      <c r="C321" s="7" t="s">
        <v>979</v>
      </c>
      <c r="D321" s="7" t="s">
        <v>979</v>
      </c>
      <c r="E321" s="7" t="s">
        <v>22</v>
      </c>
      <c r="F321" s="7" t="s">
        <v>977</v>
      </c>
      <c r="G321" s="7" t="str" cm="1">
        <f t="array" ref="G321">INDEX('municipalities per province'!F:F,MATCH(municipalities!A321,'municipalities per province'!B:B,0),0)</f>
        <v>Zuid-Holland</v>
      </c>
      <c r="H321" s="7" t="str" cm="1">
        <f t="array" ref="H321">INDEX('municipalities per province'!E:E,MATCH(municipalities!$A321,'municipalities per province'!$B:$B,0),0)</f>
        <v>PV28</v>
      </c>
      <c r="I321" s="7" t="str" cm="1">
        <f t="array" ref="I321">INDEX('municipalities per province'!G:G,MATCH(municipalities!$A321,'municipalities per province'!$B:$B,0),0)</f>
        <v>Midden-Holland</v>
      </c>
      <c r="J321" s="7" t="str" cm="1">
        <f t="array" ref="J321">INDEX('municipalities per province'!H:H,MATCH(municipalities!$A321,'municipalities per province'!$B:$B,0),0)</f>
        <v>ES22</v>
      </c>
      <c r="K321" s="7" cm="1">
        <f t="array" ref="K321">INDEX(coordinates!C:C,MATCH(municipalities!$A321,coordinates!$A:$A,0),0)</f>
        <v>4.7372269392253781</v>
      </c>
      <c r="L321" s="7" cm="1">
        <f t="array" ref="L321">INDEX(coordinates!D:D,MATCH(municipalities!$A321,coordinates!$A:$A,0),0)</f>
        <v>51.952393938301228</v>
      </c>
      <c r="M321" s="8">
        <v>1</v>
      </c>
      <c r="N321" s="9">
        <v>57700</v>
      </c>
      <c r="O321" s="9">
        <v>28606</v>
      </c>
      <c r="P321" s="9">
        <v>29094</v>
      </c>
      <c r="Q321" s="9">
        <v>4</v>
      </c>
      <c r="R321" s="10">
        <v>799</v>
      </c>
      <c r="S321" s="11">
        <v>67</v>
      </c>
      <c r="T321" s="11">
        <v>33</v>
      </c>
      <c r="U321" s="12">
        <f t="shared" si="32"/>
        <v>35.700000000000003</v>
      </c>
      <c r="V321" s="12">
        <f t="shared" si="33"/>
        <v>4</v>
      </c>
      <c r="W321" s="12">
        <f t="shared" si="34"/>
        <v>6.5</v>
      </c>
      <c r="X321" s="12">
        <f t="shared" si="35"/>
        <v>8.8000000000000007</v>
      </c>
      <c r="Y321" s="12">
        <f t="shared" si="36"/>
        <v>151.4</v>
      </c>
      <c r="Z321" s="12" cm="1">
        <f t="array" ref="Z321">INDEX(municipality_wind_potential!$X:$X,MATCH(municipalities!$F321,municipality_wind_potential!$E:$E,0),0)</f>
        <v>112</v>
      </c>
      <c r="AA321" s="12">
        <f t="shared" si="37"/>
        <v>627.19999999999993</v>
      </c>
      <c r="AB321" s="12" cm="1">
        <f t="array" ref="AB321">INDEX(municipality_wind_potential!$Y:$Y,MATCH(municipalities!$F321,municipality_wind_potential!$E:$E,0),0) / 3.6</f>
        <v>1979.3472222222222</v>
      </c>
      <c r="AC321" s="12">
        <f t="shared" si="38"/>
        <v>101.29529637628991</v>
      </c>
      <c r="AD321" s="12" cm="1">
        <f t="array" ref="AD321">INDEX(municipality_pv_potential!$G:$G,MATCH(municipalities!$A321,municipality_pv_potential!$E:$E,0),0)/3.6*$AH$4</f>
        <v>93.799444444444461</v>
      </c>
      <c r="AE321" s="12">
        <f t="shared" si="39"/>
        <v>515.85073194144468</v>
      </c>
      <c r="AF321" s="12" cm="1">
        <f t="array" ref="AF321">INDEX(municipality_pv_potential!$H:$H,MATCH(municipalities!$A321,municipality_pv_potential!$E:$E,0),0)/3.6</f>
        <v>477.67777777777781</v>
      </c>
      <c r="AG321" s="12"/>
      <c r="AJ321">
        <v>35.700000000000003</v>
      </c>
      <c r="AK321">
        <v>4</v>
      </c>
      <c r="AL321">
        <v>6.5</v>
      </c>
      <c r="AM321">
        <v>8.8000000000000007</v>
      </c>
      <c r="AN321">
        <v>151.4</v>
      </c>
    </row>
    <row r="322" spans="1:40" x14ac:dyDescent="0.25">
      <c r="A322" s="5" t="s">
        <v>980</v>
      </c>
      <c r="B322" s="6" t="s">
        <v>981</v>
      </c>
      <c r="C322" s="7" t="s">
        <v>982</v>
      </c>
      <c r="D322" s="7" t="s">
        <v>982</v>
      </c>
      <c r="E322" s="7" t="s">
        <v>22</v>
      </c>
      <c r="F322" s="7" t="s">
        <v>980</v>
      </c>
      <c r="G322" s="7" t="str" cm="1">
        <f t="array" ref="G322">INDEX('municipalities per province'!F:F,MATCH(municipalities!A322,'municipalities per province'!B:B,0),0)</f>
        <v>Friesland</v>
      </c>
      <c r="H322" s="7" t="str" cm="1">
        <f t="array" ref="H322">INDEX('municipalities per province'!E:E,MATCH(municipalities!$A322,'municipalities per province'!$B:$B,0),0)</f>
        <v>PV21</v>
      </c>
      <c r="I322" s="7" t="str" cm="1">
        <f t="array" ref="I322">INDEX('municipalities per province'!G:G,MATCH(municipalities!$A322,'municipalities per province'!$B:$B,0),0)</f>
        <v>Friesland</v>
      </c>
      <c r="J322" s="7" t="str" cm="1">
        <f t="array" ref="J322">INDEX('municipalities per province'!H:H,MATCH(municipalities!$A322,'municipalities per province'!$B:$B,0),0)</f>
        <v>ES02</v>
      </c>
      <c r="K322" s="7" cm="1">
        <f t="array" ref="K322">INDEX(coordinates!C:C,MATCH(municipalities!$A322,coordinates!$A:$A,0),0)</f>
        <v>5.5033081769993739</v>
      </c>
      <c r="L322" s="7" cm="1">
        <f t="array" ref="L322">INDEX(coordinates!D:D,MATCH(municipalities!$A322,coordinates!$A:$A,0),0)</f>
        <v>52.813999871882253</v>
      </c>
      <c r="M322" s="8">
        <v>1</v>
      </c>
      <c r="N322" s="9">
        <v>51992</v>
      </c>
      <c r="O322" s="9">
        <v>26196</v>
      </c>
      <c r="P322" s="9">
        <v>25796</v>
      </c>
      <c r="Q322" s="9">
        <v>4</v>
      </c>
      <c r="R322" s="10">
        <v>541</v>
      </c>
      <c r="S322" s="11">
        <v>70</v>
      </c>
      <c r="T322" s="11">
        <v>30</v>
      </c>
      <c r="U322" s="12">
        <f t="shared" ref="U322:U343" si="40">IF(AJ322&lt;0,AVERAGEIF(AJ:AJ,"&gt;0"),AJ322)</f>
        <v>33.299999999999997</v>
      </c>
      <c r="V322" s="12">
        <f t="shared" ref="V322:V343" si="41">IF(AK322&lt;0,AVERAGEIF(AK:AK,"&gt;0"),AK322)</f>
        <v>5</v>
      </c>
      <c r="W322" s="12">
        <f t="shared" ref="W322:W343" si="42">IF(AL322&lt;0,AVERAGEIF(AL:AL,"&gt;0"),AL322)</f>
        <v>7.6</v>
      </c>
      <c r="X322" s="12">
        <f t="shared" ref="X322:X343" si="43">IF(AM322&lt;0,AVERAGEIF(AM:AM,"&gt;0"),AM322)</f>
        <v>10</v>
      </c>
      <c r="Y322" s="12">
        <f t="shared" ref="Y322:Y343" si="44">IF(AN322&lt;0,AVERAGEIF(AN:AN,"&gt;0"),AN322)</f>
        <v>141.6</v>
      </c>
      <c r="Z322" s="12" cm="1">
        <f t="array" ref="Z322">INDEX(municipality_wind_potential!$X:$X,MATCH(municipalities!$F322,municipality_wind_potential!$E:$E,0),0)</f>
        <v>259</v>
      </c>
      <c r="AA322" s="12">
        <f t="shared" si="37"/>
        <v>1450.3999999999999</v>
      </c>
      <c r="AB322" s="12" cm="1">
        <f t="array" ref="AB322">INDEX(municipality_wind_potential!$Y:$Y,MATCH(municipalities!$F322,municipality_wind_potential!$E:$E,0),0) / 3.6</f>
        <v>5066.5999999999995</v>
      </c>
      <c r="AC322" s="12">
        <f t="shared" si="38"/>
        <v>153.22954163666904</v>
      </c>
      <c r="AD322" s="12" cm="1">
        <f t="array" ref="AD322">INDEX(municipality_pv_potential!$G:$G,MATCH(municipalities!$A322,municipality_pv_potential!$E:$E,0),0)/3.6*$AH$4</f>
        <v>141.89055555555555</v>
      </c>
      <c r="AE322" s="12">
        <f t="shared" si="39"/>
        <v>1349.2200623950084</v>
      </c>
      <c r="AF322" s="12" cm="1">
        <f t="array" ref="AF322">INDEX(municipality_pv_potential!$H:$H,MATCH(municipalities!$A322,municipality_pv_potential!$E:$E,0),0)/3.6</f>
        <v>1249.3777777777777</v>
      </c>
      <c r="AG322" s="12"/>
      <c r="AJ322">
        <v>33.299999999999997</v>
      </c>
      <c r="AK322">
        <v>5</v>
      </c>
      <c r="AL322">
        <v>7.6</v>
      </c>
      <c r="AM322">
        <v>10</v>
      </c>
      <c r="AN322">
        <v>141.6</v>
      </c>
    </row>
    <row r="323" spans="1:40" x14ac:dyDescent="0.25">
      <c r="A323" s="5" t="s">
        <v>983</v>
      </c>
      <c r="B323" s="6" t="s">
        <v>984</v>
      </c>
      <c r="C323" s="7" t="s">
        <v>985</v>
      </c>
      <c r="D323" s="7" t="s">
        <v>985</v>
      </c>
      <c r="E323" s="7" t="s">
        <v>22</v>
      </c>
      <c r="F323" s="7" t="s">
        <v>983</v>
      </c>
      <c r="G323" s="7" t="str" cm="1">
        <f t="array" ref="G323">INDEX('municipalities per province'!F:F,MATCH(municipalities!A323,'municipalities per province'!B:B,0),0)</f>
        <v>Noord-Holland</v>
      </c>
      <c r="H323" s="7" t="str" cm="1">
        <f t="array" ref="H323">INDEX('municipalities per province'!E:E,MATCH(municipalities!$A323,'municipalities per province'!$B:$B,0),0)</f>
        <v>PV27</v>
      </c>
      <c r="I323" s="7" t="str" cm="1">
        <f t="array" ref="I323">INDEX('municipalities per province'!G:G,MATCH(municipalities!$A323,'municipalities per province'!$B:$B,0),0)</f>
        <v>Noord-HollandZuid</v>
      </c>
      <c r="J323" s="7" t="str" cm="1">
        <f t="array" ref="J323">INDEX('municipalities per province'!H:H,MATCH(municipalities!$A323,'municipalities per province'!$B:$B,0),0)</f>
        <v>ES16</v>
      </c>
      <c r="K323" s="7" cm="1">
        <f t="array" ref="K323">INDEX(coordinates!C:C,MATCH(municipalities!$A323,coordinates!$A:$A,0),0)</f>
        <v>5.1061371298073999</v>
      </c>
      <c r="L323" s="7" cm="1">
        <f t="array" ref="L323">INDEX(coordinates!D:D,MATCH(municipalities!$A323,coordinates!$A:$A,0),0)</f>
        <v>52.343053137397767</v>
      </c>
      <c r="M323" s="8">
        <v>3</v>
      </c>
      <c r="N323" s="9">
        <v>60359</v>
      </c>
      <c r="O323" s="9">
        <v>29180</v>
      </c>
      <c r="P323" s="9">
        <v>31179</v>
      </c>
      <c r="Q323" s="9">
        <v>2</v>
      </c>
      <c r="R323" s="10">
        <v>1911</v>
      </c>
      <c r="S323" s="11">
        <v>64</v>
      </c>
      <c r="T323" s="11">
        <v>36</v>
      </c>
      <c r="U323" s="12">
        <f t="shared" si="40"/>
        <v>44.2</v>
      </c>
      <c r="V323" s="12">
        <f t="shared" si="41"/>
        <v>5.6</v>
      </c>
      <c r="W323" s="12">
        <f t="shared" si="42"/>
        <v>7.9</v>
      </c>
      <c r="X323" s="12">
        <f t="shared" si="43"/>
        <v>10</v>
      </c>
      <c r="Y323" s="12">
        <f t="shared" si="44"/>
        <v>236.4</v>
      </c>
      <c r="Z323" s="12" cm="1">
        <f t="array" ref="Z323">INDEX(municipality_wind_potential!$X:$X,MATCH(municipalities!$F323,municipality_wind_potential!$E:$E,0),0)</f>
        <v>16</v>
      </c>
      <c r="AA323" s="12">
        <f t="shared" ref="AA323:AA343" si="45">Z323*$AH$2</f>
        <v>89.6</v>
      </c>
      <c r="AB323" s="12" cm="1">
        <f t="array" ref="AB323">INDEX(municipality_wind_potential!$Y:$Y,MATCH(municipalities!$F323,municipality_wind_potential!$E:$E,0),0) / 3.6</f>
        <v>258.04722222222222</v>
      </c>
      <c r="AC323" s="12">
        <f t="shared" ref="AC323:AC343" si="46">AD323/$AH$3*1000</f>
        <v>62.222222222222221</v>
      </c>
      <c r="AD323" s="12" cm="1">
        <f t="array" ref="AD323">INDEX(municipality_pv_potential!$G:$G,MATCH(municipalities!$A323,municipality_pv_potential!$E:$E,0),0)/3.6*$AH$4</f>
        <v>57.617777777777775</v>
      </c>
      <c r="AE323" s="12">
        <f t="shared" ref="AE323:AE343" si="47">AF323/$AH$3*1000</f>
        <v>45.827333813294935</v>
      </c>
      <c r="AF323" s="12" cm="1">
        <f t="array" ref="AF323">INDEX(municipality_pv_potential!$H:$H,MATCH(municipalities!$A323,municipality_pv_potential!$E:$E,0),0)/3.6</f>
        <v>42.43611111111111</v>
      </c>
      <c r="AG323" s="12"/>
      <c r="AJ323">
        <v>44.2</v>
      </c>
      <c r="AK323">
        <v>5.6</v>
      </c>
      <c r="AL323">
        <v>7.9</v>
      </c>
      <c r="AM323">
        <v>10</v>
      </c>
      <c r="AN323">
        <v>236.4</v>
      </c>
    </row>
    <row r="324" spans="1:40" x14ac:dyDescent="0.25">
      <c r="A324" s="5" t="s">
        <v>986</v>
      </c>
      <c r="B324" s="6" t="s">
        <v>987</v>
      </c>
      <c r="C324" s="7" t="s">
        <v>988</v>
      </c>
      <c r="D324" s="7" t="s">
        <v>988</v>
      </c>
      <c r="E324" s="7" t="s">
        <v>22</v>
      </c>
      <c r="F324" s="7" t="s">
        <v>986</v>
      </c>
      <c r="G324" s="7" t="str" cm="1">
        <f t="array" ref="G324">INDEX('municipalities per province'!F:F,MATCH(municipalities!A324,'municipalities per province'!B:B,0),0)</f>
        <v>Gelderland</v>
      </c>
      <c r="H324" s="7" t="str" cm="1">
        <f t="array" ref="H324">INDEX('municipalities per province'!E:E,MATCH(municipalities!$A324,'municipalities per province'!$B:$B,0),0)</f>
        <v>PV25</v>
      </c>
      <c r="I324" s="7" t="str" cm="1">
        <f t="array" ref="I324">INDEX('municipalities per province'!G:G,MATCH(municipalities!$A324,'municipalities per province'!$B:$B,0),0)</f>
        <v>Arnhem/Nijmegen</v>
      </c>
      <c r="J324" s="7" t="str" cm="1">
        <f t="array" ref="J324">INDEX('municipalities per province'!H:H,MATCH(municipalities!$A324,'municipalities per province'!$B:$B,0),0)</f>
        <v>ES08</v>
      </c>
      <c r="K324" s="7" cm="1">
        <f t="array" ref="K324">INDEX(coordinates!C:C,MATCH(municipalities!$A324,coordinates!$A:$A,0),0)</f>
        <v>5.949833996838084</v>
      </c>
      <c r="L324" s="7" cm="1">
        <f t="array" ref="L324">INDEX(coordinates!D:D,MATCH(municipalities!$A324,coordinates!$A:$A,0),0)</f>
        <v>51.819971693741337</v>
      </c>
      <c r="M324" s="8">
        <v>1</v>
      </c>
      <c r="N324" s="9">
        <v>35420</v>
      </c>
      <c r="O324" s="9">
        <v>17589</v>
      </c>
      <c r="P324" s="9">
        <v>17831</v>
      </c>
      <c r="Q324" s="9">
        <v>4</v>
      </c>
      <c r="R324" s="10">
        <v>658</v>
      </c>
      <c r="S324" s="11">
        <v>61</v>
      </c>
      <c r="T324" s="11">
        <v>38</v>
      </c>
      <c r="U324" s="12">
        <f t="shared" si="40"/>
        <v>33.5</v>
      </c>
      <c r="V324" s="12">
        <f t="shared" si="41"/>
        <v>5.6</v>
      </c>
      <c r="W324" s="12">
        <f t="shared" si="42"/>
        <v>9.9</v>
      </c>
      <c r="X324" s="12">
        <f t="shared" si="43"/>
        <v>13.4</v>
      </c>
      <c r="Y324" s="12">
        <f t="shared" si="44"/>
        <v>113.2</v>
      </c>
      <c r="Z324" s="12" cm="1">
        <f t="array" ref="Z324">INDEX(municipality_wind_potential!$X:$X,MATCH(municipalities!$F324,municipality_wind_potential!$E:$E,0),0)</f>
        <v>54</v>
      </c>
      <c r="AA324" s="12">
        <f t="shared" si="45"/>
        <v>302.39999999999998</v>
      </c>
      <c r="AB324" s="12" cm="1">
        <f t="array" ref="AB324">INDEX(municipality_wind_potential!$Y:$Y,MATCH(municipalities!$F324,municipality_wind_potential!$E:$E,0),0) / 3.6</f>
        <v>801.36111111111109</v>
      </c>
      <c r="AC324" s="12">
        <f t="shared" si="46"/>
        <v>62.110031197504206</v>
      </c>
      <c r="AD324" s="12" cm="1">
        <f t="array" ref="AD324">INDEX(municipality_pv_potential!$G:$G,MATCH(municipalities!$A324,municipality_pv_potential!$E:$E,0),0)/3.6*$AH$4</f>
        <v>57.513888888888893</v>
      </c>
      <c r="AE324" s="12">
        <f t="shared" si="47"/>
        <v>197.57619390448764</v>
      </c>
      <c r="AF324" s="12" cm="1">
        <f t="array" ref="AF324">INDEX(municipality_pv_potential!$H:$H,MATCH(municipalities!$A324,municipality_pv_potential!$E:$E,0),0)/3.6</f>
        <v>182.95555555555555</v>
      </c>
      <c r="AG324" s="12"/>
      <c r="AJ324">
        <v>33.5</v>
      </c>
      <c r="AK324">
        <v>5.6</v>
      </c>
      <c r="AL324">
        <v>9.9</v>
      </c>
      <c r="AM324">
        <v>13.4</v>
      </c>
      <c r="AN324">
        <v>113.2</v>
      </c>
    </row>
    <row r="325" spans="1:40" x14ac:dyDescent="0.25">
      <c r="A325" s="5" t="s">
        <v>989</v>
      </c>
      <c r="B325" s="6" t="s">
        <v>990</v>
      </c>
      <c r="C325" s="7" t="s">
        <v>991</v>
      </c>
      <c r="D325" s="7" t="s">
        <v>991</v>
      </c>
      <c r="E325" s="7" t="s">
        <v>22</v>
      </c>
      <c r="F325" s="7" t="s">
        <v>989</v>
      </c>
      <c r="G325" s="7" t="str" cm="1">
        <f t="array" ref="G325">INDEX('municipalities per province'!F:F,MATCH(municipalities!A325,'municipalities per province'!B:B,0),0)</f>
        <v>Noord-Brabant</v>
      </c>
      <c r="H325" s="7" t="str" cm="1">
        <f t="array" ref="H325">INDEX('municipalities per province'!E:E,MATCH(municipalities!$A325,'municipalities per province'!$B:$B,0),0)</f>
        <v>PV30</v>
      </c>
      <c r="I325" s="7" t="str" cm="1">
        <f t="array" ref="I325">INDEX('municipalities per province'!G:G,MATCH(municipalities!$A325,'municipalities per province'!$B:$B,0),0)</f>
        <v>Noordoost-Brabant</v>
      </c>
      <c r="J325" s="7" t="str" cm="1">
        <f t="array" ref="J325">INDEX('municipalities per province'!H:H,MATCH(municipalities!$A325,'municipalities per province'!$B:$B,0),0)</f>
        <v>ES27</v>
      </c>
      <c r="K325" s="7" cm="1">
        <f t="array" ref="K325">INDEX(coordinates!C:C,MATCH(municipalities!$A325,coordinates!$A:$A,0),0)</f>
        <v>5.5063921876434438</v>
      </c>
      <c r="L325" s="7" cm="1">
        <f t="array" ref="L325">INDEX(coordinates!D:D,MATCH(municipalities!$A325,coordinates!$A:$A,0),0)</f>
        <v>51.592234427252777</v>
      </c>
      <c r="M325" s="8">
        <v>1</v>
      </c>
      <c r="N325" s="9">
        <v>83715</v>
      </c>
      <c r="O325" s="9">
        <v>42194</v>
      </c>
      <c r="P325" s="9">
        <v>41521</v>
      </c>
      <c r="Q325" s="9">
        <v>3</v>
      </c>
      <c r="R325" s="10">
        <v>1012</v>
      </c>
      <c r="S325" s="11">
        <v>69</v>
      </c>
      <c r="T325" s="11">
        <v>31</v>
      </c>
      <c r="U325" s="12">
        <f t="shared" si="40"/>
        <v>35.700000000000003</v>
      </c>
      <c r="V325" s="12">
        <f t="shared" si="41"/>
        <v>3.6</v>
      </c>
      <c r="W325" s="12">
        <f t="shared" si="42"/>
        <v>5.9</v>
      </c>
      <c r="X325" s="12">
        <f t="shared" si="43"/>
        <v>8.1</v>
      </c>
      <c r="Y325" s="12">
        <f t="shared" si="44"/>
        <v>175.8</v>
      </c>
      <c r="Z325" s="12" cm="1">
        <f t="array" ref="Z325">INDEX(municipality_wind_potential!$X:$X,MATCH(municipalities!$F325,municipality_wind_potential!$E:$E,0),0)</f>
        <v>53</v>
      </c>
      <c r="AA325" s="12">
        <f t="shared" si="45"/>
        <v>296.79999999999995</v>
      </c>
      <c r="AB325" s="12" cm="1">
        <f t="array" ref="AB325">INDEX(municipality_wind_potential!$Y:$Y,MATCH(municipalities!$F325,municipality_wind_potential!$E:$E,0),0) / 3.6</f>
        <v>786.51944444444439</v>
      </c>
      <c r="AC325" s="12">
        <f t="shared" si="46"/>
        <v>240.10139188864892</v>
      </c>
      <c r="AD325" s="12" cm="1">
        <f t="array" ref="AD325">INDEX(municipality_pv_potential!$G:$G,MATCH(municipalities!$A325,municipality_pv_potential!$E:$E,0),0)/3.6*$AH$4</f>
        <v>222.33388888888891</v>
      </c>
      <c r="AE325" s="12">
        <f t="shared" si="47"/>
        <v>529.46964242860577</v>
      </c>
      <c r="AF325" s="12" cm="1">
        <f t="array" ref="AF325">INDEX(municipality_pv_potential!$H:$H,MATCH(municipalities!$A325,municipality_pv_potential!$E:$E,0),0)/3.6</f>
        <v>490.28888888888889</v>
      </c>
      <c r="AG325" s="12"/>
      <c r="AJ325">
        <v>35.700000000000003</v>
      </c>
      <c r="AK325">
        <v>3.6</v>
      </c>
      <c r="AL325">
        <v>5.9</v>
      </c>
      <c r="AM325">
        <v>8.1</v>
      </c>
      <c r="AN325">
        <v>175.8</v>
      </c>
    </row>
    <row r="326" spans="1:40" x14ac:dyDescent="0.25">
      <c r="A326" s="5" t="s">
        <v>992</v>
      </c>
      <c r="B326" s="6" t="s">
        <v>993</v>
      </c>
      <c r="C326" s="7" t="s">
        <v>994</v>
      </c>
      <c r="D326" s="7" t="s">
        <v>994</v>
      </c>
      <c r="E326" s="7" t="s">
        <v>22</v>
      </c>
      <c r="F326" s="7" t="s">
        <v>992</v>
      </c>
      <c r="G326" s="7" t="str" cm="1">
        <f t="array" ref="G326">INDEX('municipalities per province'!F:F,MATCH(municipalities!A326,'municipalities per province'!B:B,0),0)</f>
        <v>Friesland</v>
      </c>
      <c r="H326" s="7" t="str" cm="1">
        <f t="array" ref="H326">INDEX('municipalities per province'!E:E,MATCH(municipalities!$A326,'municipalities per province'!$B:$B,0),0)</f>
        <v>PV21</v>
      </c>
      <c r="I326" s="7" t="str" cm="1">
        <f t="array" ref="I326">INDEX('municipalities per province'!G:G,MATCH(municipalities!$A326,'municipalities per province'!$B:$B,0),0)</f>
        <v>Friesland</v>
      </c>
      <c r="J326" s="7" t="str" cm="1">
        <f t="array" ref="J326">INDEX('municipalities per province'!H:H,MATCH(municipalities!$A326,'municipalities per province'!$B:$B,0),0)</f>
        <v>ES02</v>
      </c>
      <c r="K326" s="7" cm="1">
        <f t="array" ref="K326">INDEX(coordinates!C:C,MATCH(municipalities!$A326,coordinates!$A:$A,0),0)</f>
        <v>5.6143617046029579</v>
      </c>
      <c r="L326" s="7" cm="1">
        <f t="array" ref="L326">INDEX(coordinates!D:D,MATCH(municipalities!$A326,coordinates!$A:$A,0),0)</f>
        <v>53.309954720128658</v>
      </c>
      <c r="M326" s="8">
        <v>1</v>
      </c>
      <c r="N326" s="9">
        <v>46718</v>
      </c>
      <c r="O326" s="9">
        <v>23717</v>
      </c>
      <c r="P326" s="9">
        <v>23001</v>
      </c>
      <c r="Q326" s="9">
        <v>5</v>
      </c>
      <c r="R326" s="10">
        <v>477</v>
      </c>
      <c r="S326" s="11">
        <v>68</v>
      </c>
      <c r="T326" s="11">
        <v>32</v>
      </c>
      <c r="U326" s="12">
        <f t="shared" si="40"/>
        <v>30.8</v>
      </c>
      <c r="V326" s="12">
        <f t="shared" si="41"/>
        <v>5.6</v>
      </c>
      <c r="W326" s="12">
        <f t="shared" si="42"/>
        <v>8.6999999999999993</v>
      </c>
      <c r="X326" s="12">
        <f t="shared" si="43"/>
        <v>11.4</v>
      </c>
      <c r="Y326" s="12">
        <f t="shared" si="44"/>
        <v>82.3</v>
      </c>
      <c r="Z326" s="12" cm="1">
        <f t="array" ref="Z326">INDEX(municipality_wind_potential!$X:$X,MATCH(municipalities!$F326,municipality_wind_potential!$E:$E,0),0)</f>
        <v>98</v>
      </c>
      <c r="AA326" s="12">
        <f t="shared" si="45"/>
        <v>548.79999999999995</v>
      </c>
      <c r="AB326" s="12" cm="1">
        <f t="array" ref="AB326">INDEX(municipality_wind_potential!$Y:$Y,MATCH(municipalities!$F326,municipality_wind_potential!$E:$E,0),0) / 3.6</f>
        <v>2112.8805555555555</v>
      </c>
      <c r="AC326" s="12">
        <f t="shared" si="46"/>
        <v>121.61267098632109</v>
      </c>
      <c r="AD326" s="12" cm="1">
        <f t="array" ref="AD326">INDEX(municipality_pv_potential!$G:$G,MATCH(municipalities!$A326,municipality_pv_potential!$E:$E,0),0)/3.6*$AH$4</f>
        <v>112.61333333333333</v>
      </c>
      <c r="AE326" s="12">
        <f t="shared" si="47"/>
        <v>1213.2139428845692</v>
      </c>
      <c r="AF326" s="12" cm="1">
        <f t="array" ref="AF326">INDEX(municipality_pv_potential!$H:$H,MATCH(municipalities!$A326,municipality_pv_potential!$E:$E,0),0)/3.6</f>
        <v>1123.4361111111111</v>
      </c>
      <c r="AG326" s="12"/>
      <c r="AJ326">
        <v>30.8</v>
      </c>
      <c r="AK326">
        <v>5.6</v>
      </c>
      <c r="AL326">
        <v>8.6999999999999993</v>
      </c>
      <c r="AM326">
        <v>11.4</v>
      </c>
      <c r="AN326">
        <v>82.3</v>
      </c>
    </row>
    <row r="327" spans="1:40" x14ac:dyDescent="0.25">
      <c r="A327" s="5" t="s">
        <v>995</v>
      </c>
      <c r="B327" s="6" t="s">
        <v>996</v>
      </c>
      <c r="C327" s="7" t="s">
        <v>997</v>
      </c>
      <c r="D327" s="7" t="s">
        <v>997</v>
      </c>
      <c r="E327" s="7" t="s">
        <v>22</v>
      </c>
      <c r="F327" s="7" t="s">
        <v>995</v>
      </c>
      <c r="G327" s="7" t="str" cm="1">
        <f t="array" ref="G327">INDEX('municipalities per province'!F:F,MATCH(municipalities!A327,'municipalities per province'!B:B,0),0)</f>
        <v>Groningen</v>
      </c>
      <c r="H327" s="7" t="str" cm="1">
        <f t="array" ref="H327">INDEX('municipalities per province'!E:E,MATCH(municipalities!$A327,'municipalities per province'!$B:$B,0),0)</f>
        <v>PV20</v>
      </c>
      <c r="I327" s="7" t="str" cm="1">
        <f t="array" ref="I327">INDEX('municipalities per province'!G:G,MATCH(municipalities!$A327,'municipalities per province'!$B:$B,0),0)</f>
        <v>Groningen</v>
      </c>
      <c r="J327" s="7" t="str" cm="1">
        <f t="array" ref="J327">INDEX('municipalities per province'!H:H,MATCH(municipalities!$A327,'municipalities per province'!$B:$B,0),0)</f>
        <v>ES01</v>
      </c>
      <c r="K327" s="7" cm="1">
        <f t="array" ref="K327">INDEX(coordinates!C:C,MATCH(municipalities!$A327,coordinates!$A:$A,0),0)</f>
        <v>7.1202257808355762</v>
      </c>
      <c r="L327" s="7" cm="1">
        <f t="array" ref="L327">INDEX(coordinates!D:D,MATCH(municipalities!$A327,coordinates!$A:$A,0),0)</f>
        <v>53.014144888287952</v>
      </c>
      <c r="M327" s="8">
        <v>1</v>
      </c>
      <c r="N327" s="9">
        <v>26537</v>
      </c>
      <c r="O327" s="9">
        <v>13343</v>
      </c>
      <c r="P327" s="9">
        <v>13194</v>
      </c>
      <c r="Q327" s="9">
        <v>5</v>
      </c>
      <c r="R327" s="10">
        <v>288</v>
      </c>
      <c r="S327" s="11">
        <v>68</v>
      </c>
      <c r="T327" s="11">
        <v>32</v>
      </c>
      <c r="U327" s="12">
        <f t="shared" si="40"/>
        <v>30.3</v>
      </c>
      <c r="V327" s="12">
        <f t="shared" si="41"/>
        <v>6.1</v>
      </c>
      <c r="W327" s="12">
        <f t="shared" si="42"/>
        <v>10.199999999999999</v>
      </c>
      <c r="X327" s="12">
        <f t="shared" si="43"/>
        <v>13.4</v>
      </c>
      <c r="Y327" s="12">
        <f t="shared" si="44"/>
        <v>108.1</v>
      </c>
      <c r="Z327" s="12" cm="1">
        <f t="array" ref="Z327">INDEX(municipality_wind_potential!$X:$X,MATCH(municipalities!$F327,municipality_wind_potential!$E:$E,0),0)</f>
        <v>150</v>
      </c>
      <c r="AA327" s="12">
        <f t="shared" si="45"/>
        <v>840</v>
      </c>
      <c r="AB327" s="12" cm="1">
        <f t="array" ref="AB327">INDEX(municipality_wind_potential!$Y:$Y,MATCH(municipalities!$F327,municipality_wind_potential!$E:$E,0),0) / 3.6</f>
        <v>2653.9249999999997</v>
      </c>
      <c r="AC327" s="12">
        <f t="shared" si="46"/>
        <v>89.287257019438442</v>
      </c>
      <c r="AD327" s="12" cm="1">
        <f t="array" ref="AD327">INDEX(municipality_pv_potential!$G:$G,MATCH(municipalities!$A327,municipality_pv_potential!$E:$E,0),0)/3.6*$AH$4</f>
        <v>82.68</v>
      </c>
      <c r="AE327" s="12">
        <f t="shared" si="47"/>
        <v>1041.5166786657069</v>
      </c>
      <c r="AF327" s="12" cm="1">
        <f t="array" ref="AF327">INDEX(municipality_pv_potential!$H:$H,MATCH(municipalities!$A327,municipality_pv_potential!$E:$E,0),0)/3.6</f>
        <v>964.44444444444446</v>
      </c>
      <c r="AG327" s="12"/>
      <c r="AJ327">
        <v>30.3</v>
      </c>
      <c r="AK327">
        <v>6.1</v>
      </c>
      <c r="AL327">
        <v>10.199999999999999</v>
      </c>
      <c r="AM327">
        <v>13.4</v>
      </c>
      <c r="AN327">
        <v>108.1</v>
      </c>
    </row>
    <row r="328" spans="1:40" x14ac:dyDescent="0.25">
      <c r="A328" s="5" t="s">
        <v>998</v>
      </c>
      <c r="B328" s="6" t="s">
        <v>999</v>
      </c>
      <c r="C328" s="7" t="s">
        <v>1000</v>
      </c>
      <c r="D328" s="7" t="s">
        <v>1000</v>
      </c>
      <c r="E328" s="7" t="s">
        <v>22</v>
      </c>
      <c r="F328" s="7" t="s">
        <v>998</v>
      </c>
      <c r="G328" s="7" t="str" cm="1">
        <f t="array" ref="G328">INDEX('municipalities per province'!F:F,MATCH(municipalities!A328,'municipalities per province'!B:B,0),0)</f>
        <v>Groningen</v>
      </c>
      <c r="H328" s="7" t="str" cm="1">
        <f t="array" ref="H328">INDEX('municipalities per province'!E:E,MATCH(municipalities!$A328,'municipalities per province'!$B:$B,0),0)</f>
        <v>PV20</v>
      </c>
      <c r="I328" s="7" t="str" cm="1">
        <f t="array" ref="I328">INDEX('municipalities per province'!G:G,MATCH(municipalities!$A328,'municipalities per province'!$B:$B,0),0)</f>
        <v>Groningen</v>
      </c>
      <c r="J328" s="7" t="str" cm="1">
        <f t="array" ref="J328">INDEX('municipalities per province'!H:H,MATCH(municipalities!$A328,'municipalities per province'!$B:$B,0),0)</f>
        <v>ES01</v>
      </c>
      <c r="K328" s="7" cm="1">
        <f t="array" ref="K328">INDEX(coordinates!C:C,MATCH(municipalities!$A328,coordinates!$A:$A,0),0)</f>
        <v>6.8074535490594599</v>
      </c>
      <c r="L328" s="7" cm="1">
        <f t="array" ref="L328">INDEX(coordinates!D:D,MATCH(municipalities!$A328,coordinates!$A:$A,0),0)</f>
        <v>53.195369149550253</v>
      </c>
      <c r="M328" s="8">
        <v>1</v>
      </c>
      <c r="N328" s="9">
        <v>61554</v>
      </c>
      <c r="O328" s="9">
        <v>30925</v>
      </c>
      <c r="P328" s="9">
        <v>30629</v>
      </c>
      <c r="Q328" s="9">
        <v>4</v>
      </c>
      <c r="R328" s="10">
        <v>872</v>
      </c>
      <c r="S328" s="11">
        <v>62</v>
      </c>
      <c r="T328" s="11">
        <v>38</v>
      </c>
      <c r="U328" s="12">
        <f t="shared" si="40"/>
        <v>29.9</v>
      </c>
      <c r="V328" s="12">
        <f t="shared" si="41"/>
        <v>7.7</v>
      </c>
      <c r="W328" s="12">
        <f t="shared" si="42"/>
        <v>11.9</v>
      </c>
      <c r="X328" s="12">
        <f t="shared" si="43"/>
        <v>15.4</v>
      </c>
      <c r="Y328" s="12">
        <f t="shared" si="44"/>
        <v>58.7</v>
      </c>
      <c r="Z328" s="12" cm="1">
        <f t="array" ref="Z328">INDEX(municipality_wind_potential!$X:$X,MATCH(municipalities!$F328,municipality_wind_potential!$E:$E,0),0)</f>
        <v>149</v>
      </c>
      <c r="AA328" s="12">
        <f t="shared" si="45"/>
        <v>834.4</v>
      </c>
      <c r="AB328" s="12" cm="1">
        <f t="array" ref="AB328">INDEX(municipality_wind_potential!$Y:$Y,MATCH(municipalities!$F328,municipality_wind_potential!$E:$E,0),0) / 3.6</f>
        <v>2645.047222222222</v>
      </c>
      <c r="AC328" s="12">
        <f t="shared" si="46"/>
        <v>144.32925365970723</v>
      </c>
      <c r="AD328" s="12" cm="1">
        <f t="array" ref="AD328">INDEX(municipality_pv_potential!$G:$G,MATCH(municipalities!$A328,municipality_pv_potential!$E:$E,0),0)/3.6*$AH$4</f>
        <v>133.64888888888888</v>
      </c>
      <c r="AE328" s="12">
        <f t="shared" si="47"/>
        <v>954.00767938564923</v>
      </c>
      <c r="AF328" s="12" cm="1">
        <f t="array" ref="AF328">INDEX(municipality_pv_potential!$H:$H,MATCH(municipalities!$A328,municipality_pv_potential!$E:$E,0),0)/3.6</f>
        <v>883.41111111111115</v>
      </c>
      <c r="AG328" s="12"/>
      <c r="AJ328">
        <v>29.9</v>
      </c>
      <c r="AK328">
        <v>7.7</v>
      </c>
      <c r="AL328">
        <v>11.9</v>
      </c>
      <c r="AM328">
        <v>15.4</v>
      </c>
      <c r="AN328">
        <v>58.7</v>
      </c>
    </row>
    <row r="329" spans="1:40" x14ac:dyDescent="0.25">
      <c r="A329" s="5" t="s">
        <v>1001</v>
      </c>
      <c r="B329" s="6" t="s">
        <v>1002</v>
      </c>
      <c r="C329" s="7" t="s">
        <v>1003</v>
      </c>
      <c r="D329" s="7" t="s">
        <v>1003</v>
      </c>
      <c r="E329" s="7" t="s">
        <v>22</v>
      </c>
      <c r="F329" s="7" t="s">
        <v>1001</v>
      </c>
      <c r="G329" s="7" t="str" cm="1">
        <f t="array" ref="G329">INDEX('municipalities per province'!F:F,MATCH(municipalities!A329,'municipalities per province'!B:B,0),0)</f>
        <v>Limburg</v>
      </c>
      <c r="H329" s="7" t="str" cm="1">
        <f t="array" ref="H329">INDEX('municipalities per province'!E:E,MATCH(municipalities!$A329,'municipalities per province'!$B:$B,0),0)</f>
        <v>PV31</v>
      </c>
      <c r="I329" s="7" t="str" cm="1">
        <f t="array" ref="I329">INDEX('municipalities per province'!G:G,MATCH(municipalities!$A329,'municipalities per province'!$B:$B,0),0)</f>
        <v>Zuid-Limburg</v>
      </c>
      <c r="J329" s="7" t="str" cm="1">
        <f t="array" ref="J329">INDEX('municipalities per province'!H:H,MATCH(municipalities!$A329,'municipalities per province'!$B:$B,0),0)</f>
        <v>ES30</v>
      </c>
      <c r="K329" s="7" cm="1">
        <f t="array" ref="K329">INDEX(coordinates!C:C,MATCH(municipalities!$A329,coordinates!$A:$A,0),0)</f>
        <v>5.8971707417490924</v>
      </c>
      <c r="L329" s="7" cm="1">
        <f t="array" ref="L329">INDEX(coordinates!D:D,MATCH(municipalities!$A329,coordinates!$A:$A,0),0)</f>
        <v>50.936733347636519</v>
      </c>
      <c r="M329" s="8">
        <v>1</v>
      </c>
      <c r="N329" s="9">
        <v>35966</v>
      </c>
      <c r="O329" s="9">
        <v>17936</v>
      </c>
      <c r="P329" s="9">
        <v>18030</v>
      </c>
      <c r="Q329" s="9">
        <v>4</v>
      </c>
      <c r="R329" s="10">
        <v>500</v>
      </c>
      <c r="S329" s="11">
        <v>73</v>
      </c>
      <c r="T329" s="11">
        <v>27</v>
      </c>
      <c r="U329" s="12">
        <f t="shared" si="40"/>
        <v>33.700000000000003</v>
      </c>
      <c r="V329" s="12">
        <f t="shared" si="41"/>
        <v>4.5</v>
      </c>
      <c r="W329" s="12">
        <f t="shared" si="42"/>
        <v>7.3</v>
      </c>
      <c r="X329" s="12">
        <f t="shared" si="43"/>
        <v>9.6999999999999993</v>
      </c>
      <c r="Y329" s="12">
        <f t="shared" si="44"/>
        <v>143.9</v>
      </c>
      <c r="Z329" s="12" cm="1">
        <f t="array" ref="Z329">INDEX(municipality_wind_potential!$X:$X,MATCH(municipalities!$F329,municipality_wind_potential!$E:$E,0),0)</f>
        <v>7</v>
      </c>
      <c r="AA329" s="12">
        <f t="shared" si="45"/>
        <v>39.199999999999996</v>
      </c>
      <c r="AB329" s="12" cm="1">
        <f t="array" ref="AB329">INDEX(municipality_wind_potential!$Y:$Y,MATCH(municipalities!$F329,municipality_wind_potential!$E:$E,0),0) / 3.6</f>
        <v>103.88055555555556</v>
      </c>
      <c r="AC329" s="12">
        <f t="shared" si="46"/>
        <v>70.493160547156236</v>
      </c>
      <c r="AD329" s="12" cm="1">
        <f t="array" ref="AD329">INDEX(municipality_pv_potential!$G:$G,MATCH(municipalities!$A329,municipality_pv_potential!$E:$E,0),0)/3.6*$AH$4</f>
        <v>65.276666666666671</v>
      </c>
      <c r="AE329" s="12">
        <f t="shared" si="47"/>
        <v>234.44024478041752</v>
      </c>
      <c r="AF329" s="12" cm="1">
        <f t="array" ref="AF329">INDEX(municipality_pv_potential!$H:$H,MATCH(municipalities!$A329,municipality_pv_potential!$E:$E,0),0)/3.6</f>
        <v>217.09166666666664</v>
      </c>
      <c r="AG329" s="12"/>
      <c r="AJ329">
        <v>33.700000000000003</v>
      </c>
      <c r="AK329">
        <v>4.5</v>
      </c>
      <c r="AL329">
        <v>7.3</v>
      </c>
      <c r="AM329">
        <v>9.6999999999999993</v>
      </c>
      <c r="AN329">
        <v>143.9</v>
      </c>
    </row>
    <row r="330" spans="1:40" x14ac:dyDescent="0.25">
      <c r="A330" s="5" t="s">
        <v>1004</v>
      </c>
      <c r="B330" s="6" t="s">
        <v>1005</v>
      </c>
      <c r="C330" s="7" t="s">
        <v>1006</v>
      </c>
      <c r="D330" s="7" t="s">
        <v>1006</v>
      </c>
      <c r="E330" s="7" t="s">
        <v>22</v>
      </c>
      <c r="F330" s="7" t="s">
        <v>1004</v>
      </c>
      <c r="G330" s="7" t="str" cm="1">
        <f t="array" ref="G330">INDEX('municipalities per province'!F:F,MATCH(municipalities!A330,'municipalities per province'!B:B,0),0)</f>
        <v>Gelderland</v>
      </c>
      <c r="H330" s="7" t="str" cm="1">
        <f t="array" ref="H330">INDEX('municipalities per province'!E:E,MATCH(municipalities!$A330,'municipalities per province'!$B:$B,0),0)</f>
        <v>PV25</v>
      </c>
      <c r="I330" s="7" t="str" cm="1">
        <f t="array" ref="I330">INDEX('municipalities per province'!G:G,MATCH(municipalities!$A330,'municipalities per province'!$B:$B,0),0)</f>
        <v>Achterhoek</v>
      </c>
      <c r="J330" s="7" t="str" cm="1">
        <f t="array" ref="J330">INDEX('municipalities per province'!H:H,MATCH(municipalities!$A330,'municipalities per province'!$B:$B,0),0)</f>
        <v>ES07</v>
      </c>
      <c r="K330" s="7" cm="1">
        <f t="array" ref="K330">INDEX(coordinates!C:C,MATCH(municipalities!$A330,coordinates!$A:$A,0),0)</f>
        <v>6.2137321416126783</v>
      </c>
      <c r="L330" s="7" cm="1">
        <f t="array" ref="L330">INDEX(coordinates!D:D,MATCH(municipalities!$A330,coordinates!$A:$A,0),0)</f>
        <v>51.916892537761044</v>
      </c>
      <c r="M330" s="8">
        <v>1</v>
      </c>
      <c r="N330" s="9">
        <v>36882</v>
      </c>
      <c r="O330" s="9">
        <v>18484</v>
      </c>
      <c r="P330" s="9">
        <v>18398</v>
      </c>
      <c r="Q330" s="9">
        <v>4</v>
      </c>
      <c r="R330" s="10">
        <v>773</v>
      </c>
      <c r="S330" s="11">
        <v>66</v>
      </c>
      <c r="T330" s="11">
        <v>33</v>
      </c>
      <c r="U330" s="12">
        <f t="shared" si="40"/>
        <v>32.5</v>
      </c>
      <c r="V330" s="12">
        <f t="shared" si="41"/>
        <v>4.5999999999999996</v>
      </c>
      <c r="W330" s="12">
        <f t="shared" si="42"/>
        <v>7.9</v>
      </c>
      <c r="X330" s="12">
        <f t="shared" si="43"/>
        <v>11</v>
      </c>
      <c r="Y330" s="12">
        <f t="shared" si="44"/>
        <v>110.9</v>
      </c>
      <c r="Z330" s="12" cm="1">
        <f t="array" ref="Z330">INDEX(municipality_wind_potential!$X:$X,MATCH(municipalities!$F330,municipality_wind_potential!$E:$E,0),0)</f>
        <v>49</v>
      </c>
      <c r="AA330" s="12">
        <f t="shared" si="45"/>
        <v>274.39999999999998</v>
      </c>
      <c r="AB330" s="12" cm="1">
        <f t="array" ref="AB330">INDEX(municipality_wind_potential!$Y:$Y,MATCH(municipalities!$F330,municipality_wind_potential!$E:$E,0),0) / 3.6</f>
        <v>727.16111111111115</v>
      </c>
      <c r="AC330" s="12">
        <f t="shared" si="46"/>
        <v>97.640988720902342</v>
      </c>
      <c r="AD330" s="12" cm="1">
        <f t="array" ref="AD330">INDEX(municipality_pv_potential!$G:$G,MATCH(municipalities!$A330,municipality_pv_potential!$E:$E,0),0)/3.6*$AH$4</f>
        <v>90.415555555555557</v>
      </c>
      <c r="AE330" s="12">
        <f t="shared" si="47"/>
        <v>309.62323014158864</v>
      </c>
      <c r="AF330" s="12" cm="1">
        <f t="array" ref="AF330">INDEX(municipality_pv_potential!$H:$H,MATCH(municipalities!$A330,municipality_pv_potential!$E:$E,0),0)/3.6</f>
        <v>286.71111111111111</v>
      </c>
      <c r="AG330" s="12"/>
      <c r="AJ330">
        <v>32.5</v>
      </c>
      <c r="AK330">
        <v>4.5999999999999996</v>
      </c>
      <c r="AL330">
        <v>7.9</v>
      </c>
      <c r="AM330">
        <v>11</v>
      </c>
      <c r="AN330">
        <v>110.9</v>
      </c>
    </row>
    <row r="331" spans="1:40" x14ac:dyDescent="0.25">
      <c r="A331" s="5" t="s">
        <v>1007</v>
      </c>
      <c r="B331" s="6" t="s">
        <v>1008</v>
      </c>
      <c r="C331" s="7" t="s">
        <v>1009</v>
      </c>
      <c r="D331" s="7" t="s">
        <v>1009</v>
      </c>
      <c r="E331" s="7" t="s">
        <v>22</v>
      </c>
      <c r="F331" s="7" t="s">
        <v>1007</v>
      </c>
      <c r="G331" s="7" t="str" cm="1">
        <f t="array" ref="G331">INDEX('municipalities per province'!F:F,MATCH(municipalities!A331,'municipalities per province'!B:B,0),0)</f>
        <v>Noord-Brabant</v>
      </c>
      <c r="H331" s="7" t="str" cm="1">
        <f t="array" ref="H331">INDEX('municipalities per province'!E:E,MATCH(municipalities!$A331,'municipalities per province'!$B:$B,0),0)</f>
        <v>PV30</v>
      </c>
      <c r="I331" s="7" t="str" cm="1">
        <f t="array" ref="I331">INDEX('municipalities per province'!G:G,MATCH(municipalities!$A331,'municipalities per province'!$B:$B,0),0)</f>
        <v>West-Brabant</v>
      </c>
      <c r="J331" s="7" t="str" cm="1">
        <f t="array" ref="J331">INDEX('municipalities per province'!H:H,MATCH(municipalities!$A331,'municipalities per province'!$B:$B,0),0)</f>
        <v>ES28</v>
      </c>
      <c r="K331" s="7" cm="1">
        <f t="array" ref="K331">INDEX(coordinates!C:C,MATCH(municipalities!$A331,coordinates!$A:$A,0),0)</f>
        <v>4.9459183138073701</v>
      </c>
      <c r="L331" s="7" cm="1">
        <f t="array" ref="L331">INDEX(coordinates!D:D,MATCH(municipalities!$A331,coordinates!$A:$A,0),0)</f>
        <v>51.765636587434336</v>
      </c>
      <c r="M331" s="8">
        <v>1</v>
      </c>
      <c r="N331" s="9">
        <v>57726</v>
      </c>
      <c r="O331" s="9">
        <v>29044</v>
      </c>
      <c r="P331" s="9">
        <v>28682</v>
      </c>
      <c r="Q331" s="9">
        <v>4</v>
      </c>
      <c r="R331" s="10">
        <v>516</v>
      </c>
      <c r="S331" s="11">
        <v>69</v>
      </c>
      <c r="T331" s="11">
        <v>31</v>
      </c>
      <c r="U331" s="12">
        <f t="shared" si="40"/>
        <v>35.4</v>
      </c>
      <c r="V331" s="12">
        <f t="shared" si="41"/>
        <v>3.7</v>
      </c>
      <c r="W331" s="12">
        <f t="shared" si="42"/>
        <v>5.9</v>
      </c>
      <c r="X331" s="12">
        <f t="shared" si="43"/>
        <v>8.5</v>
      </c>
      <c r="Y331" s="12">
        <f t="shared" si="44"/>
        <v>152.80000000000001</v>
      </c>
      <c r="Z331" s="12" cm="1">
        <f t="array" ref="Z331">INDEX(municipality_wind_potential!$X:$X,MATCH(municipalities!$F331,municipality_wind_potential!$E:$E,0),0)</f>
        <v>149</v>
      </c>
      <c r="AA331" s="12">
        <f t="shared" si="45"/>
        <v>834.4</v>
      </c>
      <c r="AB331" s="12" cm="1">
        <f t="array" ref="AB331">INDEX(municipality_wind_potential!$Y:$Y,MATCH(municipalities!$F331,municipality_wind_potential!$E:$E,0),0) / 3.6</f>
        <v>2496.5083333333332</v>
      </c>
      <c r="AC331" s="12">
        <f t="shared" si="46"/>
        <v>114.83021358291337</v>
      </c>
      <c r="AD331" s="12" cm="1">
        <f t="array" ref="AD331">INDEX(municipality_pv_potential!$G:$G,MATCH(municipalities!$A331,municipality_pv_potential!$E:$E,0),0)/3.6*$AH$4</f>
        <v>106.33277777777778</v>
      </c>
      <c r="AE331" s="12">
        <f t="shared" si="47"/>
        <v>695.91432685385166</v>
      </c>
      <c r="AF331" s="12" cm="1">
        <f t="array" ref="AF331">INDEX(municipality_pv_potential!$H:$H,MATCH(municipalities!$A331,municipality_pv_potential!$E:$E,0),0)/3.6</f>
        <v>644.41666666666663</v>
      </c>
      <c r="AG331" s="12"/>
      <c r="AJ331">
        <v>35.4</v>
      </c>
      <c r="AK331">
        <v>3.7</v>
      </c>
      <c r="AL331">
        <v>5.9</v>
      </c>
      <c r="AM331">
        <v>8.5</v>
      </c>
      <c r="AN331">
        <v>152.80000000000001</v>
      </c>
    </row>
    <row r="332" spans="1:40" x14ac:dyDescent="0.25">
      <c r="A332" s="5" t="s">
        <v>1010</v>
      </c>
      <c r="B332" s="6" t="s">
        <v>1011</v>
      </c>
      <c r="C332" s="7" t="s">
        <v>1012</v>
      </c>
      <c r="D332" s="7" t="s">
        <v>1012</v>
      </c>
      <c r="E332" s="7" t="s">
        <v>22</v>
      </c>
      <c r="F332" s="7" t="s">
        <v>1010</v>
      </c>
      <c r="G332" s="7" t="str" cm="1">
        <f t="array" ref="G332">INDEX('municipalities per province'!F:F,MATCH(municipalities!A332,'municipalities per province'!B:B,0),0)</f>
        <v>Gelderland</v>
      </c>
      <c r="H332" s="7" t="str" cm="1">
        <f t="array" ref="H332">INDEX('municipalities per province'!E:E,MATCH(municipalities!$A332,'municipalities per province'!$B:$B,0),0)</f>
        <v>PV25</v>
      </c>
      <c r="I332" s="7" t="str" cm="1">
        <f t="array" ref="I332">INDEX('municipalities per province'!G:G,MATCH(municipalities!$A332,'municipalities per province'!$B:$B,0),0)</f>
        <v>FruitdeltaRivierenland</v>
      </c>
      <c r="J332" s="7" t="str" cm="1">
        <f t="array" ref="J332">INDEX('municipalities per province'!H:H,MATCH(municipalities!$A332,'municipalities per province'!$B:$B,0),0)</f>
        <v>ES11</v>
      </c>
      <c r="K332" s="7" cm="1">
        <f t="array" ref="K332">INDEX(coordinates!C:C,MATCH(municipalities!$A332,coordinates!$A:$A,0),0)</f>
        <v>5.20934710640379</v>
      </c>
      <c r="L332" s="7" cm="1">
        <f t="array" ref="L332">INDEX(coordinates!D:D,MATCH(municipalities!$A332,coordinates!$A:$A,0),0)</f>
        <v>51.861584803421522</v>
      </c>
      <c r="M332" s="8">
        <v>1</v>
      </c>
      <c r="N332" s="9">
        <v>52720</v>
      </c>
      <c r="O332" s="9">
        <v>26427</v>
      </c>
      <c r="P332" s="9">
        <v>26293</v>
      </c>
      <c r="Q332" s="9">
        <v>5</v>
      </c>
      <c r="R332" s="10">
        <v>470</v>
      </c>
      <c r="S332" s="11">
        <v>72</v>
      </c>
      <c r="T332" s="11">
        <v>27</v>
      </c>
      <c r="U332" s="12">
        <f t="shared" si="40"/>
        <v>37.5</v>
      </c>
      <c r="V332" s="12">
        <f t="shared" si="41"/>
        <v>3.4</v>
      </c>
      <c r="W332" s="12">
        <f t="shared" si="42"/>
        <v>5.5</v>
      </c>
      <c r="X332" s="12">
        <f t="shared" si="43"/>
        <v>7.6</v>
      </c>
      <c r="Y332" s="12">
        <f t="shared" si="44"/>
        <v>181.6</v>
      </c>
      <c r="Z332" s="12" cm="1">
        <f t="array" ref="Z332">INDEX(municipality_wind_potential!$X:$X,MATCH(municipalities!$F332,municipality_wind_potential!$E:$E,0),0)</f>
        <v>125</v>
      </c>
      <c r="AA332" s="12">
        <f t="shared" si="45"/>
        <v>700</v>
      </c>
      <c r="AB332" s="12" cm="1">
        <f t="array" ref="AB332">INDEX(municipality_wind_potential!$Y:$Y,MATCH(municipalities!$F332,municipality_wind_potential!$E:$E,0),0) / 3.6</f>
        <v>2210.125</v>
      </c>
      <c r="AC332" s="12">
        <f t="shared" si="46"/>
        <v>140.52615790736741</v>
      </c>
      <c r="AD332" s="12" cm="1">
        <f t="array" ref="AD332">INDEX(municipality_pv_potential!$G:$G,MATCH(municipalities!$A332,municipality_pv_potential!$E:$E,0),0)/3.6*$AH$4</f>
        <v>130.12722222222223</v>
      </c>
      <c r="AE332" s="12">
        <f t="shared" si="47"/>
        <v>732.56239500839922</v>
      </c>
      <c r="AF332" s="12" cm="1">
        <f t="array" ref="AF332">INDEX(municipality_pv_potential!$H:$H,MATCH(municipalities!$A332,municipality_pv_potential!$E:$E,0),0)/3.6</f>
        <v>678.35277777777776</v>
      </c>
      <c r="AG332" s="12"/>
      <c r="AJ332">
        <v>37.5</v>
      </c>
      <c r="AK332">
        <v>3.4</v>
      </c>
      <c r="AL332">
        <v>5.5</v>
      </c>
      <c r="AM332">
        <v>7.6</v>
      </c>
      <c r="AN332">
        <v>181.6</v>
      </c>
    </row>
    <row r="333" spans="1:40" x14ac:dyDescent="0.25">
      <c r="A333" s="5" t="s">
        <v>1013</v>
      </c>
      <c r="B333" s="6" t="s">
        <v>1014</v>
      </c>
      <c r="C333" s="7" t="s">
        <v>1015</v>
      </c>
      <c r="D333" s="7" t="s">
        <v>1015</v>
      </c>
      <c r="E333" s="7" t="s">
        <v>22</v>
      </c>
      <c r="F333" s="7" t="s">
        <v>1013</v>
      </c>
      <c r="G333" s="7" t="str" cm="1">
        <f t="array" ref="G333">INDEX('municipalities per province'!F:F,MATCH(municipalities!A333,'municipalities per province'!B:B,0),0)</f>
        <v>Utrecht</v>
      </c>
      <c r="H333" s="7" t="str" cm="1">
        <f t="array" ref="H333">INDEX('municipalities per province'!E:E,MATCH(municipalities!$A333,'municipalities per province'!$B:$B,0),0)</f>
        <v>PV26</v>
      </c>
      <c r="I333" s="7" t="str" cm="1">
        <f t="array" ref="I333">INDEX('municipalities per province'!G:G,MATCH(municipalities!$A333,'municipalities per province'!$B:$B,0),0)</f>
        <v>U16</v>
      </c>
      <c r="J333" s="7" t="str" cm="1">
        <f t="array" ref="J333">INDEX('municipalities per province'!H:H,MATCH(municipalities!$A333,'municipalities per province'!$B:$B,0),0)</f>
        <v>ES14</v>
      </c>
      <c r="K333" s="7" cm="1">
        <f t="array" ref="K333">INDEX(coordinates!C:C,MATCH(municipalities!$A333,coordinates!$A:$A,0),0)</f>
        <v>5.0567729024277259</v>
      </c>
      <c r="L333" s="7" cm="1">
        <f t="array" ref="L333">INDEX(coordinates!D:D,MATCH(municipalities!$A333,coordinates!$A:$A,0),0)</f>
        <v>51.93599303528547</v>
      </c>
      <c r="M333" s="8">
        <v>1</v>
      </c>
      <c r="N333" s="9">
        <v>60052</v>
      </c>
      <c r="O333" s="9">
        <v>29846</v>
      </c>
      <c r="P333" s="9">
        <v>30206</v>
      </c>
      <c r="Q333" s="9">
        <v>4</v>
      </c>
      <c r="R333" s="10">
        <v>925</v>
      </c>
      <c r="S333" s="11">
        <v>63</v>
      </c>
      <c r="T333" s="11">
        <v>37</v>
      </c>
      <c r="U333" s="12">
        <f t="shared" si="40"/>
        <v>34.6</v>
      </c>
      <c r="V333" s="12">
        <f t="shared" si="41"/>
        <v>4.3</v>
      </c>
      <c r="W333" s="12">
        <f t="shared" si="42"/>
        <v>6.7</v>
      </c>
      <c r="X333" s="12">
        <f t="shared" si="43"/>
        <v>9.4</v>
      </c>
      <c r="Y333" s="12">
        <f t="shared" si="44"/>
        <v>117.1</v>
      </c>
      <c r="Z333" s="12" cm="1">
        <f t="array" ref="Z333">INDEX(municipality_wind_potential!$X:$X,MATCH(municipalities!$F333,municipality_wind_potential!$E:$E,0),0)</f>
        <v>100</v>
      </c>
      <c r="AA333" s="12">
        <f t="shared" si="45"/>
        <v>560</v>
      </c>
      <c r="AB333" s="12" cm="1">
        <f t="array" ref="AB333">INDEX(municipality_wind_potential!$Y:$Y,MATCH(municipalities!$F333,municipality_wind_potential!$E:$E,0),0) / 3.6</f>
        <v>1766.325</v>
      </c>
      <c r="AC333" s="12">
        <f t="shared" si="46"/>
        <v>107.71298296136307</v>
      </c>
      <c r="AD333" s="12" cm="1">
        <f t="array" ref="AD333">INDEX(municipality_pv_potential!$G:$G,MATCH(municipalities!$A333,municipality_pv_potential!$E:$E,0),0)/3.6*$AH$4</f>
        <v>99.74222222222221</v>
      </c>
      <c r="AE333" s="12">
        <f t="shared" si="47"/>
        <v>497.57619390448758</v>
      </c>
      <c r="AF333" s="12" cm="1">
        <f t="array" ref="AF333">INDEX(municipality_pv_potential!$H:$H,MATCH(municipalities!$A333,municipality_pv_potential!$E:$E,0),0)/3.6</f>
        <v>460.75555555555553</v>
      </c>
      <c r="AG333" s="12"/>
      <c r="AJ333">
        <v>34.6</v>
      </c>
      <c r="AK333">
        <v>4.3</v>
      </c>
      <c r="AL333">
        <v>6.7</v>
      </c>
      <c r="AM333">
        <v>9.4</v>
      </c>
      <c r="AN333">
        <v>117.1</v>
      </c>
    </row>
    <row r="334" spans="1:40" x14ac:dyDescent="0.25">
      <c r="A334" s="5" t="s">
        <v>1016</v>
      </c>
      <c r="B334" s="6" t="s">
        <v>1017</v>
      </c>
      <c r="C334" s="7" t="s">
        <v>1018</v>
      </c>
      <c r="D334" s="7" t="s">
        <v>1018</v>
      </c>
      <c r="E334" s="7" t="s">
        <v>22</v>
      </c>
      <c r="F334" s="7" t="s">
        <v>1016</v>
      </c>
      <c r="G334" s="7" t="str" cm="1">
        <f t="array" ref="G334">INDEX('municipalities per province'!F:F,MATCH(municipalities!A334,'municipalities per province'!B:B,0),0)</f>
        <v>Zuid-Holland</v>
      </c>
      <c r="H334" s="7" t="str" cm="1">
        <f t="array" ref="H334">INDEX('municipalities per province'!E:E,MATCH(municipalities!$A334,'municipalities per province'!$B:$B,0),0)</f>
        <v>PV28</v>
      </c>
      <c r="I334" s="7" t="str" cm="1">
        <f t="array" ref="I334">INDEX('municipalities per province'!G:G,MATCH(municipalities!$A334,'municipalities per province'!$B:$B,0),0)</f>
        <v>Hoekschewaard</v>
      </c>
      <c r="J334" s="7" t="str" cm="1">
        <f t="array" ref="J334">INDEX('municipalities per province'!H:H,MATCH(municipalities!$A334,'municipalities per province'!$B:$B,0),0)</f>
        <v>ES20</v>
      </c>
      <c r="K334" s="7" cm="1">
        <f t="array" ref="K334">INDEX(coordinates!C:C,MATCH(municipalities!$A334,coordinates!$A:$A,0),0)</f>
        <v>4.4010045524184687</v>
      </c>
      <c r="L334" s="7" cm="1">
        <f t="array" ref="L334">INDEX(coordinates!D:D,MATCH(municipalities!$A334,coordinates!$A:$A,0),0)</f>
        <v>51.723510568910527</v>
      </c>
      <c r="M334" s="8">
        <v>1</v>
      </c>
      <c r="N334" s="9">
        <v>89760</v>
      </c>
      <c r="O334" s="9">
        <v>44291</v>
      </c>
      <c r="P334" s="9">
        <v>45469</v>
      </c>
      <c r="Q334" s="9">
        <v>4</v>
      </c>
      <c r="R334" s="10">
        <v>841</v>
      </c>
      <c r="S334" s="11">
        <v>71</v>
      </c>
      <c r="T334" s="11">
        <v>29</v>
      </c>
      <c r="U334" s="12">
        <f t="shared" si="40"/>
        <v>37</v>
      </c>
      <c r="V334" s="12">
        <f t="shared" si="41"/>
        <v>3.4</v>
      </c>
      <c r="W334" s="12">
        <f t="shared" si="42"/>
        <v>5.4</v>
      </c>
      <c r="X334" s="12">
        <f t="shared" si="43"/>
        <v>7.6</v>
      </c>
      <c r="Y334" s="12">
        <f t="shared" si="44"/>
        <v>144.4</v>
      </c>
      <c r="Z334" s="12" cm="1">
        <f t="array" ref="Z334">INDEX(municipality_wind_potential!$X:$X,MATCH(municipalities!$F334,municipality_wind_potential!$E:$E,0),0)</f>
        <v>182</v>
      </c>
      <c r="AA334" s="12">
        <f t="shared" si="45"/>
        <v>1019.1999999999999</v>
      </c>
      <c r="AB334" s="12" cm="1">
        <f t="array" ref="AB334">INDEX(municipality_wind_potential!$Y:$Y,MATCH(municipalities!$F334,municipality_wind_potential!$E:$E,0),0) / 3.6</f>
        <v>3230.8638888888891</v>
      </c>
      <c r="AC334" s="12">
        <f t="shared" si="46"/>
        <v>154.26745860331172</v>
      </c>
      <c r="AD334" s="12" cm="1">
        <f t="array" ref="AD334">INDEX(municipality_pv_potential!$G:$G,MATCH(municipalities!$A334,municipality_pv_potential!$E:$E,0),0)/3.6*$AH$4</f>
        <v>142.85166666666666</v>
      </c>
      <c r="AE334" s="12">
        <f t="shared" si="47"/>
        <v>1025.7169426445885</v>
      </c>
      <c r="AF334" s="12" cm="1">
        <f t="array" ref="AF334">INDEX(municipality_pv_potential!$H:$H,MATCH(municipalities!$A334,municipality_pv_potential!$E:$E,0),0)/3.6</f>
        <v>949.81388888888887</v>
      </c>
      <c r="AG334" s="12"/>
      <c r="AJ334">
        <v>37</v>
      </c>
      <c r="AK334">
        <v>3.4</v>
      </c>
      <c r="AL334">
        <v>5.4</v>
      </c>
      <c r="AM334">
        <v>7.6</v>
      </c>
      <c r="AN334">
        <v>144.4</v>
      </c>
    </row>
    <row r="335" spans="1:40" x14ac:dyDescent="0.25">
      <c r="A335" s="5" t="s">
        <v>1019</v>
      </c>
      <c r="B335" s="6" t="s">
        <v>1020</v>
      </c>
      <c r="C335" s="7" t="s">
        <v>1021</v>
      </c>
      <c r="D335" s="7" t="s">
        <v>1021</v>
      </c>
      <c r="E335" s="7" t="s">
        <v>22</v>
      </c>
      <c r="F335" s="7" t="s">
        <v>1019</v>
      </c>
      <c r="G335" s="7" t="str" cm="1">
        <f t="array" ref="G335">INDEX('municipalities per province'!F:F,MATCH(municipalities!A335,'municipalities per province'!B:B,0),0)</f>
        <v>Groningen</v>
      </c>
      <c r="H335" s="7" t="str" cm="1">
        <f t="array" ref="H335">INDEX('municipalities per province'!E:E,MATCH(municipalities!$A335,'municipalities per province'!$B:$B,0),0)</f>
        <v>PV20</v>
      </c>
      <c r="I335" s="7" t="str" cm="1">
        <f t="array" ref="I335">INDEX('municipalities per province'!G:G,MATCH(municipalities!$A335,'municipalities per province'!$B:$B,0),0)</f>
        <v>Groningen</v>
      </c>
      <c r="J335" s="7" t="str" cm="1">
        <f t="array" ref="J335">INDEX('municipalities per province'!H:H,MATCH(municipalities!$A335,'municipalities per province'!$B:$B,0),0)</f>
        <v>ES01</v>
      </c>
      <c r="K335" s="7" cm="1">
        <f t="array" ref="K335">INDEX(coordinates!C:C,MATCH(municipalities!$A335,coordinates!$A:$A,0),0)</f>
        <v>6.5451413233965203</v>
      </c>
      <c r="L335" s="7" cm="1">
        <f t="array" ref="L335">INDEX(coordinates!D:D,MATCH(municipalities!$A335,coordinates!$A:$A,0),0)</f>
        <v>53.484743216621503</v>
      </c>
      <c r="M335" s="8">
        <v>1</v>
      </c>
      <c r="N335" s="9">
        <v>48298</v>
      </c>
      <c r="O335" s="9">
        <v>24188</v>
      </c>
      <c r="P335" s="9">
        <v>24110</v>
      </c>
      <c r="Q335" s="9">
        <v>5</v>
      </c>
      <c r="R335" s="10">
        <v>421</v>
      </c>
      <c r="S335" s="11">
        <v>67</v>
      </c>
      <c r="T335" s="11">
        <v>33</v>
      </c>
      <c r="U335" s="12">
        <f t="shared" si="40"/>
        <v>30.5</v>
      </c>
      <c r="V335" s="12">
        <f t="shared" si="41"/>
        <v>6.1</v>
      </c>
      <c r="W335" s="12">
        <f t="shared" si="42"/>
        <v>9.4</v>
      </c>
      <c r="X335" s="12">
        <f t="shared" si="43"/>
        <v>12.5</v>
      </c>
      <c r="Y335" s="12">
        <f t="shared" si="44"/>
        <v>96.7</v>
      </c>
      <c r="Z335" s="12" cm="1">
        <f t="array" ref="Z335">INDEX(municipality_wind_potential!$X:$X,MATCH(municipalities!$F335,municipality_wind_potential!$E:$E,0),0)</f>
        <v>336</v>
      </c>
      <c r="AA335" s="12">
        <f t="shared" si="45"/>
        <v>1881.6</v>
      </c>
      <c r="AB335" s="12" cm="1">
        <f t="array" ref="AB335">INDEX(municipality_wind_potential!$Y:$Y,MATCH(municipalities!$F335,municipality_wind_potential!$E:$E,0),0) / 3.6</f>
        <v>7109.9</v>
      </c>
      <c r="AC335" s="12">
        <f t="shared" si="46"/>
        <v>157.65418766498684</v>
      </c>
      <c r="AD335" s="12" cm="1">
        <f t="array" ref="AD335">INDEX(municipality_pv_potential!$G:$G,MATCH(municipalities!$A335,municipality_pv_potential!$E:$E,0),0)/3.6*$AH$4</f>
        <v>145.98777777777781</v>
      </c>
      <c r="AE335" s="12">
        <f t="shared" si="47"/>
        <v>1933.7143028557714</v>
      </c>
      <c r="AF335" s="12" cm="1">
        <f t="array" ref="AF335">INDEX(municipality_pv_potential!$H:$H,MATCH(municipalities!$A335,municipality_pv_potential!$E:$E,0),0)/3.6</f>
        <v>1790.6194444444443</v>
      </c>
      <c r="AG335" s="12"/>
      <c r="AJ335">
        <v>30.5</v>
      </c>
      <c r="AK335">
        <v>6.1</v>
      </c>
      <c r="AL335">
        <v>9.4</v>
      </c>
      <c r="AM335">
        <v>12.5</v>
      </c>
      <c r="AN335">
        <v>96.7</v>
      </c>
    </row>
    <row r="336" spans="1:40" x14ac:dyDescent="0.25">
      <c r="A336" s="5" t="s">
        <v>1022</v>
      </c>
      <c r="B336" s="6" t="s">
        <v>1023</v>
      </c>
      <c r="C336" s="7" t="s">
        <v>1024</v>
      </c>
      <c r="D336" s="7" t="s">
        <v>1024</v>
      </c>
      <c r="E336" s="7" t="s">
        <v>22</v>
      </c>
      <c r="F336" s="7" t="s">
        <v>1022</v>
      </c>
      <c r="G336" s="7" t="str" cm="1">
        <f t="array" ref="G336">INDEX('municipalities per province'!F:F,MATCH(municipalities!A336,'municipalities per province'!B:B,0),0)</f>
        <v>Groningen</v>
      </c>
      <c r="H336" s="7" t="str" cm="1">
        <f t="array" ref="H336">INDEX('municipalities per province'!E:E,MATCH(municipalities!$A336,'municipalities per province'!$B:$B,0),0)</f>
        <v>PV20</v>
      </c>
      <c r="I336" s="7" t="str" cm="1">
        <f t="array" ref="I336">INDEX('municipalities per province'!G:G,MATCH(municipalities!$A336,'municipalities per province'!$B:$B,0),0)</f>
        <v>Groningen</v>
      </c>
      <c r="J336" s="7" t="str" cm="1">
        <f t="array" ref="J336">INDEX('municipalities per province'!H:H,MATCH(municipalities!$A336,'municipalities per province'!$B:$B,0),0)</f>
        <v>ES01</v>
      </c>
      <c r="K336" s="7" cm="1">
        <f t="array" ref="K336">INDEX(coordinates!C:C,MATCH(municipalities!$A336,coordinates!$A:$A,0),0)</f>
        <v>6.2917329165966098</v>
      </c>
      <c r="L336" s="7" cm="1">
        <f t="array" ref="L336">INDEX(coordinates!D:D,MATCH(municipalities!$A336,coordinates!$A:$A,0),0)</f>
        <v>53.337380931414053</v>
      </c>
      <c r="M336" s="8">
        <v>1</v>
      </c>
      <c r="N336" s="9">
        <v>64946</v>
      </c>
      <c r="O336" s="9">
        <v>32640</v>
      </c>
      <c r="P336" s="9">
        <v>32306</v>
      </c>
      <c r="Q336" s="9">
        <v>5</v>
      </c>
      <c r="R336" s="10">
        <v>487</v>
      </c>
      <c r="S336" s="11">
        <v>72</v>
      </c>
      <c r="T336" s="11">
        <v>28</v>
      </c>
      <c r="U336" s="12">
        <f t="shared" si="40"/>
        <v>33.1</v>
      </c>
      <c r="V336" s="12">
        <f t="shared" si="41"/>
        <v>4.4000000000000004</v>
      </c>
      <c r="W336" s="12">
        <f t="shared" si="42"/>
        <v>7.1</v>
      </c>
      <c r="X336" s="12">
        <f t="shared" si="43"/>
        <v>9.4</v>
      </c>
      <c r="Y336" s="12">
        <f t="shared" si="44"/>
        <v>133.19999999999999</v>
      </c>
      <c r="Z336" s="12" cm="1">
        <f t="array" ref="Z336">INDEX(municipality_wind_potential!$X:$X,MATCH(municipalities!$F336,municipality_wind_potential!$E:$E,0),0)</f>
        <v>180</v>
      </c>
      <c r="AA336" s="12">
        <f t="shared" si="45"/>
        <v>1007.9999999999999</v>
      </c>
      <c r="AB336" s="12" cm="1">
        <f t="array" ref="AB336">INDEX(municipality_wind_potential!$Y:$Y,MATCH(municipalities!$F336,municipality_wind_potential!$E:$E,0),0) / 3.6</f>
        <v>3518.2</v>
      </c>
      <c r="AC336" s="12">
        <f t="shared" si="46"/>
        <v>182.08243340532761</v>
      </c>
      <c r="AD336" s="12" cm="1">
        <f t="array" ref="AD336">INDEX(municipality_pv_potential!$G:$G,MATCH(municipalities!$A336,municipality_pv_potential!$E:$E,0),0)/3.6*$AH$4</f>
        <v>168.60833333333335</v>
      </c>
      <c r="AE336" s="12">
        <f t="shared" si="47"/>
        <v>1447.7651787856973</v>
      </c>
      <c r="AF336" s="12" cm="1">
        <f t="array" ref="AF336">INDEX(municipality_pv_potential!$H:$H,MATCH(municipalities!$A336,municipality_pv_potential!$E:$E,0),0)/3.6</f>
        <v>1340.6305555555557</v>
      </c>
      <c r="AG336" s="12"/>
      <c r="AJ336">
        <v>33.1</v>
      </c>
      <c r="AK336">
        <v>4.4000000000000004</v>
      </c>
      <c r="AL336">
        <v>7.1</v>
      </c>
      <c r="AM336">
        <v>9.4</v>
      </c>
      <c r="AN336">
        <v>133.19999999999999</v>
      </c>
    </row>
    <row r="337" spans="1:40" x14ac:dyDescent="0.25">
      <c r="A337" s="5" t="s">
        <v>1025</v>
      </c>
      <c r="B337" s="6" t="s">
        <v>1026</v>
      </c>
      <c r="C337" s="7" t="s">
        <v>1027</v>
      </c>
      <c r="D337" s="7" t="s">
        <v>1027</v>
      </c>
      <c r="E337" s="7" t="s">
        <v>22</v>
      </c>
      <c r="F337" s="7" t="s">
        <v>1025</v>
      </c>
      <c r="G337" s="7" t="str" cm="1">
        <f t="array" ref="G337">INDEX('municipalities per province'!F:F,MATCH(municipalities!A337,'municipalities per province'!B:B,0),0)</f>
        <v>Friesland</v>
      </c>
      <c r="H337" s="7" t="str" cm="1">
        <f t="array" ref="H337">INDEX('municipalities per province'!E:E,MATCH(municipalities!$A337,'municipalities per province'!$B:$B,0),0)</f>
        <v>PV21</v>
      </c>
      <c r="I337" s="7" t="str" cm="1">
        <f t="array" ref="I337">INDEX('municipalities per province'!G:G,MATCH(municipalities!$A337,'municipalities per province'!$B:$B,0),0)</f>
        <v>Friesland</v>
      </c>
      <c r="J337" s="7" t="str" cm="1">
        <f t="array" ref="J337">INDEX('municipalities per province'!H:H,MATCH(municipalities!$A337,'municipalities per province'!$B:$B,0),0)</f>
        <v>ES02</v>
      </c>
      <c r="K337" s="7" cm="1">
        <f t="array" ref="K337">INDEX(coordinates!C:C,MATCH(municipalities!$A337,coordinates!$A:$A,0),0)</f>
        <v>5.9616782364147678</v>
      </c>
      <c r="L337" s="7" cm="1">
        <f t="array" ref="L337">INDEX(coordinates!D:D,MATCH(municipalities!$A337,coordinates!$A:$A,0),0)</f>
        <v>53.407695960466683</v>
      </c>
      <c r="M337" s="8">
        <v>1</v>
      </c>
      <c r="N337" s="9">
        <v>45812</v>
      </c>
      <c r="O337" s="9">
        <v>23070</v>
      </c>
      <c r="P337" s="9">
        <v>22742</v>
      </c>
      <c r="Q337" s="9">
        <v>5</v>
      </c>
      <c r="R337" s="10">
        <v>476</v>
      </c>
      <c r="S337" s="11">
        <v>67</v>
      </c>
      <c r="T337" s="11">
        <v>33</v>
      </c>
      <c r="U337" s="12">
        <f t="shared" si="40"/>
        <v>30.2</v>
      </c>
      <c r="V337" s="12">
        <f t="shared" si="41"/>
        <v>6.2</v>
      </c>
      <c r="W337" s="12">
        <f t="shared" si="42"/>
        <v>9.6</v>
      </c>
      <c r="X337" s="12">
        <f t="shared" si="43"/>
        <v>12.4</v>
      </c>
      <c r="Y337" s="12">
        <f t="shared" si="44"/>
        <v>94.3</v>
      </c>
      <c r="Z337" s="12" cm="1">
        <f t="array" ref="Z337">INDEX(municipality_wind_potential!$X:$X,MATCH(municipalities!$F337,municipality_wind_potential!$E:$E,0),0)</f>
        <v>228</v>
      </c>
      <c r="AA337" s="12">
        <f t="shared" si="45"/>
        <v>1276.8</v>
      </c>
      <c r="AB337" s="12" cm="1">
        <f t="array" ref="AB337">INDEX(municipality_wind_potential!$Y:$Y,MATCH(municipalities!$F337,municipality_wind_potential!$E:$E,0),0) / 3.6</f>
        <v>4904.8999999999996</v>
      </c>
      <c r="AC337" s="12">
        <f t="shared" si="46"/>
        <v>128.2553395728342</v>
      </c>
      <c r="AD337" s="12" cm="1">
        <f t="array" ref="AD337">INDEX(municipality_pv_potential!$G:$G,MATCH(municipalities!$A337,municipality_pv_potential!$E:$E,0),0)/3.6*$AH$4</f>
        <v>118.76444444444446</v>
      </c>
      <c r="AE337" s="12">
        <f t="shared" si="47"/>
        <v>1522.2432205423565</v>
      </c>
      <c r="AF337" s="12" cm="1">
        <f t="array" ref="AF337">INDEX(municipality_pv_potential!$H:$H,MATCH(municipalities!$A337,municipality_pv_potential!$E:$E,0),0)/3.6</f>
        <v>1409.5972222222222</v>
      </c>
      <c r="AG337" s="12"/>
      <c r="AJ337">
        <v>30.2</v>
      </c>
      <c r="AK337">
        <v>6.2</v>
      </c>
      <c r="AL337">
        <v>9.6</v>
      </c>
      <c r="AM337">
        <v>12.4</v>
      </c>
      <c r="AN337">
        <v>94.3</v>
      </c>
    </row>
    <row r="338" spans="1:40" x14ac:dyDescent="0.25">
      <c r="A338" s="5" t="s">
        <v>1028</v>
      </c>
      <c r="B338" s="6" t="s">
        <v>1029</v>
      </c>
      <c r="C338" s="7" t="s">
        <v>1030</v>
      </c>
      <c r="D338" s="7" t="s">
        <v>1030</v>
      </c>
      <c r="E338" s="7" t="s">
        <v>22</v>
      </c>
      <c r="F338" s="7" t="s">
        <v>1028</v>
      </c>
      <c r="G338" s="7" t="str" cm="1">
        <f t="array" ref="G338">INDEX('municipalities per province'!F:F,MATCH(municipalities!A338,'municipalities per province'!B:B,0),0)</f>
        <v>Zuid-Holland</v>
      </c>
      <c r="H338" s="7" t="str" cm="1">
        <f t="array" ref="H338">INDEX('municipalities per province'!E:E,MATCH(municipalities!$A338,'municipalities per province'!$B:$B,0),0)</f>
        <v>PV28</v>
      </c>
      <c r="I338" s="7" t="str" cm="1">
        <f t="array" ref="I338">INDEX('municipalities per province'!G:G,MATCH(municipalities!$A338,'municipalities per province'!$B:$B,0),0)</f>
        <v>Alblasserwaard</v>
      </c>
      <c r="J338" s="7" t="str" cm="1">
        <f t="array" ref="J338">INDEX('municipalities per province'!H:H,MATCH(municipalities!$A338,'municipalities per province'!$B:$B,0),0)</f>
        <v>ES17</v>
      </c>
      <c r="K338" s="7" cm="1">
        <f t="array" ref="K338">INDEX(coordinates!C:C,MATCH(municipalities!$A338,coordinates!$A:$A,0),0)</f>
        <v>4.8452050852127124</v>
      </c>
      <c r="L338" s="7" cm="1">
        <f t="array" ref="L338">INDEX(coordinates!D:D,MATCH(municipalities!$A338,coordinates!$A:$A,0),0)</f>
        <v>51.884652198721099</v>
      </c>
      <c r="M338" s="8">
        <v>1</v>
      </c>
      <c r="N338" s="9">
        <v>45158</v>
      </c>
      <c r="O338" s="9">
        <v>22779</v>
      </c>
      <c r="P338" s="9">
        <v>22379</v>
      </c>
      <c r="Q338" s="9">
        <v>5</v>
      </c>
      <c r="R338" s="10">
        <v>402</v>
      </c>
      <c r="S338" s="11">
        <v>69</v>
      </c>
      <c r="T338" s="11">
        <v>31</v>
      </c>
      <c r="U338" s="12">
        <f t="shared" si="40"/>
        <v>37.5</v>
      </c>
      <c r="V338" s="12">
        <f t="shared" si="41"/>
        <v>3.1</v>
      </c>
      <c r="W338" s="12">
        <f t="shared" si="42"/>
        <v>5</v>
      </c>
      <c r="X338" s="12">
        <f t="shared" si="43"/>
        <v>7.2</v>
      </c>
      <c r="Y338" s="12">
        <f t="shared" si="44"/>
        <v>187.2</v>
      </c>
      <c r="Z338" s="12" cm="1">
        <f t="array" ref="Z338">INDEX(municipality_wind_potential!$X:$X,MATCH(municipalities!$F338,municipality_wind_potential!$E:$E,0),0)</f>
        <v>140</v>
      </c>
      <c r="AA338" s="12">
        <f t="shared" si="45"/>
        <v>784</v>
      </c>
      <c r="AB338" s="12" cm="1">
        <f t="array" ref="AB338">INDEX(municipality_wind_potential!$Y:$Y,MATCH(municipalities!$F338,municipality_wind_potential!$E:$E,0),0) / 3.6</f>
        <v>2485.2805555555556</v>
      </c>
      <c r="AC338" s="12">
        <f t="shared" si="46"/>
        <v>99.2728581713463</v>
      </c>
      <c r="AD338" s="12" cm="1">
        <f t="array" ref="AD338">INDEX(municipality_pv_potential!$G:$G,MATCH(municipalities!$A338,municipality_pv_potential!$E:$E,0),0)/3.6*$AH$4</f>
        <v>91.926666666666677</v>
      </c>
      <c r="AE338" s="12">
        <f t="shared" si="47"/>
        <v>712.51799856011507</v>
      </c>
      <c r="AF338" s="12" cm="1">
        <f t="array" ref="AF338">INDEX(municipality_pv_potential!$H:$H,MATCH(municipalities!$A338,municipality_pv_potential!$E:$E,0),0)/3.6</f>
        <v>659.79166666666663</v>
      </c>
      <c r="AG338" s="12"/>
      <c r="AJ338">
        <v>37.5</v>
      </c>
      <c r="AK338">
        <v>3.1</v>
      </c>
      <c r="AL338">
        <v>5</v>
      </c>
      <c r="AM338">
        <v>7.2</v>
      </c>
      <c r="AN338">
        <v>187.2</v>
      </c>
    </row>
    <row r="339" spans="1:40" x14ac:dyDescent="0.25">
      <c r="A339" s="5" t="s">
        <v>1031</v>
      </c>
      <c r="B339" s="6" t="s">
        <v>1032</v>
      </c>
      <c r="C339" s="7" t="s">
        <v>1033</v>
      </c>
      <c r="D339" s="7" t="s">
        <v>1033</v>
      </c>
      <c r="E339" s="7" t="s">
        <v>22</v>
      </c>
      <c r="F339" s="7" t="s">
        <v>1031</v>
      </c>
      <c r="G339" s="7" t="str" cm="1">
        <f t="array" ref="G339">INDEX('municipalities per province'!F:F,MATCH(municipalities!A339,'municipalities per province'!B:B,0),0)</f>
        <v>Groningen</v>
      </c>
      <c r="H339" s="7" t="str" cm="1">
        <f t="array" ref="H339">INDEX('municipalities per province'!E:E,MATCH(municipalities!$A339,'municipalities per province'!$B:$B,0),0)</f>
        <v>PV20</v>
      </c>
      <c r="I339" s="7" t="str" cm="1">
        <f t="array" ref="I339">INDEX('municipalities per province'!G:G,MATCH(municipalities!$A339,'municipalities per province'!$B:$B,0),0)</f>
        <v>Groningen</v>
      </c>
      <c r="J339" s="7" t="str" cm="1">
        <f t="array" ref="J339">INDEX('municipalities per province'!H:H,MATCH(municipalities!$A339,'municipalities per province'!$B:$B,0),0)</f>
        <v>ES01</v>
      </c>
      <c r="K339" s="7" cm="1">
        <f t="array" ref="K339">INDEX(coordinates!C:C,MATCH(municipalities!$A339,coordinates!$A:$A,0),0)</f>
        <v>6.9826392683393319</v>
      </c>
      <c r="L339" s="7" cm="1">
        <f t="array" ref="L339">INDEX(coordinates!D:D,MATCH(municipalities!$A339,coordinates!$A:$A,0),0)</f>
        <v>53.350479717229142</v>
      </c>
      <c r="M339" s="8">
        <v>1</v>
      </c>
      <c r="N339" s="9">
        <v>45394</v>
      </c>
      <c r="O339" s="9">
        <v>22743</v>
      </c>
      <c r="P339" s="9">
        <v>22651</v>
      </c>
      <c r="Q339" s="9">
        <v>4</v>
      </c>
      <c r="R339" s="10">
        <v>710</v>
      </c>
      <c r="S339" s="11">
        <v>57</v>
      </c>
      <c r="T339" s="11">
        <v>43</v>
      </c>
      <c r="U339" s="12">
        <f t="shared" si="40"/>
        <v>29.4</v>
      </c>
      <c r="V339" s="12">
        <f t="shared" si="41"/>
        <v>8</v>
      </c>
      <c r="W339" s="12">
        <f t="shared" si="42"/>
        <v>12.4</v>
      </c>
      <c r="X339" s="12">
        <f t="shared" si="43"/>
        <v>15.8</v>
      </c>
      <c r="Y339" s="12">
        <f t="shared" si="44"/>
        <v>54.6</v>
      </c>
      <c r="Z339" s="12" cm="1">
        <f t="array" ref="Z339">INDEX(municipality_wind_potential!$X:$X,MATCH(municipalities!$F339,municipality_wind_potential!$E:$E,0),0)</f>
        <v>145</v>
      </c>
      <c r="AA339" s="12">
        <f t="shared" si="45"/>
        <v>812</v>
      </c>
      <c r="AB339" s="12" cm="1">
        <f t="array" ref="AB339">INDEX(municipality_wind_potential!$Y:$Y,MATCH(municipalities!$F339,municipality_wind_potential!$E:$E,0),0) / 3.6</f>
        <v>2832.2</v>
      </c>
      <c r="AC339" s="12">
        <f t="shared" si="46"/>
        <v>125.98932085433165</v>
      </c>
      <c r="AD339" s="12" cm="1">
        <f t="array" ref="AD339">INDEX(municipality_pv_potential!$G:$G,MATCH(municipalities!$A339,municipality_pv_potential!$E:$E,0),0)/3.6*$AH$4</f>
        <v>116.66611111111111</v>
      </c>
      <c r="AE339" s="12">
        <f t="shared" si="47"/>
        <v>1083.42032637389</v>
      </c>
      <c r="AF339" s="12" cm="1">
        <f t="array" ref="AF339">INDEX(municipality_pv_potential!$H:$H,MATCH(municipalities!$A339,municipality_pv_potential!$E:$E,0),0)/3.6</f>
        <v>1003.247222222222</v>
      </c>
      <c r="AG339" s="12"/>
      <c r="AJ339">
        <v>29.4</v>
      </c>
      <c r="AK339">
        <v>8</v>
      </c>
      <c r="AL339">
        <v>12.4</v>
      </c>
      <c r="AM339">
        <v>15.8</v>
      </c>
      <c r="AN339">
        <v>54.6</v>
      </c>
    </row>
    <row r="340" spans="1:40" x14ac:dyDescent="0.25">
      <c r="A340" s="5" t="s">
        <v>1034</v>
      </c>
      <c r="B340" s="6" t="s">
        <v>1035</v>
      </c>
      <c r="C340" s="7" t="s">
        <v>1036</v>
      </c>
      <c r="D340" s="7" t="s">
        <v>1036</v>
      </c>
      <c r="E340" s="7" t="s">
        <v>22</v>
      </c>
      <c r="F340" s="7" t="s">
        <v>1034</v>
      </c>
      <c r="G340" s="7" t="str" cm="1">
        <f t="array" ref="G340">INDEX('municipalities per province'!F:F,MATCH(municipalities!A340,'municipalities per province'!B:B,0),0)</f>
        <v>Noord-Holland</v>
      </c>
      <c r="H340" s="7" t="str" cm="1">
        <f t="array" ref="H340">INDEX('municipalities per province'!E:E,MATCH(municipalities!$A340,'municipalities per province'!$B:$B,0),0)</f>
        <v>PV27</v>
      </c>
      <c r="I340" s="7" t="str" cm="1">
        <f t="array" ref="I340">INDEX('municipalities per province'!G:G,MATCH(municipalities!$A340,'municipalities per province'!$B:$B,0),0)</f>
        <v>Noord-HollandNoord</v>
      </c>
      <c r="J340" s="7" t="str" cm="1">
        <f t="array" ref="J340">INDEX('municipalities per province'!H:H,MATCH(municipalities!$A340,'municipalities per province'!$B:$B,0),0)</f>
        <v>ES15</v>
      </c>
      <c r="K340" s="7" cm="1">
        <f t="array" ref="K340">INDEX(coordinates!C:C,MATCH(municipalities!$A340,coordinates!$A:$A,0),0)</f>
        <v>4.8223453202770079</v>
      </c>
      <c r="L340" s="7" cm="1">
        <f t="array" ref="L340">INDEX(coordinates!D:D,MATCH(municipalities!$A340,coordinates!$A:$A,0),0)</f>
        <v>52.682157546710769</v>
      </c>
      <c r="M340" s="8">
        <v>1</v>
      </c>
      <c r="N340" s="9">
        <v>88985</v>
      </c>
      <c r="O340" s="9">
        <v>44617</v>
      </c>
      <c r="P340" s="9">
        <v>44368</v>
      </c>
      <c r="Q340" s="9">
        <v>3</v>
      </c>
      <c r="R340" s="10">
        <v>1478</v>
      </c>
      <c r="S340" s="11">
        <v>71</v>
      </c>
      <c r="T340" s="11">
        <v>29</v>
      </c>
      <c r="U340" s="12">
        <f t="shared" si="40"/>
        <v>34.730630630630642</v>
      </c>
      <c r="V340" s="12">
        <f t="shared" si="41"/>
        <v>5.0195266272189309</v>
      </c>
      <c r="W340" s="12">
        <f t="shared" si="42"/>
        <v>7.8180473372781076</v>
      </c>
      <c r="X340" s="12">
        <f t="shared" si="43"/>
        <v>10.309171597633137</v>
      </c>
      <c r="Y340" s="12">
        <f t="shared" si="44"/>
        <v>147.25680473372782</v>
      </c>
      <c r="Z340" s="12" cm="1">
        <f t="array" ref="Z340">INDEX(municipality_wind_potential!$X:$X,MATCH(municipalities!$F340,municipality_wind_potential!$E:$E,0),0)</f>
        <v>13</v>
      </c>
      <c r="AA340" s="12">
        <f t="shared" si="45"/>
        <v>72.8</v>
      </c>
      <c r="AB340" s="12" cm="1">
        <f t="array" ref="AB340">INDEX(municipality_wind_potential!$Y:$Y,MATCH(municipalities!$F340,municipality_wind_potential!$E:$E,0),0) / 3.6</f>
        <v>245</v>
      </c>
      <c r="AC340" s="12">
        <f t="shared" si="46"/>
        <v>123.71010319174465</v>
      </c>
      <c r="AD340" s="12" cm="1">
        <f t="array" ref="AD340">INDEX(municipality_pv_potential!$G:$G,MATCH(municipalities!$A340,municipality_pv_potential!$E:$E,0),0)/3.6*$AH$4</f>
        <v>114.55555555555554</v>
      </c>
      <c r="AE340" s="12">
        <f t="shared" si="47"/>
        <v>123.40712742980561</v>
      </c>
      <c r="AF340" s="12" cm="1">
        <f t="array" ref="AF340">INDEX(municipality_pv_potential!$H:$H,MATCH(municipalities!$A340,municipality_pv_potential!$E:$E,0),0)/3.6</f>
        <v>114.27499999999999</v>
      </c>
      <c r="AG340" s="12"/>
      <c r="AJ340">
        <v>-99999</v>
      </c>
      <c r="AK340">
        <v>-99999</v>
      </c>
      <c r="AL340">
        <v>-99999</v>
      </c>
      <c r="AM340">
        <v>-99999</v>
      </c>
      <c r="AN340">
        <v>-99999</v>
      </c>
    </row>
    <row r="341" spans="1:40" x14ac:dyDescent="0.25">
      <c r="A341" s="5" t="s">
        <v>1037</v>
      </c>
      <c r="B341" s="6" t="s">
        <v>1038</v>
      </c>
      <c r="C341" s="7" t="s">
        <v>1039</v>
      </c>
      <c r="D341" s="7" t="s">
        <v>1039</v>
      </c>
      <c r="E341" s="7" t="s">
        <v>22</v>
      </c>
      <c r="F341" s="7" t="s">
        <v>1037</v>
      </c>
      <c r="G341" s="7" t="str" cm="1">
        <f t="array" ref="G341">INDEX('municipalities per province'!F:F,MATCH(municipalities!A341,'municipalities per province'!B:B,0),0)</f>
        <v>Noord-Brabant</v>
      </c>
      <c r="H341" s="7" t="str" cm="1">
        <f t="array" ref="H341">INDEX('municipalities per province'!E:E,MATCH(municipalities!$A341,'municipalities per province'!$B:$B,0),0)</f>
        <v>PV30</v>
      </c>
      <c r="I341" s="7" t="str" cm="1">
        <f t="array" ref="I341">INDEX('municipalities per province'!G:G,MATCH(municipalities!$A341,'municipalities per province'!$B:$B,0),0)</f>
        <v>Noordoost-Brabant</v>
      </c>
      <c r="J341" s="7" t="str" cm="1">
        <f t="array" ref="J341">INDEX('municipalities per province'!H:H,MATCH(municipalities!$A341,'municipalities per province'!$B:$B,0),0)</f>
        <v>ES27</v>
      </c>
      <c r="K341" s="7" cm="1">
        <f t="array" ref="K341">INDEX(coordinates!C:C,MATCH(municipalities!$A341,coordinates!$A:$A,0),0)</f>
        <v>5.8590247576829402</v>
      </c>
      <c r="L341" s="7" cm="1">
        <f t="array" ref="L341">INDEX(coordinates!D:D,MATCH(municipalities!$A341,coordinates!$A:$A,0),0)</f>
        <v>51.65552663225624</v>
      </c>
      <c r="M341" s="8">
        <v>1</v>
      </c>
      <c r="N341" s="9">
        <v>91423</v>
      </c>
      <c r="O341" s="9">
        <v>46152</v>
      </c>
      <c r="P341" s="9">
        <v>45271</v>
      </c>
      <c r="Q341" s="9">
        <v>4</v>
      </c>
      <c r="R341" s="10">
        <v>645</v>
      </c>
      <c r="S341" s="11">
        <v>68</v>
      </c>
      <c r="T341" s="11">
        <v>31</v>
      </c>
      <c r="U341" s="12">
        <f t="shared" si="40"/>
        <v>34.730630630630642</v>
      </c>
      <c r="V341" s="12">
        <f t="shared" si="41"/>
        <v>5.0195266272189309</v>
      </c>
      <c r="W341" s="12">
        <f t="shared" si="42"/>
        <v>7.8180473372781076</v>
      </c>
      <c r="X341" s="12">
        <f t="shared" si="43"/>
        <v>10.309171597633137</v>
      </c>
      <c r="Y341" s="12">
        <f t="shared" si="44"/>
        <v>147.25680473372782</v>
      </c>
      <c r="Z341" s="12" cm="1">
        <f t="array" ref="Z341">INDEX(municipality_wind_potential!$X:$X,MATCH(municipalities!$F341,municipality_wind_potential!$E:$E,0),0)</f>
        <v>132</v>
      </c>
      <c r="AA341" s="12">
        <f t="shared" si="45"/>
        <v>739.19999999999993</v>
      </c>
      <c r="AB341" s="12" cm="1">
        <f t="array" ref="AB341">INDEX(municipality_wind_potential!$Y:$Y,MATCH(municipalities!$F341,municipality_wind_potential!$E:$E,0),0) / 3.6</f>
        <v>1936.6194444444443</v>
      </c>
      <c r="AC341" s="12">
        <f t="shared" si="46"/>
        <v>287.45440364770815</v>
      </c>
      <c r="AD341" s="12" cm="1">
        <f t="array" ref="AD341">INDEX(municipality_pv_potential!$G:$G,MATCH(municipalities!$A341,municipality_pv_potential!$E:$E,0),0)/3.6*$AH$4</f>
        <v>266.18277777777774</v>
      </c>
      <c r="AE341" s="12">
        <f t="shared" si="47"/>
        <v>1079.4696424286058</v>
      </c>
      <c r="AF341" s="12" cm="1">
        <f t="array" ref="AF341">INDEX(municipality_pv_potential!$H:$H,MATCH(municipalities!$A341,municipality_pv_potential!$E:$E,0),0)/3.6</f>
        <v>999.58888888888885</v>
      </c>
      <c r="AG341" s="12"/>
      <c r="AJ341">
        <v>-99999</v>
      </c>
      <c r="AK341">
        <v>-99999</v>
      </c>
      <c r="AL341">
        <v>-99999</v>
      </c>
      <c r="AM341">
        <v>-99999</v>
      </c>
      <c r="AN341">
        <v>-99999</v>
      </c>
    </row>
    <row r="342" spans="1:40" x14ac:dyDescent="0.25">
      <c r="A342" s="5" t="s">
        <v>1040</v>
      </c>
      <c r="B342" s="6" t="s">
        <v>1041</v>
      </c>
      <c r="C342" s="7" t="s">
        <v>1042</v>
      </c>
      <c r="D342" s="7" t="s">
        <v>1042</v>
      </c>
      <c r="E342" s="7" t="s">
        <v>22</v>
      </c>
      <c r="F342" s="7" t="s">
        <v>1040</v>
      </c>
      <c r="G342" s="7" t="str" cm="1">
        <f t="array" ref="G342">INDEX('municipalities per province'!F:F,MATCH(municipalities!A342,'municipalities per province'!B:B,0),0)</f>
        <v>Noord-Brabant</v>
      </c>
      <c r="H342" s="7" t="str" cm="1">
        <f t="array" ref="H342">INDEX('municipalities per province'!E:E,MATCH(municipalities!$A342,'municipalities per province'!$B:$B,0),0)</f>
        <v>PV30</v>
      </c>
      <c r="I342" s="7" t="str" cm="1">
        <f t="array" ref="I342">INDEX('municipalities per province'!G:G,MATCH(municipalities!$A342,'municipalities per province'!$B:$B,0),0)</f>
        <v>Noordoost-Brabant</v>
      </c>
      <c r="J342" s="7" t="str" cm="1">
        <f t="array" ref="J342">INDEX('municipalities per province'!H:H,MATCH(municipalities!$A342,'municipalities per province'!$B:$B,0),0)</f>
        <v>ES27</v>
      </c>
      <c r="K342" s="7" cm="1">
        <f t="array" ref="K342">INDEX(coordinates!C:C,MATCH(municipalities!$A342,coordinates!$A:$A,0),0)</f>
        <v>5.655470140057238</v>
      </c>
      <c r="L342" s="7" cm="1">
        <f t="array" ref="L342">INDEX(coordinates!D:D,MATCH(municipalities!$A342,coordinates!$A:$A,0),0)</f>
        <v>51.686795561977377</v>
      </c>
      <c r="M342" s="8">
        <v>1</v>
      </c>
      <c r="N342" s="9">
        <v>58934</v>
      </c>
      <c r="O342" s="9">
        <v>29428</v>
      </c>
      <c r="P342" s="9">
        <v>29506</v>
      </c>
      <c r="Q342" s="9">
        <v>3</v>
      </c>
      <c r="R342" s="10">
        <v>1186</v>
      </c>
      <c r="S342" s="11">
        <v>65</v>
      </c>
      <c r="T342" s="11">
        <v>35</v>
      </c>
      <c r="U342" s="12">
        <f t="shared" si="40"/>
        <v>34.730630630630642</v>
      </c>
      <c r="V342" s="12">
        <f t="shared" si="41"/>
        <v>5.0195266272189309</v>
      </c>
      <c r="W342" s="12">
        <f t="shared" si="42"/>
        <v>7.8180473372781076</v>
      </c>
      <c r="X342" s="12">
        <f t="shared" si="43"/>
        <v>10.309171597633137</v>
      </c>
      <c r="Y342" s="12">
        <f t="shared" si="44"/>
        <v>147.25680473372782</v>
      </c>
      <c r="Z342" s="12" cm="1">
        <f t="array" ref="Z342">INDEX(municipality_wind_potential!$X:$X,MATCH(municipalities!$F342,municipality_wind_potential!$E:$E,0),0)</f>
        <v>40</v>
      </c>
      <c r="AA342" s="12">
        <f t="shared" si="45"/>
        <v>224</v>
      </c>
      <c r="AB342" s="12" cm="1">
        <f t="array" ref="AB342">INDEX(municipality_wind_potential!$Y:$Y,MATCH(municipalities!$F342,municipality_wind_potential!$E:$E,0),0) / 3.6</f>
        <v>593.6</v>
      </c>
      <c r="AC342" s="12">
        <f t="shared" si="46"/>
        <v>162.33321334293257</v>
      </c>
      <c r="AD342" s="12" cm="1">
        <f t="array" ref="AD342">INDEX(municipality_pv_potential!$G:$G,MATCH(municipalities!$A342,municipality_pv_potential!$E:$E,0),0)/3.6*$AH$4</f>
        <v>150.32055555555556</v>
      </c>
      <c r="AE342" s="12">
        <f t="shared" si="47"/>
        <v>341.1627069834413</v>
      </c>
      <c r="AF342" s="12" cm="1">
        <f t="array" ref="AF342">INDEX(municipality_pv_potential!$H:$H,MATCH(municipalities!$A342,municipality_pv_potential!$E:$E,0),0)/3.6</f>
        <v>315.91666666666663</v>
      </c>
      <c r="AG342" s="12"/>
      <c r="AJ342">
        <v>-99999</v>
      </c>
      <c r="AK342">
        <v>-99999</v>
      </c>
      <c r="AL342">
        <v>-99999</v>
      </c>
      <c r="AM342">
        <v>-99999</v>
      </c>
      <c r="AN342">
        <v>-99999</v>
      </c>
    </row>
    <row r="343" spans="1:40" x14ac:dyDescent="0.25">
      <c r="A343" s="13" t="s">
        <v>1043</v>
      </c>
      <c r="B343" s="6" t="s">
        <v>1044</v>
      </c>
      <c r="C343" s="14" t="s">
        <v>1045</v>
      </c>
      <c r="D343" s="14" t="s">
        <v>1045</v>
      </c>
      <c r="E343" s="14" t="s">
        <v>22</v>
      </c>
      <c r="F343" s="14" t="s">
        <v>1043</v>
      </c>
      <c r="G343" s="7" t="str" cm="1">
        <f t="array" ref="G343">INDEX('municipalities per province'!F:F,MATCH(municipalities!A343,'municipalities per province'!B:B,0),0)</f>
        <v>Zuid-Holland</v>
      </c>
      <c r="H343" s="7" t="str" cm="1">
        <f t="array" ref="H343">INDEX('municipalities per province'!E:E,MATCH(municipalities!$A343,'municipalities per province'!$B:$B,0),0)</f>
        <v>PV28</v>
      </c>
      <c r="I343" s="7" t="str" cm="1">
        <f t="array" ref="I343">INDEX('municipalities per province'!G:G,MATCH(municipalities!$A343,'municipalities per province'!$B:$B,0),0)</f>
        <v>Rotterdam/DenHaag</v>
      </c>
      <c r="J343" s="7" t="str" cm="1">
        <f t="array" ref="J343">INDEX('municipalities per province'!H:H,MATCH(municipalities!$A343,'municipalities per province'!$B:$B,0),0)</f>
        <v>ES23</v>
      </c>
      <c r="K343" s="7" cm="1">
        <f t="array" ref="K343">INDEX(coordinates!C:C,MATCH(municipalities!$A343,coordinates!$A:$A,0),0)</f>
        <v>4.0453244932889572</v>
      </c>
      <c r="L343" s="7" cm="1">
        <f t="array" ref="L343">INDEX(coordinates!D:D,MATCH(municipalities!$A343,coordinates!$A:$A,0),0)</f>
        <v>51.862241318201832</v>
      </c>
      <c r="M343" s="15">
        <v>3</v>
      </c>
      <c r="N343" s="16">
        <v>73945</v>
      </c>
      <c r="O343" s="16">
        <v>36582</v>
      </c>
      <c r="P343" s="16">
        <v>37363</v>
      </c>
      <c r="Q343" s="16">
        <v>3</v>
      </c>
      <c r="R343" s="17">
        <v>1182</v>
      </c>
      <c r="S343" s="11">
        <v>67</v>
      </c>
      <c r="T343" s="11">
        <v>33</v>
      </c>
      <c r="U343" s="12">
        <f t="shared" si="40"/>
        <v>34.730630630630642</v>
      </c>
      <c r="V343" s="12">
        <f t="shared" si="41"/>
        <v>5.0195266272189309</v>
      </c>
      <c r="W343" s="12">
        <f t="shared" si="42"/>
        <v>7.8180473372781076</v>
      </c>
      <c r="X343" s="12">
        <f t="shared" si="43"/>
        <v>10.309171597633137</v>
      </c>
      <c r="Y343" s="12">
        <f t="shared" si="44"/>
        <v>147.25680473372782</v>
      </c>
      <c r="Z343" s="12" cm="1">
        <f t="array" ref="Z343">INDEX(municipality_wind_potential!$X:$X,MATCH(municipalities!$F343,municipality_wind_potential!$E:$E,0),0)</f>
        <v>50</v>
      </c>
      <c r="AA343" s="12">
        <f t="shared" si="45"/>
        <v>280</v>
      </c>
      <c r="AB343" s="12" cm="1">
        <f t="array" ref="AB343">INDEX(municipality_wind_potential!$Y:$Y,MATCH(municipalities!$F343,municipality_wind_potential!$E:$E,0),0) / 3.6</f>
        <v>930.10277777777776</v>
      </c>
      <c r="AC343" s="12">
        <f t="shared" si="46"/>
        <v>102.16462682985362</v>
      </c>
      <c r="AD343" s="12" cm="1">
        <f t="array" ref="AD343">INDEX(municipality_pv_potential!$G:$G,MATCH(municipalities!$A343,municipality_pv_potential!$E:$E,0),0)/3.6*$AH$4</f>
        <v>94.604444444444439</v>
      </c>
      <c r="AE343" s="12">
        <f t="shared" si="47"/>
        <v>283.12035037197018</v>
      </c>
      <c r="AF343" s="12" cm="1">
        <f t="array" ref="AF343">INDEX(municipality_pv_potential!$H:$H,MATCH(municipalities!$A343,municipality_pv_potential!$E:$E,0),0)/3.6</f>
        <v>262.16944444444442</v>
      </c>
      <c r="AG343" s="12"/>
      <c r="AJ343">
        <v>-99999</v>
      </c>
      <c r="AK343">
        <v>-99999</v>
      </c>
      <c r="AL343">
        <v>-99999</v>
      </c>
      <c r="AM343">
        <v>-99999</v>
      </c>
      <c r="AN343">
        <v>-99999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59F8-3D92-4C48-A54C-503AD0E4DEDE}">
  <dimension ref="A1:X380"/>
  <sheetViews>
    <sheetView topLeftCell="C1" workbookViewId="0">
      <selection activeCell="G31" sqref="G31"/>
    </sheetView>
  </sheetViews>
  <sheetFormatPr defaultColWidth="8.85546875" defaultRowHeight="12.75" x14ac:dyDescent="0.2"/>
  <cols>
    <col min="1" max="16384" width="8.85546875" style="18"/>
  </cols>
  <sheetData>
    <row r="1" spans="1:17" x14ac:dyDescent="0.2">
      <c r="A1" s="18" t="s">
        <v>1046</v>
      </c>
      <c r="B1" s="18" t="s">
        <v>1047</v>
      </c>
      <c r="C1" s="18" t="s">
        <v>1048</v>
      </c>
      <c r="D1" s="18" t="s">
        <v>1049</v>
      </c>
      <c r="E1" s="18" t="s">
        <v>1050</v>
      </c>
      <c r="F1" s="18" t="s">
        <v>1051</v>
      </c>
      <c r="G1" s="18" t="s">
        <v>1052</v>
      </c>
      <c r="H1" s="18" t="s">
        <v>1053</v>
      </c>
      <c r="I1" s="18" t="s">
        <v>1054</v>
      </c>
      <c r="J1" s="18" t="s">
        <v>1055</v>
      </c>
      <c r="K1" s="18" t="s">
        <v>1056</v>
      </c>
      <c r="L1" s="18" t="s">
        <v>1057</v>
      </c>
      <c r="M1" s="18" t="s">
        <v>1058</v>
      </c>
      <c r="N1" s="18" t="s">
        <v>1059</v>
      </c>
      <c r="O1" s="18" t="s">
        <v>1060</v>
      </c>
      <c r="P1" s="18" t="s">
        <v>1061</v>
      </c>
      <c r="Q1" s="18" t="s">
        <v>1062</v>
      </c>
    </row>
    <row r="2" spans="1:17" x14ac:dyDescent="0.2">
      <c r="A2" s="18">
        <v>1</v>
      </c>
      <c r="B2" s="18">
        <v>1</v>
      </c>
      <c r="C2" s="18">
        <v>1</v>
      </c>
      <c r="D2" s="18">
        <v>18</v>
      </c>
      <c r="E2" s="18" t="s">
        <v>44</v>
      </c>
      <c r="F2" s="18" t="s">
        <v>46</v>
      </c>
      <c r="G2" s="18">
        <v>2031.38</v>
      </c>
      <c r="H2" s="18">
        <v>2150.6</v>
      </c>
      <c r="I2" s="18">
        <v>5376.5</v>
      </c>
      <c r="J2" s="18">
        <v>53765</v>
      </c>
      <c r="K2" s="18">
        <v>0.06</v>
      </c>
      <c r="L2" s="18">
        <v>4182.04</v>
      </c>
      <c r="M2" s="18">
        <v>1161.77</v>
      </c>
      <c r="N2" s="18" t="s">
        <v>1063</v>
      </c>
      <c r="O2" s="18">
        <v>102967.38627710519</v>
      </c>
      <c r="P2" s="18">
        <v>198169104.07957339</v>
      </c>
      <c r="Q2" s="18" t="s">
        <v>1064</v>
      </c>
    </row>
    <row r="3" spans="1:17" x14ac:dyDescent="0.2">
      <c r="A3" s="18">
        <v>2</v>
      </c>
      <c r="B3" s="18">
        <v>2</v>
      </c>
      <c r="C3" s="18">
        <v>2</v>
      </c>
      <c r="D3" s="18">
        <v>19</v>
      </c>
      <c r="E3" s="18" t="s">
        <v>47</v>
      </c>
      <c r="F3" s="18" t="s">
        <v>49</v>
      </c>
      <c r="G3" s="18">
        <v>3386.39</v>
      </c>
      <c r="H3" s="18">
        <v>2858.5</v>
      </c>
      <c r="I3" s="18">
        <v>7146.26</v>
      </c>
      <c r="J3" s="18">
        <v>71462.61</v>
      </c>
      <c r="K3" s="18">
        <v>29.45</v>
      </c>
      <c r="L3" s="18">
        <v>6274.34</v>
      </c>
      <c r="M3" s="18">
        <v>1743.01</v>
      </c>
      <c r="N3" s="18" t="s">
        <v>1063</v>
      </c>
      <c r="O3" s="18">
        <v>126325.71482706589</v>
      </c>
      <c r="P3" s="18">
        <v>255717688.82343569</v>
      </c>
      <c r="Q3" s="18" t="s">
        <v>1064</v>
      </c>
    </row>
    <row r="4" spans="1:17" x14ac:dyDescent="0.2">
      <c r="A4" s="18">
        <v>3</v>
      </c>
      <c r="B4" s="18">
        <v>3</v>
      </c>
      <c r="C4" s="18">
        <v>3</v>
      </c>
      <c r="D4" s="18">
        <v>20</v>
      </c>
      <c r="E4" s="18" t="s">
        <v>80</v>
      </c>
      <c r="F4" s="18" t="s">
        <v>82</v>
      </c>
      <c r="G4" s="18">
        <v>1992.22</v>
      </c>
      <c r="H4" s="18">
        <v>1189.92</v>
      </c>
      <c r="I4" s="18">
        <v>2974.81</v>
      </c>
      <c r="J4" s="18">
        <v>29748.1</v>
      </c>
      <c r="K4" s="18">
        <v>0</v>
      </c>
      <c r="L4" s="18">
        <v>3182.14</v>
      </c>
      <c r="M4" s="18">
        <v>884</v>
      </c>
      <c r="N4" s="18" t="s">
        <v>1063</v>
      </c>
      <c r="O4" s="18">
        <v>64898.133789957981</v>
      </c>
      <c r="P4" s="18">
        <v>129221660.2159058</v>
      </c>
      <c r="Q4" s="18" t="s">
        <v>1065</v>
      </c>
    </row>
    <row r="5" spans="1:17" x14ac:dyDescent="0.2">
      <c r="A5" s="18">
        <v>4</v>
      </c>
      <c r="B5" s="18">
        <v>4</v>
      </c>
      <c r="C5" s="18">
        <v>4</v>
      </c>
      <c r="D5" s="18">
        <v>21</v>
      </c>
      <c r="E5" s="18" t="s">
        <v>83</v>
      </c>
      <c r="F5" s="18" t="s">
        <v>85</v>
      </c>
      <c r="G5" s="18">
        <v>1029.74</v>
      </c>
      <c r="H5" s="18">
        <v>578.67999999999995</v>
      </c>
      <c r="I5" s="18">
        <v>1446.71</v>
      </c>
      <c r="J5" s="18">
        <v>14467.11</v>
      </c>
      <c r="K5" s="18">
        <v>0</v>
      </c>
      <c r="L5" s="18">
        <v>1608.42</v>
      </c>
      <c r="M5" s="18">
        <v>446.82</v>
      </c>
      <c r="N5" s="18" t="s">
        <v>1063</v>
      </c>
      <c r="O5" s="18">
        <v>53026.575572264337</v>
      </c>
      <c r="P5" s="18">
        <v>56984399.109606363</v>
      </c>
      <c r="Q5" s="18" t="s">
        <v>1065</v>
      </c>
    </row>
    <row r="6" spans="1:17" x14ac:dyDescent="0.2">
      <c r="A6" s="18">
        <v>5</v>
      </c>
      <c r="B6" s="18">
        <v>5</v>
      </c>
      <c r="C6" s="18">
        <v>5</v>
      </c>
      <c r="D6" s="18">
        <v>25</v>
      </c>
      <c r="E6" s="18" t="s">
        <v>53</v>
      </c>
      <c r="F6" s="18" t="s">
        <v>55</v>
      </c>
      <c r="G6" s="18">
        <v>1502.49</v>
      </c>
      <c r="H6" s="18">
        <v>2615.4899999999998</v>
      </c>
      <c r="I6" s="18">
        <v>6538.74</v>
      </c>
      <c r="J6" s="18">
        <v>65387.37</v>
      </c>
      <c r="K6" s="18">
        <v>0</v>
      </c>
      <c r="L6" s="18">
        <v>4117.9799999999996</v>
      </c>
      <c r="M6" s="18">
        <v>1143.97</v>
      </c>
      <c r="N6" s="18" t="s">
        <v>1063</v>
      </c>
      <c r="O6" s="18">
        <v>84906.695837386287</v>
      </c>
      <c r="P6" s="18">
        <v>227682630.43900821</v>
      </c>
      <c r="Q6" s="18" t="s">
        <v>1064</v>
      </c>
    </row>
    <row r="7" spans="1:17" x14ac:dyDescent="0.2">
      <c r="A7" s="18">
        <v>6</v>
      </c>
      <c r="B7" s="18">
        <v>6</v>
      </c>
      <c r="C7" s="18">
        <v>6</v>
      </c>
      <c r="D7" s="18">
        <v>26</v>
      </c>
      <c r="E7" s="18" t="s">
        <v>56</v>
      </c>
      <c r="F7" s="18" t="s">
        <v>58</v>
      </c>
      <c r="G7" s="18">
        <v>52.92</v>
      </c>
      <c r="H7" s="18">
        <v>100.15</v>
      </c>
      <c r="I7" s="18">
        <v>250.38</v>
      </c>
      <c r="J7" s="18">
        <v>2503.7600000000002</v>
      </c>
      <c r="K7" s="18">
        <v>0</v>
      </c>
      <c r="L7" s="18">
        <v>153.07</v>
      </c>
      <c r="M7" s="18">
        <v>42.52</v>
      </c>
      <c r="N7" s="18" t="s">
        <v>1063</v>
      </c>
      <c r="O7" s="18">
        <v>39179.769164764497</v>
      </c>
      <c r="P7" s="18">
        <v>41456526.703821413</v>
      </c>
      <c r="Q7" s="18" t="s">
        <v>1064</v>
      </c>
    </row>
    <row r="8" spans="1:17" x14ac:dyDescent="0.2">
      <c r="A8" s="18">
        <v>7</v>
      </c>
      <c r="B8" s="18">
        <v>7</v>
      </c>
      <c r="C8" s="18">
        <v>7</v>
      </c>
      <c r="D8" s="18">
        <v>31</v>
      </c>
      <c r="E8" s="18" t="s">
        <v>92</v>
      </c>
      <c r="F8" s="18" t="s">
        <v>94</v>
      </c>
      <c r="G8" s="18">
        <v>1704.55</v>
      </c>
      <c r="H8" s="18">
        <v>1962.99</v>
      </c>
      <c r="I8" s="18">
        <v>4907.4799999999996</v>
      </c>
      <c r="J8" s="18">
        <v>49074.83</v>
      </c>
      <c r="K8" s="18">
        <v>0</v>
      </c>
      <c r="L8" s="18">
        <v>3667.54</v>
      </c>
      <c r="M8" s="18">
        <v>1018.84</v>
      </c>
      <c r="N8" s="18" t="s">
        <v>1063</v>
      </c>
      <c r="O8" s="18">
        <v>70836.038446455481</v>
      </c>
      <c r="P8" s="18">
        <v>166501660.4892889</v>
      </c>
      <c r="Q8" s="18" t="s">
        <v>1066</v>
      </c>
    </row>
    <row r="9" spans="1:17" x14ac:dyDescent="0.2">
      <c r="A9" s="18">
        <v>8</v>
      </c>
      <c r="B9" s="18">
        <v>8</v>
      </c>
      <c r="C9" s="18">
        <v>8</v>
      </c>
      <c r="D9" s="18">
        <v>41</v>
      </c>
      <c r="E9" s="18" t="s">
        <v>104</v>
      </c>
      <c r="F9" s="18" t="s">
        <v>106</v>
      </c>
      <c r="G9" s="18">
        <v>3127.92</v>
      </c>
      <c r="H9" s="18">
        <v>3752.86</v>
      </c>
      <c r="I9" s="18">
        <v>9382.14</v>
      </c>
      <c r="J9" s="18">
        <v>93821.4</v>
      </c>
      <c r="K9" s="18">
        <v>0</v>
      </c>
      <c r="L9" s="18">
        <v>6880.78</v>
      </c>
      <c r="M9" s="18">
        <v>1911.48</v>
      </c>
      <c r="N9" s="18" t="s">
        <v>1063</v>
      </c>
      <c r="O9" s="18">
        <v>122593.308202371</v>
      </c>
      <c r="P9" s="18">
        <v>317244631.83105308</v>
      </c>
      <c r="Q9" s="18" t="s">
        <v>1066</v>
      </c>
    </row>
    <row r="10" spans="1:17" x14ac:dyDescent="0.2">
      <c r="A10" s="18">
        <v>9</v>
      </c>
      <c r="B10" s="18">
        <v>9</v>
      </c>
      <c r="C10" s="18">
        <v>9</v>
      </c>
      <c r="D10" s="18">
        <v>42</v>
      </c>
      <c r="E10" s="18" t="s">
        <v>107</v>
      </c>
      <c r="F10" s="18" t="s">
        <v>109</v>
      </c>
      <c r="G10" s="18">
        <v>1513.96</v>
      </c>
      <c r="H10" s="18">
        <v>1104.99</v>
      </c>
      <c r="I10" s="18">
        <v>2762.47</v>
      </c>
      <c r="J10" s="18">
        <v>27624.73</v>
      </c>
      <c r="K10" s="18">
        <v>0</v>
      </c>
      <c r="L10" s="18">
        <v>2618.9499999999998</v>
      </c>
      <c r="M10" s="18">
        <v>727.54</v>
      </c>
      <c r="N10" s="18" t="s">
        <v>1063</v>
      </c>
      <c r="O10" s="18">
        <v>67252.731236950422</v>
      </c>
      <c r="P10" s="18">
        <v>139024978.0026564</v>
      </c>
      <c r="Q10" s="18" t="s">
        <v>1067</v>
      </c>
    </row>
    <row r="11" spans="1:17" x14ac:dyDescent="0.2">
      <c r="A11" s="18">
        <v>10</v>
      </c>
      <c r="B11" s="18">
        <v>10</v>
      </c>
      <c r="C11" s="18">
        <v>10</v>
      </c>
      <c r="D11" s="18">
        <v>44</v>
      </c>
      <c r="E11" s="18" t="s">
        <v>845</v>
      </c>
      <c r="F11" s="18" t="s">
        <v>847</v>
      </c>
      <c r="G11" s="18">
        <v>1300.4100000000001</v>
      </c>
      <c r="H11" s="18">
        <v>1756.56</v>
      </c>
      <c r="I11" s="18">
        <v>4391.3999999999996</v>
      </c>
      <c r="J11" s="18">
        <v>43914.04</v>
      </c>
      <c r="K11" s="18">
        <v>0</v>
      </c>
      <c r="L11" s="18">
        <v>3056.97</v>
      </c>
      <c r="M11" s="18">
        <v>849.23</v>
      </c>
      <c r="N11" s="18" t="s">
        <v>1063</v>
      </c>
      <c r="O11" s="18">
        <v>74562.973193294776</v>
      </c>
      <c r="P11" s="18">
        <v>205329232.91593659</v>
      </c>
      <c r="Q11" s="18" t="s">
        <v>1065</v>
      </c>
    </row>
    <row r="12" spans="1:17" x14ac:dyDescent="0.2">
      <c r="A12" s="18">
        <v>11</v>
      </c>
      <c r="B12" s="18">
        <v>11</v>
      </c>
      <c r="C12" s="18">
        <v>11</v>
      </c>
      <c r="D12" s="18">
        <v>45</v>
      </c>
      <c r="E12" s="18" t="s">
        <v>848</v>
      </c>
      <c r="F12" s="18" t="s">
        <v>850</v>
      </c>
      <c r="G12" s="18">
        <v>1390.39</v>
      </c>
      <c r="H12" s="18">
        <v>1101.23</v>
      </c>
      <c r="I12" s="18">
        <v>2753.09</v>
      </c>
      <c r="J12" s="18">
        <v>27530.85</v>
      </c>
      <c r="K12" s="18">
        <v>0</v>
      </c>
      <c r="L12" s="18">
        <v>2491.62</v>
      </c>
      <c r="M12" s="18">
        <v>692.17</v>
      </c>
      <c r="N12" s="18" t="s">
        <v>1063</v>
      </c>
      <c r="O12" s="18">
        <v>72130.348105770026</v>
      </c>
      <c r="P12" s="18">
        <v>108166760.09495629</v>
      </c>
      <c r="Q12" s="18" t="s">
        <v>1067</v>
      </c>
    </row>
    <row r="13" spans="1:17" x14ac:dyDescent="0.2">
      <c r="A13" s="18">
        <v>12</v>
      </c>
      <c r="B13" s="18">
        <v>12</v>
      </c>
      <c r="C13" s="18">
        <v>12</v>
      </c>
      <c r="D13" s="18">
        <v>46</v>
      </c>
      <c r="E13" s="18" t="s">
        <v>851</v>
      </c>
      <c r="F13" s="18" t="s">
        <v>853</v>
      </c>
      <c r="G13" s="18">
        <v>1055.1099999999999</v>
      </c>
      <c r="H13" s="18">
        <v>2007.97</v>
      </c>
      <c r="I13" s="18">
        <v>5019.91</v>
      </c>
      <c r="J13" s="18">
        <v>50199.14</v>
      </c>
      <c r="K13" s="18">
        <v>0</v>
      </c>
      <c r="L13" s="18">
        <v>3063.08</v>
      </c>
      <c r="M13" s="18">
        <v>850.92</v>
      </c>
      <c r="N13" s="18" t="s">
        <v>1063</v>
      </c>
      <c r="O13" s="18">
        <v>98147.562127334371</v>
      </c>
      <c r="P13" s="18">
        <v>282747320.28425223</v>
      </c>
      <c r="Q13" s="18" t="s">
        <v>1065</v>
      </c>
    </row>
    <row r="14" spans="1:17" x14ac:dyDescent="0.2">
      <c r="A14" s="18">
        <v>13</v>
      </c>
      <c r="B14" s="18">
        <v>13</v>
      </c>
      <c r="C14" s="18">
        <v>13</v>
      </c>
      <c r="D14" s="18">
        <v>53</v>
      </c>
      <c r="E14" s="18" t="s">
        <v>125</v>
      </c>
      <c r="F14" s="18" t="s">
        <v>127</v>
      </c>
      <c r="G14" s="18">
        <v>1126.57</v>
      </c>
      <c r="H14" s="18">
        <v>1579.85</v>
      </c>
      <c r="I14" s="18">
        <v>3949.62</v>
      </c>
      <c r="J14" s="18">
        <v>39496.230000000003</v>
      </c>
      <c r="K14" s="18">
        <v>0</v>
      </c>
      <c r="L14" s="18">
        <v>2706.42</v>
      </c>
      <c r="M14" s="18">
        <v>751.84</v>
      </c>
      <c r="N14" s="18" t="s">
        <v>1063</v>
      </c>
      <c r="O14" s="18">
        <v>77426.07342695925</v>
      </c>
      <c r="P14" s="18">
        <v>181982345.35574499</v>
      </c>
      <c r="Q14" s="18" t="s">
        <v>1066</v>
      </c>
    </row>
    <row r="15" spans="1:17" x14ac:dyDescent="0.2">
      <c r="A15" s="18">
        <v>14</v>
      </c>
      <c r="B15" s="18">
        <v>14</v>
      </c>
      <c r="C15" s="18">
        <v>14</v>
      </c>
      <c r="D15" s="18">
        <v>54</v>
      </c>
      <c r="E15" s="18" t="s">
        <v>128</v>
      </c>
      <c r="F15" s="18" t="s">
        <v>130</v>
      </c>
      <c r="G15" s="18">
        <v>1962.39</v>
      </c>
      <c r="H15" s="18">
        <v>1971.9</v>
      </c>
      <c r="I15" s="18">
        <v>4929.76</v>
      </c>
      <c r="J15" s="18">
        <v>49297.56</v>
      </c>
      <c r="K15" s="18">
        <v>0</v>
      </c>
      <c r="L15" s="18">
        <v>3934.29</v>
      </c>
      <c r="M15" s="18">
        <v>1092.95</v>
      </c>
      <c r="N15" s="18" t="s">
        <v>1063</v>
      </c>
      <c r="O15" s="18">
        <v>75796.644623553177</v>
      </c>
      <c r="P15" s="18">
        <v>172308253.32940799</v>
      </c>
      <c r="Q15" s="18" t="s">
        <v>1066</v>
      </c>
    </row>
    <row r="16" spans="1:17" x14ac:dyDescent="0.2">
      <c r="A16" s="18">
        <v>15</v>
      </c>
      <c r="B16" s="18">
        <v>15</v>
      </c>
      <c r="C16" s="18">
        <v>15</v>
      </c>
      <c r="D16" s="18">
        <v>61</v>
      </c>
      <c r="E16" s="18" t="s">
        <v>161</v>
      </c>
      <c r="F16" s="18" t="s">
        <v>163</v>
      </c>
      <c r="G16" s="18">
        <v>807.11</v>
      </c>
      <c r="H16" s="18">
        <v>745.99</v>
      </c>
      <c r="I16" s="18">
        <v>1864.96</v>
      </c>
      <c r="J16" s="18">
        <v>18649.63</v>
      </c>
      <c r="K16" s="18">
        <v>0</v>
      </c>
      <c r="L16" s="18">
        <v>1553.1</v>
      </c>
      <c r="M16" s="18">
        <v>431.45</v>
      </c>
      <c r="N16" s="18" t="s">
        <v>1063</v>
      </c>
      <c r="O16" s="18">
        <v>54620.797975762202</v>
      </c>
      <c r="P16" s="18">
        <v>85101279.901411593</v>
      </c>
      <c r="Q16" s="18" t="s">
        <v>1068</v>
      </c>
    </row>
    <row r="17" spans="1:17" x14ac:dyDescent="0.2">
      <c r="A17" s="18">
        <v>16</v>
      </c>
      <c r="B17" s="18">
        <v>16</v>
      </c>
      <c r="C17" s="18">
        <v>16</v>
      </c>
      <c r="D17" s="18">
        <v>62</v>
      </c>
      <c r="E17" s="18" t="s">
        <v>164</v>
      </c>
      <c r="F17" s="18" t="s">
        <v>166</v>
      </c>
      <c r="G17" s="18">
        <v>1306.74</v>
      </c>
      <c r="H17" s="18">
        <v>1614.92</v>
      </c>
      <c r="I17" s="18">
        <v>4037.3</v>
      </c>
      <c r="J17" s="18">
        <v>40373.01</v>
      </c>
      <c r="K17" s="18">
        <v>0</v>
      </c>
      <c r="L17" s="18">
        <v>2921.66</v>
      </c>
      <c r="M17" s="18">
        <v>811.64</v>
      </c>
      <c r="N17" s="18" t="s">
        <v>1063</v>
      </c>
      <c r="O17" s="18">
        <v>70872.427321527313</v>
      </c>
      <c r="P17" s="18">
        <v>142933257.974599</v>
      </c>
      <c r="Q17" s="18" t="s">
        <v>1069</v>
      </c>
    </row>
    <row r="18" spans="1:17" x14ac:dyDescent="0.2">
      <c r="A18" s="18">
        <v>17</v>
      </c>
      <c r="B18" s="18">
        <v>17</v>
      </c>
      <c r="C18" s="18">
        <v>17</v>
      </c>
      <c r="D18" s="18">
        <v>66</v>
      </c>
      <c r="E18" s="18" t="s">
        <v>173</v>
      </c>
      <c r="F18" s="18" t="s">
        <v>175</v>
      </c>
      <c r="G18" s="18">
        <v>1891.39</v>
      </c>
      <c r="H18" s="18">
        <v>665.1</v>
      </c>
      <c r="I18" s="18">
        <v>1662.75</v>
      </c>
      <c r="J18" s="18">
        <v>16627.509999999998</v>
      </c>
      <c r="K18" s="18">
        <v>0</v>
      </c>
      <c r="L18" s="18">
        <v>2556.4899999999998</v>
      </c>
      <c r="M18" s="18">
        <v>710.19</v>
      </c>
      <c r="N18" s="18" t="s">
        <v>1063</v>
      </c>
      <c r="O18" s="18">
        <v>60802.06485908934</v>
      </c>
      <c r="P18" s="18">
        <v>79666139.713255048</v>
      </c>
      <c r="Q18" s="18" t="s">
        <v>1070</v>
      </c>
    </row>
    <row r="19" spans="1:17" x14ac:dyDescent="0.2">
      <c r="A19" s="18">
        <v>18</v>
      </c>
      <c r="B19" s="18">
        <v>18</v>
      </c>
      <c r="C19" s="18">
        <v>18</v>
      </c>
      <c r="D19" s="18">
        <v>70</v>
      </c>
      <c r="E19" s="18" t="s">
        <v>182</v>
      </c>
      <c r="F19" s="18" t="s">
        <v>184</v>
      </c>
      <c r="G19" s="18">
        <v>4164.1000000000004</v>
      </c>
      <c r="H19" s="18">
        <v>1294.3900000000001</v>
      </c>
      <c r="I19" s="18">
        <v>3235.97</v>
      </c>
      <c r="J19" s="18">
        <v>32359.68</v>
      </c>
      <c r="K19" s="18">
        <v>0</v>
      </c>
      <c r="L19" s="18">
        <v>5458.49</v>
      </c>
      <c r="M19" s="18">
        <v>1516.37</v>
      </c>
      <c r="N19" s="18" t="s">
        <v>1063</v>
      </c>
      <c r="O19" s="18">
        <v>87511.610981196456</v>
      </c>
      <c r="P19" s="18">
        <v>318677847.40961492</v>
      </c>
      <c r="Q19" s="18" t="s">
        <v>1071</v>
      </c>
    </row>
    <row r="20" spans="1:17" x14ac:dyDescent="0.2">
      <c r="A20" s="18">
        <v>19</v>
      </c>
      <c r="B20" s="18">
        <v>19</v>
      </c>
      <c r="C20" s="18">
        <v>19</v>
      </c>
      <c r="D20" s="18">
        <v>71</v>
      </c>
      <c r="E20" s="18" t="s">
        <v>314</v>
      </c>
      <c r="F20" s="18" t="s">
        <v>316</v>
      </c>
      <c r="G20" s="18">
        <v>468.47</v>
      </c>
      <c r="H20" s="18">
        <v>307.12</v>
      </c>
      <c r="I20" s="18">
        <v>767.8</v>
      </c>
      <c r="J20" s="18">
        <v>7678.04</v>
      </c>
      <c r="K20" s="18">
        <v>0</v>
      </c>
      <c r="L20" s="18">
        <v>775.59</v>
      </c>
      <c r="M20" s="18">
        <v>215.46</v>
      </c>
      <c r="N20" s="18" t="s">
        <v>1063</v>
      </c>
      <c r="O20" s="18">
        <v>49851.135590935613</v>
      </c>
      <c r="P20" s="18">
        <v>36724609.166041449</v>
      </c>
      <c r="Q20" s="18" t="s">
        <v>1072</v>
      </c>
    </row>
    <row r="21" spans="1:17" x14ac:dyDescent="0.2">
      <c r="A21" s="18">
        <v>20</v>
      </c>
      <c r="B21" s="18">
        <v>20</v>
      </c>
      <c r="C21" s="18">
        <v>20</v>
      </c>
      <c r="D21" s="18">
        <v>77</v>
      </c>
      <c r="E21" s="18" t="s">
        <v>206</v>
      </c>
      <c r="F21" s="18" t="s">
        <v>208</v>
      </c>
      <c r="G21" s="18">
        <v>1854.41</v>
      </c>
      <c r="H21" s="18">
        <v>2210.3000000000002</v>
      </c>
      <c r="I21" s="18">
        <v>5525.75</v>
      </c>
      <c r="J21" s="18">
        <v>55257.45</v>
      </c>
      <c r="K21" s="18">
        <v>0</v>
      </c>
      <c r="L21" s="18">
        <v>4064.71</v>
      </c>
      <c r="M21" s="18">
        <v>1129.18</v>
      </c>
      <c r="N21" s="18" t="s">
        <v>1063</v>
      </c>
      <c r="O21" s="18">
        <v>87550.154743688661</v>
      </c>
      <c r="P21" s="18">
        <v>216017448.22373441</v>
      </c>
      <c r="Q21" s="18" t="s">
        <v>1068</v>
      </c>
    </row>
    <row r="22" spans="1:17" x14ac:dyDescent="0.2">
      <c r="A22" s="18">
        <v>21</v>
      </c>
      <c r="B22" s="18">
        <v>21</v>
      </c>
      <c r="C22" s="18">
        <v>21</v>
      </c>
      <c r="D22" s="18">
        <v>81</v>
      </c>
      <c r="E22" s="18" t="s">
        <v>212</v>
      </c>
      <c r="F22" s="18" t="s">
        <v>214</v>
      </c>
      <c r="G22" s="18">
        <v>1453.53</v>
      </c>
      <c r="H22" s="18">
        <v>656.74</v>
      </c>
      <c r="I22" s="18">
        <v>1641.85</v>
      </c>
      <c r="J22" s="18">
        <v>16418.509999999998</v>
      </c>
      <c r="K22" s="18">
        <v>0</v>
      </c>
      <c r="L22" s="18">
        <v>2110.27</v>
      </c>
      <c r="M22" s="18">
        <v>586.23</v>
      </c>
      <c r="N22" s="18" t="s">
        <v>1063</v>
      </c>
      <c r="O22" s="18">
        <v>55453.147517179663</v>
      </c>
      <c r="P22" s="18">
        <v>69940709.421238914</v>
      </c>
      <c r="Q22" s="18" t="s">
        <v>1071</v>
      </c>
    </row>
    <row r="23" spans="1:17" x14ac:dyDescent="0.2">
      <c r="A23" s="18">
        <v>22</v>
      </c>
      <c r="B23" s="18">
        <v>22</v>
      </c>
      <c r="C23" s="18">
        <v>22</v>
      </c>
      <c r="D23" s="18">
        <v>82</v>
      </c>
      <c r="E23" s="18" t="s">
        <v>239</v>
      </c>
      <c r="F23" s="18" t="s">
        <v>241</v>
      </c>
      <c r="G23" s="18">
        <v>1277.78</v>
      </c>
      <c r="H23" s="18">
        <v>1343.14</v>
      </c>
      <c r="I23" s="18">
        <v>3357.85</v>
      </c>
      <c r="J23" s="18">
        <v>33578.449999999997</v>
      </c>
      <c r="K23" s="18">
        <v>11.65</v>
      </c>
      <c r="L23" s="18">
        <v>2632.57</v>
      </c>
      <c r="M23" s="18">
        <v>731.33</v>
      </c>
      <c r="N23" s="18" t="s">
        <v>1063</v>
      </c>
      <c r="O23" s="18">
        <v>68744.130382785021</v>
      </c>
      <c r="P23" s="18">
        <v>126522087.7377478</v>
      </c>
      <c r="Q23" s="18" t="s">
        <v>1068</v>
      </c>
    </row>
    <row r="24" spans="1:17" x14ac:dyDescent="0.2">
      <c r="A24" s="18">
        <v>23</v>
      </c>
      <c r="B24" s="18">
        <v>23</v>
      </c>
      <c r="C24" s="18">
        <v>23</v>
      </c>
      <c r="D24" s="18">
        <v>87</v>
      </c>
      <c r="E24" s="18" t="s">
        <v>227</v>
      </c>
      <c r="F24" s="18" t="s">
        <v>229</v>
      </c>
      <c r="G24" s="18">
        <v>952.61</v>
      </c>
      <c r="H24" s="18">
        <v>320.11</v>
      </c>
      <c r="I24" s="18">
        <v>800.27</v>
      </c>
      <c r="J24" s="18">
        <v>8002.71</v>
      </c>
      <c r="K24" s="18">
        <v>0</v>
      </c>
      <c r="L24" s="18">
        <v>1272.72</v>
      </c>
      <c r="M24" s="18">
        <v>353.56</v>
      </c>
      <c r="N24" s="18" t="s">
        <v>1063</v>
      </c>
      <c r="O24" s="18">
        <v>49206.011235930047</v>
      </c>
      <c r="P24" s="18">
        <v>84390339.255696252</v>
      </c>
      <c r="Q24" s="18" t="s">
        <v>1073</v>
      </c>
    </row>
    <row r="25" spans="1:17" x14ac:dyDescent="0.2">
      <c r="A25" s="18">
        <v>24</v>
      </c>
      <c r="B25" s="18">
        <v>24</v>
      </c>
      <c r="C25" s="18">
        <v>24</v>
      </c>
      <c r="D25" s="18">
        <v>95</v>
      </c>
      <c r="E25" s="18" t="s">
        <v>269</v>
      </c>
      <c r="F25" s="18" t="s">
        <v>271</v>
      </c>
      <c r="G25" s="18">
        <v>2760.82</v>
      </c>
      <c r="H25" s="18">
        <v>259.52</v>
      </c>
      <c r="I25" s="18">
        <v>648.80999999999995</v>
      </c>
      <c r="J25" s="18">
        <v>6488.11</v>
      </c>
      <c r="K25" s="18">
        <v>0</v>
      </c>
      <c r="L25" s="18">
        <v>3020.34</v>
      </c>
      <c r="M25" s="18">
        <v>839.05</v>
      </c>
      <c r="N25" s="18" t="s">
        <v>1063</v>
      </c>
      <c r="O25" s="18">
        <v>52857.728861137039</v>
      </c>
      <c r="P25" s="18">
        <v>63783010.325164467</v>
      </c>
      <c r="Q25" s="18" t="s">
        <v>1072</v>
      </c>
    </row>
    <row r="26" spans="1:17" x14ac:dyDescent="0.2">
      <c r="A26" s="18">
        <v>25</v>
      </c>
      <c r="B26" s="18">
        <v>25</v>
      </c>
      <c r="C26" s="18">
        <v>25</v>
      </c>
      <c r="D26" s="18">
        <v>97</v>
      </c>
      <c r="E26" s="18" t="s">
        <v>257</v>
      </c>
      <c r="F26" s="18" t="s">
        <v>259</v>
      </c>
      <c r="G26" s="18">
        <v>1460.89</v>
      </c>
      <c r="H26" s="18">
        <v>951.61</v>
      </c>
      <c r="I26" s="18">
        <v>2379.0300000000002</v>
      </c>
      <c r="J26" s="18">
        <v>23790.26</v>
      </c>
      <c r="K26" s="18">
        <v>0</v>
      </c>
      <c r="L26" s="18">
        <v>2412.5</v>
      </c>
      <c r="M26" s="18">
        <v>670.19</v>
      </c>
      <c r="N26" s="18" t="s">
        <v>1063</v>
      </c>
      <c r="O26" s="18">
        <v>86292.188894488791</v>
      </c>
      <c r="P26" s="18">
        <v>106157203.3370036</v>
      </c>
      <c r="Q26" s="18" t="s">
        <v>1073</v>
      </c>
    </row>
    <row r="27" spans="1:17" x14ac:dyDescent="0.2">
      <c r="A27" s="18">
        <v>26</v>
      </c>
      <c r="B27" s="18">
        <v>26</v>
      </c>
      <c r="C27" s="18">
        <v>26</v>
      </c>
      <c r="D27" s="18">
        <v>107</v>
      </c>
      <c r="E27" s="18" t="s">
        <v>308</v>
      </c>
      <c r="F27" s="18" t="s">
        <v>310</v>
      </c>
      <c r="G27" s="18">
        <v>5222.2</v>
      </c>
      <c r="H27" s="18">
        <v>308.95</v>
      </c>
      <c r="I27" s="18">
        <v>772.38</v>
      </c>
      <c r="J27" s="18">
        <v>7723.85</v>
      </c>
      <c r="K27" s="18">
        <v>0</v>
      </c>
      <c r="L27" s="18">
        <v>5531.15</v>
      </c>
      <c r="M27" s="18">
        <v>1536.55</v>
      </c>
      <c r="N27" s="18" t="s">
        <v>1063</v>
      </c>
      <c r="O27" s="18">
        <v>59611.279355390747</v>
      </c>
      <c r="P27" s="18">
        <v>99214741.988537744</v>
      </c>
      <c r="Q27" s="18" t="s">
        <v>1074</v>
      </c>
    </row>
    <row r="28" spans="1:17" x14ac:dyDescent="0.2">
      <c r="A28" s="18">
        <v>27</v>
      </c>
      <c r="B28" s="18">
        <v>27</v>
      </c>
      <c r="C28" s="18">
        <v>27</v>
      </c>
      <c r="D28" s="18">
        <v>119</v>
      </c>
      <c r="E28" s="18" t="s">
        <v>332</v>
      </c>
      <c r="F28" s="18" t="s">
        <v>334</v>
      </c>
      <c r="G28" s="18">
        <v>2296.6</v>
      </c>
      <c r="H28" s="18">
        <v>1203.92</v>
      </c>
      <c r="I28" s="18">
        <v>3009.81</v>
      </c>
      <c r="J28" s="18">
        <v>30098.09</v>
      </c>
      <c r="K28" s="18">
        <v>0</v>
      </c>
      <c r="L28" s="18">
        <v>3500.52</v>
      </c>
      <c r="M28" s="18">
        <v>972.44</v>
      </c>
      <c r="N28" s="18" t="s">
        <v>1063</v>
      </c>
      <c r="O28" s="18">
        <v>68265.369943115045</v>
      </c>
      <c r="P28" s="18">
        <v>117410717.1818202</v>
      </c>
      <c r="Q28" s="18" t="s">
        <v>1075</v>
      </c>
    </row>
    <row r="29" spans="1:17" x14ac:dyDescent="0.2">
      <c r="A29" s="18">
        <v>28</v>
      </c>
      <c r="B29" s="18">
        <v>28</v>
      </c>
      <c r="C29" s="18">
        <v>28</v>
      </c>
      <c r="D29" s="18">
        <v>121</v>
      </c>
      <c r="E29" s="18" t="s">
        <v>338</v>
      </c>
      <c r="F29" s="18" t="s">
        <v>340</v>
      </c>
      <c r="G29" s="18">
        <v>9797.5</v>
      </c>
      <c r="H29" s="18">
        <v>356.47</v>
      </c>
      <c r="I29" s="18">
        <v>891.18</v>
      </c>
      <c r="J29" s="18">
        <v>8911.76</v>
      </c>
      <c r="K29" s="18">
        <v>63.33</v>
      </c>
      <c r="L29" s="18">
        <v>10217.299999999999</v>
      </c>
      <c r="M29" s="18">
        <v>2838.37</v>
      </c>
      <c r="N29" s="18" t="s">
        <v>1063</v>
      </c>
      <c r="O29" s="18">
        <v>109236.4469870692</v>
      </c>
      <c r="P29" s="18">
        <v>197401175.1086458</v>
      </c>
      <c r="Q29" s="18" t="s">
        <v>1076</v>
      </c>
    </row>
    <row r="30" spans="1:17" x14ac:dyDescent="0.2">
      <c r="A30" s="18">
        <v>29</v>
      </c>
      <c r="B30" s="18">
        <v>29</v>
      </c>
      <c r="C30" s="18">
        <v>29</v>
      </c>
      <c r="D30" s="18">
        <v>129</v>
      </c>
      <c r="E30" s="18" t="s">
        <v>368</v>
      </c>
      <c r="F30" s="18" t="s">
        <v>370</v>
      </c>
      <c r="G30" s="18">
        <v>4408.3599999999997</v>
      </c>
      <c r="H30" s="18">
        <v>1531.78</v>
      </c>
      <c r="I30" s="18">
        <v>3829.44</v>
      </c>
      <c r="J30" s="18">
        <v>38294.449999999997</v>
      </c>
      <c r="K30" s="18">
        <v>0</v>
      </c>
      <c r="L30" s="18">
        <v>5940.14</v>
      </c>
      <c r="M30" s="18">
        <v>1650.17</v>
      </c>
      <c r="N30" s="18" t="s">
        <v>1063</v>
      </c>
      <c r="O30" s="18">
        <v>72617.124931075552</v>
      </c>
      <c r="P30" s="18">
        <v>206211448.44462711</v>
      </c>
      <c r="Q30" s="18" t="s">
        <v>1076</v>
      </c>
    </row>
    <row r="31" spans="1:17" x14ac:dyDescent="0.2">
      <c r="A31" s="18">
        <v>30</v>
      </c>
      <c r="B31" s="18">
        <v>30</v>
      </c>
      <c r="C31" s="18">
        <v>30</v>
      </c>
      <c r="D31" s="18">
        <v>134</v>
      </c>
      <c r="E31" s="18" t="s">
        <v>380</v>
      </c>
      <c r="F31" s="18" t="s">
        <v>382</v>
      </c>
      <c r="G31" s="18">
        <v>1362.07</v>
      </c>
      <c r="H31" s="18">
        <v>256.51</v>
      </c>
      <c r="I31" s="18">
        <v>641.28</v>
      </c>
      <c r="J31" s="18">
        <v>6412.76</v>
      </c>
      <c r="K31" s="18">
        <v>0</v>
      </c>
      <c r="L31" s="18">
        <v>1618.58</v>
      </c>
      <c r="M31" s="18">
        <v>449.64</v>
      </c>
      <c r="N31" s="18" t="s">
        <v>1063</v>
      </c>
      <c r="O31" s="18">
        <v>34549.519225840297</v>
      </c>
      <c r="P31" s="18">
        <v>48022274.783102691</v>
      </c>
      <c r="Q31" s="18" t="s">
        <v>1075</v>
      </c>
    </row>
    <row r="32" spans="1:17" x14ac:dyDescent="0.2">
      <c r="A32" s="18">
        <v>31</v>
      </c>
      <c r="B32" s="18">
        <v>31</v>
      </c>
      <c r="C32" s="18">
        <v>31</v>
      </c>
      <c r="D32" s="18">
        <v>139</v>
      </c>
      <c r="E32" s="18" t="s">
        <v>416</v>
      </c>
      <c r="F32" s="18" t="s">
        <v>418</v>
      </c>
      <c r="G32" s="18">
        <v>762.56</v>
      </c>
      <c r="H32" s="18">
        <v>1452.3</v>
      </c>
      <c r="I32" s="18">
        <v>3630.76</v>
      </c>
      <c r="J32" s="18">
        <v>36307.550000000003</v>
      </c>
      <c r="K32" s="18">
        <v>0</v>
      </c>
      <c r="L32" s="18">
        <v>2214.86</v>
      </c>
      <c r="M32" s="18">
        <v>615.29</v>
      </c>
      <c r="N32" s="18" t="s">
        <v>1063</v>
      </c>
      <c r="O32" s="18">
        <v>57908.845258499838</v>
      </c>
      <c r="P32" s="18">
        <v>163656864.49034771</v>
      </c>
      <c r="Q32" s="18" t="s">
        <v>1075</v>
      </c>
    </row>
    <row r="33" spans="1:17" x14ac:dyDescent="0.2">
      <c r="A33" s="18">
        <v>32</v>
      </c>
      <c r="B33" s="18">
        <v>32</v>
      </c>
      <c r="C33" s="18">
        <v>32</v>
      </c>
      <c r="D33" s="18">
        <v>141</v>
      </c>
      <c r="E33" s="18" t="s">
        <v>395</v>
      </c>
      <c r="F33" s="18" t="s">
        <v>397</v>
      </c>
      <c r="G33" s="18">
        <v>283.32</v>
      </c>
      <c r="H33" s="18">
        <v>2.63</v>
      </c>
      <c r="I33" s="18">
        <v>6.58</v>
      </c>
      <c r="J33" s="18">
        <v>65.760000000000005</v>
      </c>
      <c r="K33" s="18">
        <v>0</v>
      </c>
      <c r="L33" s="18">
        <v>285.95</v>
      </c>
      <c r="M33" s="18">
        <v>79.44</v>
      </c>
      <c r="N33" s="18" t="s">
        <v>1063</v>
      </c>
      <c r="O33" s="18">
        <v>16499.29293239766</v>
      </c>
      <c r="P33" s="18">
        <v>12386020.72014725</v>
      </c>
      <c r="Q33" s="18" t="s">
        <v>1076</v>
      </c>
    </row>
    <row r="34" spans="1:17" x14ac:dyDescent="0.2">
      <c r="A34" s="18">
        <v>33</v>
      </c>
      <c r="B34" s="18">
        <v>33</v>
      </c>
      <c r="C34" s="18">
        <v>33</v>
      </c>
      <c r="D34" s="18">
        <v>146</v>
      </c>
      <c r="E34" s="18" t="s">
        <v>407</v>
      </c>
      <c r="F34" s="18" t="s">
        <v>409</v>
      </c>
      <c r="G34" s="18">
        <v>422.92</v>
      </c>
      <c r="H34" s="18">
        <v>232.9</v>
      </c>
      <c r="I34" s="18">
        <v>582.24</v>
      </c>
      <c r="J34" s="18">
        <v>5822.4</v>
      </c>
      <c r="K34" s="18">
        <v>9.6199999999999992</v>
      </c>
      <c r="L34" s="18">
        <v>665.44</v>
      </c>
      <c r="M34" s="18">
        <v>184.86</v>
      </c>
      <c r="N34" s="18" t="s">
        <v>1063</v>
      </c>
      <c r="O34" s="18">
        <v>32626.008935724822</v>
      </c>
      <c r="P34" s="18">
        <v>25808749.644479439</v>
      </c>
      <c r="Q34" s="18" t="s">
        <v>1076</v>
      </c>
    </row>
    <row r="35" spans="1:17" x14ac:dyDescent="0.2">
      <c r="A35" s="18">
        <v>34</v>
      </c>
      <c r="B35" s="18">
        <v>34</v>
      </c>
      <c r="C35" s="18">
        <v>34</v>
      </c>
      <c r="D35" s="18">
        <v>154</v>
      </c>
      <c r="E35" s="18" t="s">
        <v>428</v>
      </c>
      <c r="F35" s="18" t="s">
        <v>430</v>
      </c>
      <c r="G35" s="18">
        <v>315.85000000000002</v>
      </c>
      <c r="H35" s="18">
        <v>0</v>
      </c>
      <c r="I35" s="18">
        <v>0</v>
      </c>
      <c r="J35" s="18">
        <v>0</v>
      </c>
      <c r="K35" s="18">
        <v>0</v>
      </c>
      <c r="L35" s="18">
        <v>315.85000000000002</v>
      </c>
      <c r="M35" s="18">
        <v>87.74</v>
      </c>
      <c r="N35" s="18" t="s">
        <v>1063</v>
      </c>
      <c r="O35" s="18">
        <v>25643.14861148733</v>
      </c>
      <c r="P35" s="18">
        <v>34641028.282881327</v>
      </c>
      <c r="Q35" s="18" t="s">
        <v>1076</v>
      </c>
    </row>
    <row r="36" spans="1:17" x14ac:dyDescent="0.2">
      <c r="A36" s="18">
        <v>35</v>
      </c>
      <c r="B36" s="18">
        <v>35</v>
      </c>
      <c r="C36" s="18">
        <v>35</v>
      </c>
      <c r="D36" s="18">
        <v>165</v>
      </c>
      <c r="E36" s="18" t="s">
        <v>461</v>
      </c>
      <c r="F36" s="18" t="s">
        <v>463</v>
      </c>
      <c r="G36" s="18">
        <v>6072.82</v>
      </c>
      <c r="H36" s="18">
        <v>19.440000000000001</v>
      </c>
      <c r="I36" s="18">
        <v>48.61</v>
      </c>
      <c r="J36" s="18">
        <v>486.12</v>
      </c>
      <c r="K36" s="18">
        <v>0</v>
      </c>
      <c r="L36" s="18">
        <v>6092.26</v>
      </c>
      <c r="M36" s="18">
        <v>1692.43</v>
      </c>
      <c r="N36" s="18" t="s">
        <v>1063</v>
      </c>
      <c r="O36" s="18">
        <v>78782.279552049862</v>
      </c>
      <c r="P36" s="18">
        <v>84342531.605124637</v>
      </c>
      <c r="Q36" s="18" t="s">
        <v>1077</v>
      </c>
    </row>
    <row r="37" spans="1:17" x14ac:dyDescent="0.2">
      <c r="A37" s="18">
        <v>36</v>
      </c>
      <c r="B37" s="18">
        <v>36</v>
      </c>
      <c r="C37" s="18">
        <v>36</v>
      </c>
      <c r="D37" s="18">
        <v>169</v>
      </c>
      <c r="E37" s="18" t="s">
        <v>494</v>
      </c>
      <c r="F37" s="18" t="s">
        <v>496</v>
      </c>
      <c r="G37" s="18">
        <v>972.83</v>
      </c>
      <c r="H37" s="18">
        <v>838.55</v>
      </c>
      <c r="I37" s="18">
        <v>2096.38</v>
      </c>
      <c r="J37" s="18">
        <v>20963.79</v>
      </c>
      <c r="K37" s="18">
        <v>12.5</v>
      </c>
      <c r="L37" s="18">
        <v>1823.88</v>
      </c>
      <c r="M37" s="18">
        <v>506.67</v>
      </c>
      <c r="N37" s="18" t="s">
        <v>1063</v>
      </c>
      <c r="O37" s="18">
        <v>55359.797735438777</v>
      </c>
      <c r="P37" s="18">
        <v>91172379.586807802</v>
      </c>
      <c r="Q37" s="18" t="s">
        <v>1078</v>
      </c>
    </row>
    <row r="38" spans="1:17" x14ac:dyDescent="0.2">
      <c r="A38" s="18">
        <v>37</v>
      </c>
      <c r="B38" s="18">
        <v>37</v>
      </c>
      <c r="C38" s="18">
        <v>37</v>
      </c>
      <c r="D38" s="18">
        <v>182</v>
      </c>
      <c r="E38" s="18" t="s">
        <v>512</v>
      </c>
      <c r="F38" s="18" t="s">
        <v>514</v>
      </c>
      <c r="G38" s="18">
        <v>9389.18</v>
      </c>
      <c r="H38" s="18">
        <v>202.65</v>
      </c>
      <c r="I38" s="18">
        <v>506.62</v>
      </c>
      <c r="J38" s="18">
        <v>5066.2299999999996</v>
      </c>
      <c r="K38" s="18">
        <v>297.67</v>
      </c>
      <c r="L38" s="18">
        <v>9889.5</v>
      </c>
      <c r="M38" s="18">
        <v>2747.3</v>
      </c>
      <c r="N38" s="18" t="s">
        <v>1063</v>
      </c>
      <c r="O38" s="18">
        <v>156877.04303764089</v>
      </c>
      <c r="P38" s="18">
        <v>295684343.26804942</v>
      </c>
      <c r="Q38" s="18" t="s">
        <v>1077</v>
      </c>
    </row>
    <row r="39" spans="1:17" x14ac:dyDescent="0.2">
      <c r="A39" s="18">
        <v>38</v>
      </c>
      <c r="B39" s="18">
        <v>38</v>
      </c>
      <c r="C39" s="18">
        <v>38</v>
      </c>
      <c r="D39" s="18">
        <v>192</v>
      </c>
      <c r="E39" s="18" t="s">
        <v>539</v>
      </c>
      <c r="F39" s="18" t="s">
        <v>541</v>
      </c>
      <c r="G39" s="18">
        <v>1451.36</v>
      </c>
      <c r="H39" s="18">
        <v>1025.93</v>
      </c>
      <c r="I39" s="18">
        <v>2564.83</v>
      </c>
      <c r="J39" s="18">
        <v>25648.28</v>
      </c>
      <c r="K39" s="18">
        <v>0</v>
      </c>
      <c r="L39" s="18">
        <v>2477.29</v>
      </c>
      <c r="M39" s="18">
        <v>688.19</v>
      </c>
      <c r="N39" s="18" t="s">
        <v>1063</v>
      </c>
      <c r="O39" s="18">
        <v>51177.563613681232</v>
      </c>
      <c r="P39" s="18">
        <v>92890674.818340898</v>
      </c>
      <c r="Q39" s="18" t="s">
        <v>1074</v>
      </c>
    </row>
    <row r="40" spans="1:17" x14ac:dyDescent="0.2">
      <c r="A40" s="18">
        <v>39</v>
      </c>
      <c r="B40" s="18">
        <v>39</v>
      </c>
      <c r="C40" s="18">
        <v>39</v>
      </c>
      <c r="D40" s="18">
        <v>194</v>
      </c>
      <c r="E40" s="18" t="s">
        <v>572</v>
      </c>
      <c r="F40" s="18" t="s">
        <v>574</v>
      </c>
      <c r="G40" s="18">
        <v>2361.33</v>
      </c>
      <c r="H40" s="18">
        <v>3055</v>
      </c>
      <c r="I40" s="18">
        <v>7637.5</v>
      </c>
      <c r="J40" s="18">
        <v>76375.02</v>
      </c>
      <c r="K40" s="18">
        <v>65.52</v>
      </c>
      <c r="L40" s="18">
        <v>5481.85</v>
      </c>
      <c r="M40" s="18">
        <v>1522.86</v>
      </c>
      <c r="N40" s="18" t="s">
        <v>1063</v>
      </c>
      <c r="O40" s="18">
        <v>97247.751855915092</v>
      </c>
      <c r="P40" s="18">
        <v>262865499.68938911</v>
      </c>
      <c r="Q40" s="18" t="s">
        <v>1079</v>
      </c>
    </row>
    <row r="41" spans="1:17" x14ac:dyDescent="0.2">
      <c r="A41" s="18">
        <v>40</v>
      </c>
      <c r="B41" s="18">
        <v>40</v>
      </c>
      <c r="C41" s="18">
        <v>40</v>
      </c>
      <c r="D41" s="18">
        <v>206</v>
      </c>
      <c r="E41" s="18" t="s">
        <v>671</v>
      </c>
      <c r="F41" s="18" t="s">
        <v>673</v>
      </c>
      <c r="G41" s="18">
        <v>1032.48</v>
      </c>
      <c r="H41" s="18">
        <v>512.54</v>
      </c>
      <c r="I41" s="18">
        <v>1281.3499999999999</v>
      </c>
      <c r="J41" s="18">
        <v>12813.53</v>
      </c>
      <c r="K41" s="18">
        <v>0</v>
      </c>
      <c r="L41" s="18">
        <v>1545.02</v>
      </c>
      <c r="M41" s="18">
        <v>429.21</v>
      </c>
      <c r="N41" s="18" t="s">
        <v>1063</v>
      </c>
      <c r="O41" s="18">
        <v>52784.732526274413</v>
      </c>
      <c r="P41" s="18">
        <v>59390442.059399277</v>
      </c>
      <c r="Q41" s="18" t="s">
        <v>1080</v>
      </c>
    </row>
    <row r="42" spans="1:17" x14ac:dyDescent="0.2">
      <c r="A42" s="18">
        <v>41</v>
      </c>
      <c r="B42" s="18">
        <v>41</v>
      </c>
      <c r="C42" s="18">
        <v>41</v>
      </c>
      <c r="D42" s="18">
        <v>209</v>
      </c>
      <c r="E42" s="18" t="s">
        <v>584</v>
      </c>
      <c r="F42" s="18" t="s">
        <v>586</v>
      </c>
      <c r="G42" s="18">
        <v>1350.21</v>
      </c>
      <c r="H42" s="18">
        <v>1159.52</v>
      </c>
      <c r="I42" s="18">
        <v>2898.8</v>
      </c>
      <c r="J42" s="18">
        <v>28988.03</v>
      </c>
      <c r="K42" s="18">
        <v>63.02</v>
      </c>
      <c r="L42" s="18">
        <v>2572.75</v>
      </c>
      <c r="M42" s="18">
        <v>714.71</v>
      </c>
      <c r="N42" s="18" t="s">
        <v>1063</v>
      </c>
      <c r="O42" s="18">
        <v>56632.469043122728</v>
      </c>
      <c r="P42" s="18">
        <v>116900897.91313291</v>
      </c>
      <c r="Q42" s="18" t="s">
        <v>1074</v>
      </c>
    </row>
    <row r="43" spans="1:17" x14ac:dyDescent="0.2">
      <c r="A43" s="18">
        <v>42</v>
      </c>
      <c r="B43" s="18">
        <v>42</v>
      </c>
      <c r="C43" s="18">
        <v>42</v>
      </c>
      <c r="D43" s="18">
        <v>210</v>
      </c>
      <c r="E43" s="18" t="s">
        <v>587</v>
      </c>
      <c r="F43" s="18" t="s">
        <v>589</v>
      </c>
      <c r="G43" s="18">
        <v>1292.21</v>
      </c>
      <c r="H43" s="18">
        <v>1803.19</v>
      </c>
      <c r="I43" s="18">
        <v>4507.99</v>
      </c>
      <c r="J43" s="18">
        <v>45079.86</v>
      </c>
      <c r="K43" s="18">
        <v>57.81</v>
      </c>
      <c r="L43" s="18">
        <v>3153.21</v>
      </c>
      <c r="M43" s="18">
        <v>875.96</v>
      </c>
      <c r="N43" s="18" t="s">
        <v>1063</v>
      </c>
      <c r="O43" s="18">
        <v>79899.761981593838</v>
      </c>
      <c r="P43" s="18">
        <v>161419212.12937191</v>
      </c>
      <c r="Q43" s="18" t="s">
        <v>1064</v>
      </c>
    </row>
    <row r="44" spans="1:17" x14ac:dyDescent="0.2">
      <c r="A44" s="18">
        <v>43</v>
      </c>
      <c r="B44" s="18">
        <v>43</v>
      </c>
      <c r="C44" s="18">
        <v>43</v>
      </c>
      <c r="D44" s="18">
        <v>211</v>
      </c>
      <c r="E44" s="18" t="s">
        <v>590</v>
      </c>
      <c r="F44" s="18" t="s">
        <v>592</v>
      </c>
      <c r="G44" s="18">
        <v>1028.0899999999999</v>
      </c>
      <c r="H44" s="18">
        <v>638.96</v>
      </c>
      <c r="I44" s="18">
        <v>1597.4</v>
      </c>
      <c r="J44" s="18">
        <v>15973.97</v>
      </c>
      <c r="K44" s="18">
        <v>0</v>
      </c>
      <c r="L44" s="18">
        <v>1667.05</v>
      </c>
      <c r="M44" s="18">
        <v>463.11</v>
      </c>
      <c r="N44" s="18" t="s">
        <v>1063</v>
      </c>
      <c r="O44" s="18">
        <v>40488.950176629412</v>
      </c>
      <c r="P44" s="18">
        <v>71383716.201567009</v>
      </c>
      <c r="Q44" s="18" t="s">
        <v>1081</v>
      </c>
    </row>
    <row r="45" spans="1:17" x14ac:dyDescent="0.2">
      <c r="A45" s="18">
        <v>44</v>
      </c>
      <c r="B45" s="18">
        <v>44</v>
      </c>
      <c r="C45" s="18">
        <v>44</v>
      </c>
      <c r="D45" s="18">
        <v>212</v>
      </c>
      <c r="E45" s="18" t="s">
        <v>593</v>
      </c>
      <c r="F45" s="18" t="s">
        <v>595</v>
      </c>
      <c r="G45" s="18">
        <v>709.63</v>
      </c>
      <c r="H45" s="18">
        <v>911.77</v>
      </c>
      <c r="I45" s="18">
        <v>2279.44</v>
      </c>
      <c r="J45" s="18">
        <v>22794.37</v>
      </c>
      <c r="K45" s="18">
        <v>0</v>
      </c>
      <c r="L45" s="18">
        <v>1621.4</v>
      </c>
      <c r="M45" s="18">
        <v>450.42</v>
      </c>
      <c r="N45" s="18" t="s">
        <v>1063</v>
      </c>
      <c r="O45" s="18">
        <v>98460.680141024262</v>
      </c>
      <c r="P45" s="18">
        <v>76296978.276517332</v>
      </c>
      <c r="Q45" s="18" t="s">
        <v>1082</v>
      </c>
    </row>
    <row r="46" spans="1:17" x14ac:dyDescent="0.2">
      <c r="A46" s="18">
        <v>45</v>
      </c>
      <c r="B46" s="18">
        <v>45</v>
      </c>
      <c r="C46" s="18">
        <v>45</v>
      </c>
      <c r="D46" s="18">
        <v>218</v>
      </c>
      <c r="E46" s="18" t="s">
        <v>608</v>
      </c>
      <c r="F46" s="18" t="s">
        <v>610</v>
      </c>
      <c r="G46" s="18">
        <v>4276.55</v>
      </c>
      <c r="H46" s="18">
        <v>641.42999999999995</v>
      </c>
      <c r="I46" s="18">
        <v>1603.57</v>
      </c>
      <c r="J46" s="18">
        <v>16035.68</v>
      </c>
      <c r="K46" s="18">
        <v>0</v>
      </c>
      <c r="L46" s="18">
        <v>4917.9799999999996</v>
      </c>
      <c r="M46" s="18">
        <v>1366.21</v>
      </c>
      <c r="N46" s="18" t="s">
        <v>1063</v>
      </c>
      <c r="O46" s="18">
        <v>65598.227645941792</v>
      </c>
      <c r="P46" s="18">
        <v>128729559.2547538</v>
      </c>
      <c r="Q46" s="18" t="s">
        <v>1082</v>
      </c>
    </row>
    <row r="47" spans="1:17" x14ac:dyDescent="0.2">
      <c r="A47" s="18">
        <v>46</v>
      </c>
      <c r="B47" s="18">
        <v>46</v>
      </c>
      <c r="C47" s="18">
        <v>46</v>
      </c>
      <c r="D47" s="18">
        <v>219</v>
      </c>
      <c r="E47" s="18" t="s">
        <v>611</v>
      </c>
      <c r="F47" s="18" t="s">
        <v>613</v>
      </c>
      <c r="G47" s="18">
        <v>1949.4</v>
      </c>
      <c r="H47" s="18">
        <v>1000.24</v>
      </c>
      <c r="I47" s="18">
        <v>2500.61</v>
      </c>
      <c r="J47" s="18">
        <v>25006.05</v>
      </c>
      <c r="K47" s="18">
        <v>0</v>
      </c>
      <c r="L47" s="18">
        <v>2949.64</v>
      </c>
      <c r="M47" s="18">
        <v>819.41</v>
      </c>
      <c r="N47" s="18" t="s">
        <v>1063</v>
      </c>
      <c r="O47" s="18">
        <v>55773.197537376589</v>
      </c>
      <c r="P47" s="18">
        <v>118370415.6206264</v>
      </c>
      <c r="Q47" s="18" t="s">
        <v>1081</v>
      </c>
    </row>
    <row r="48" spans="1:17" x14ac:dyDescent="0.2">
      <c r="A48" s="18">
        <v>47</v>
      </c>
      <c r="B48" s="18">
        <v>47</v>
      </c>
      <c r="C48" s="18">
        <v>47</v>
      </c>
      <c r="D48" s="18">
        <v>221</v>
      </c>
      <c r="E48" s="18" t="s">
        <v>620</v>
      </c>
      <c r="F48" s="18" t="s">
        <v>622</v>
      </c>
      <c r="G48" s="18">
        <v>1015.19</v>
      </c>
      <c r="H48" s="18">
        <v>715.39</v>
      </c>
      <c r="I48" s="18">
        <v>1788.48</v>
      </c>
      <c r="J48" s="18">
        <v>17884.84</v>
      </c>
      <c r="K48" s="18">
        <v>0</v>
      </c>
      <c r="L48" s="18">
        <v>1730.58</v>
      </c>
      <c r="M48" s="18">
        <v>480.76</v>
      </c>
      <c r="N48" s="18" t="s">
        <v>1063</v>
      </c>
      <c r="O48" s="18">
        <v>62753.515870715157</v>
      </c>
      <c r="P48" s="18">
        <v>83281848.599002987</v>
      </c>
      <c r="Q48" s="18" t="s">
        <v>1081</v>
      </c>
    </row>
    <row r="49" spans="1:17" x14ac:dyDescent="0.2">
      <c r="A49" s="18">
        <v>48</v>
      </c>
      <c r="B49" s="18">
        <v>48</v>
      </c>
      <c r="C49" s="18">
        <v>48</v>
      </c>
      <c r="D49" s="18">
        <v>9</v>
      </c>
      <c r="E49" s="18" t="s">
        <v>35</v>
      </c>
      <c r="F49" s="18" t="s">
        <v>37</v>
      </c>
      <c r="G49" s="18">
        <v>1168.75</v>
      </c>
      <c r="H49" s="18">
        <v>1208.3</v>
      </c>
      <c r="I49" s="18">
        <v>3020.74</v>
      </c>
      <c r="J49" s="18">
        <v>30207.38</v>
      </c>
      <c r="K49" s="18">
        <v>0</v>
      </c>
      <c r="L49" s="18">
        <v>2377.0500000000002</v>
      </c>
      <c r="M49" s="18">
        <v>660.34</v>
      </c>
      <c r="N49" s="18" t="s">
        <v>1063</v>
      </c>
      <c r="O49" s="18">
        <v>55966.775241455798</v>
      </c>
      <c r="P49" s="18">
        <v>103995274.0289145</v>
      </c>
      <c r="Q49" s="18" t="s">
        <v>1064</v>
      </c>
    </row>
    <row r="50" spans="1:17" x14ac:dyDescent="0.2">
      <c r="A50" s="18">
        <v>49</v>
      </c>
      <c r="B50" s="18">
        <v>49</v>
      </c>
      <c r="C50" s="18">
        <v>49</v>
      </c>
      <c r="D50" s="18">
        <v>232</v>
      </c>
      <c r="E50" s="18" t="s">
        <v>641</v>
      </c>
      <c r="F50" s="18" t="s">
        <v>643</v>
      </c>
      <c r="G50" s="18">
        <v>3565.31</v>
      </c>
      <c r="H50" s="18">
        <v>732.42</v>
      </c>
      <c r="I50" s="18">
        <v>1831.05</v>
      </c>
      <c r="J50" s="18">
        <v>18310.509999999998</v>
      </c>
      <c r="K50" s="18">
        <v>0</v>
      </c>
      <c r="L50" s="18">
        <v>4297.7299999999996</v>
      </c>
      <c r="M50" s="18">
        <v>1193.9100000000001</v>
      </c>
      <c r="N50" s="18" t="s">
        <v>1063</v>
      </c>
      <c r="O50" s="18">
        <v>69558.366196964736</v>
      </c>
      <c r="P50" s="18">
        <v>118044027.105768</v>
      </c>
      <c r="Q50" s="18" t="s">
        <v>1080</v>
      </c>
    </row>
    <row r="51" spans="1:17" x14ac:dyDescent="0.2">
      <c r="A51" s="18">
        <v>50</v>
      </c>
      <c r="B51" s="18">
        <v>50</v>
      </c>
      <c r="C51" s="18">
        <v>50</v>
      </c>
      <c r="D51" s="18">
        <v>10</v>
      </c>
      <c r="E51" s="18" t="s">
        <v>38</v>
      </c>
      <c r="F51" s="18" t="s">
        <v>40</v>
      </c>
      <c r="G51" s="18">
        <v>218.93</v>
      </c>
      <c r="H51" s="18">
        <v>316.25</v>
      </c>
      <c r="I51" s="18">
        <v>790.62</v>
      </c>
      <c r="J51" s="18">
        <v>7906.25</v>
      </c>
      <c r="K51" s="18">
        <v>0</v>
      </c>
      <c r="L51" s="18">
        <v>535.17999999999995</v>
      </c>
      <c r="M51" s="18">
        <v>148.66999999999999</v>
      </c>
      <c r="N51" s="18" t="s">
        <v>1063</v>
      </c>
      <c r="O51" s="18">
        <v>52689.348767608113</v>
      </c>
      <c r="P51" s="18">
        <v>58997438.477034397</v>
      </c>
      <c r="Q51" s="18" t="s">
        <v>1064</v>
      </c>
    </row>
    <row r="52" spans="1:17" x14ac:dyDescent="0.2">
      <c r="A52" s="18">
        <v>51</v>
      </c>
      <c r="B52" s="18">
        <v>51</v>
      </c>
      <c r="C52" s="18">
        <v>91</v>
      </c>
      <c r="D52" s="18">
        <v>322</v>
      </c>
      <c r="E52" s="18" t="s">
        <v>911</v>
      </c>
      <c r="F52" s="18" t="s">
        <v>913</v>
      </c>
      <c r="G52" s="18">
        <v>896.98</v>
      </c>
      <c r="H52" s="18">
        <v>1379.74</v>
      </c>
      <c r="I52" s="18">
        <v>3449.35</v>
      </c>
      <c r="J52" s="18">
        <v>34493.49</v>
      </c>
      <c r="K52" s="18">
        <v>0</v>
      </c>
      <c r="L52" s="18">
        <v>2276.7199999999998</v>
      </c>
      <c r="M52" s="18">
        <v>632.47</v>
      </c>
      <c r="N52" s="18" t="s">
        <v>1063</v>
      </c>
      <c r="O52" s="18">
        <v>65186.935525730332</v>
      </c>
      <c r="P52" s="18">
        <v>118380016.85590871</v>
      </c>
      <c r="Q52" s="18" t="s">
        <v>1066</v>
      </c>
    </row>
    <row r="53" spans="1:17" x14ac:dyDescent="0.2">
      <c r="A53" s="18">
        <v>52</v>
      </c>
      <c r="B53" s="18">
        <v>52</v>
      </c>
      <c r="C53" s="18">
        <v>92</v>
      </c>
      <c r="D53" s="18">
        <v>323</v>
      </c>
      <c r="E53" s="18" t="s">
        <v>914</v>
      </c>
      <c r="F53" s="18" t="s">
        <v>916</v>
      </c>
      <c r="G53" s="18">
        <v>1605.95</v>
      </c>
      <c r="H53" s="18">
        <v>2047.61</v>
      </c>
      <c r="I53" s="18">
        <v>5119.0200000000004</v>
      </c>
      <c r="J53" s="18">
        <v>51190.19</v>
      </c>
      <c r="K53" s="18">
        <v>0</v>
      </c>
      <c r="L53" s="18">
        <v>3653.56</v>
      </c>
      <c r="M53" s="18">
        <v>1014.96</v>
      </c>
      <c r="N53" s="18" t="s">
        <v>1063</v>
      </c>
      <c r="O53" s="18">
        <v>88490.83121764769</v>
      </c>
      <c r="P53" s="18">
        <v>176805922.2070668</v>
      </c>
      <c r="Q53" s="18" t="s">
        <v>1067</v>
      </c>
    </row>
    <row r="54" spans="1:17" x14ac:dyDescent="0.2">
      <c r="A54" s="18">
        <v>53</v>
      </c>
      <c r="B54" s="18">
        <v>53</v>
      </c>
      <c r="C54" s="18">
        <v>93</v>
      </c>
      <c r="D54" s="18">
        <v>325</v>
      </c>
      <c r="E54" s="18" t="s">
        <v>920</v>
      </c>
      <c r="F54" s="18" t="s">
        <v>922</v>
      </c>
      <c r="G54" s="18">
        <v>517.05999999999995</v>
      </c>
      <c r="H54" s="18">
        <v>507.53</v>
      </c>
      <c r="I54" s="18">
        <v>1268.8399999999999</v>
      </c>
      <c r="J54" s="18">
        <v>12688.35</v>
      </c>
      <c r="K54" s="18">
        <v>0</v>
      </c>
      <c r="L54" s="18">
        <v>1024.5899999999999</v>
      </c>
      <c r="M54" s="18">
        <v>284.63</v>
      </c>
      <c r="N54" s="18" t="s">
        <v>1063</v>
      </c>
      <c r="O54" s="18">
        <v>50120.407743890959</v>
      </c>
      <c r="P54" s="18">
        <v>49375361.227295063</v>
      </c>
      <c r="Q54" s="18" t="s">
        <v>1077</v>
      </c>
    </row>
    <row r="55" spans="1:17" x14ac:dyDescent="0.2">
      <c r="A55" s="18">
        <v>54</v>
      </c>
      <c r="B55" s="18">
        <v>54</v>
      </c>
      <c r="C55" s="18">
        <v>94</v>
      </c>
      <c r="D55" s="18">
        <v>326</v>
      </c>
      <c r="E55" s="18" t="s">
        <v>923</v>
      </c>
      <c r="F55" s="18" t="s">
        <v>925</v>
      </c>
      <c r="G55" s="18">
        <v>2679.67</v>
      </c>
      <c r="H55" s="18">
        <v>3095.93</v>
      </c>
      <c r="I55" s="18">
        <v>7739.83</v>
      </c>
      <c r="J55" s="18">
        <v>77398.259999999995</v>
      </c>
      <c r="K55" s="18">
        <v>0</v>
      </c>
      <c r="L55" s="18">
        <v>5775.6</v>
      </c>
      <c r="M55" s="18">
        <v>1604.46</v>
      </c>
      <c r="N55" s="18" t="s">
        <v>1063</v>
      </c>
      <c r="O55" s="18">
        <v>99094.246373647955</v>
      </c>
      <c r="P55" s="18">
        <v>260428046.5554305</v>
      </c>
      <c r="Q55" s="18" t="s">
        <v>1070</v>
      </c>
    </row>
    <row r="56" spans="1:17" x14ac:dyDescent="0.2">
      <c r="A56" s="18">
        <v>55</v>
      </c>
      <c r="B56" s="18">
        <v>55</v>
      </c>
      <c r="C56" s="18">
        <v>95</v>
      </c>
      <c r="D56" s="18">
        <v>327</v>
      </c>
      <c r="E56" s="18" t="s">
        <v>926</v>
      </c>
      <c r="F56" s="18" t="s">
        <v>928</v>
      </c>
      <c r="G56" s="18">
        <v>2302.0300000000002</v>
      </c>
      <c r="H56" s="18">
        <v>3279.77</v>
      </c>
      <c r="I56" s="18">
        <v>8199.42</v>
      </c>
      <c r="J56" s="18">
        <v>81994.240000000005</v>
      </c>
      <c r="K56" s="18">
        <v>0</v>
      </c>
      <c r="L56" s="18">
        <v>5581.8</v>
      </c>
      <c r="M56" s="18">
        <v>1550.62</v>
      </c>
      <c r="N56" s="18" t="s">
        <v>1063</v>
      </c>
      <c r="O56" s="18">
        <v>106793.8119378541</v>
      </c>
      <c r="P56" s="18">
        <v>286412619.00643623</v>
      </c>
      <c r="Q56" s="18" t="s">
        <v>1070</v>
      </c>
    </row>
    <row r="57" spans="1:17" x14ac:dyDescent="0.2">
      <c r="A57" s="18">
        <v>56</v>
      </c>
      <c r="B57" s="18">
        <v>56</v>
      </c>
      <c r="C57" s="18">
        <v>96</v>
      </c>
      <c r="D57" s="18">
        <v>328</v>
      </c>
      <c r="E57" s="18" t="s">
        <v>929</v>
      </c>
      <c r="F57" s="18" t="s">
        <v>931</v>
      </c>
      <c r="G57" s="18">
        <v>3162.42</v>
      </c>
      <c r="H57" s="18">
        <v>448.42</v>
      </c>
      <c r="I57" s="18">
        <v>1121.05</v>
      </c>
      <c r="J57" s="18">
        <v>11210.55</v>
      </c>
      <c r="K57" s="18">
        <v>0</v>
      </c>
      <c r="L57" s="18">
        <v>3610.84</v>
      </c>
      <c r="M57" s="18">
        <v>1003.09</v>
      </c>
      <c r="N57" s="18" t="s">
        <v>1063</v>
      </c>
      <c r="O57" s="18">
        <v>50070.663266892057</v>
      </c>
      <c r="P57" s="18">
        <v>80620955.201545835</v>
      </c>
      <c r="Q57" s="18" t="s">
        <v>1083</v>
      </c>
    </row>
    <row r="58" spans="1:17" x14ac:dyDescent="0.2">
      <c r="A58" s="18">
        <v>57</v>
      </c>
      <c r="B58" s="18">
        <v>57</v>
      </c>
      <c r="C58" s="18">
        <v>97</v>
      </c>
      <c r="D58" s="18">
        <v>330</v>
      </c>
      <c r="E58" s="18" t="s">
        <v>935</v>
      </c>
      <c r="F58" s="18" t="s">
        <v>937</v>
      </c>
      <c r="G58" s="18">
        <v>713.18</v>
      </c>
      <c r="H58" s="18">
        <v>1044.57</v>
      </c>
      <c r="I58" s="18">
        <v>2611.42</v>
      </c>
      <c r="J58" s="18">
        <v>26114.21</v>
      </c>
      <c r="K58" s="18">
        <v>0</v>
      </c>
      <c r="L58" s="18">
        <v>1757.75</v>
      </c>
      <c r="M58" s="18">
        <v>488.3</v>
      </c>
      <c r="N58" s="18" t="s">
        <v>1063</v>
      </c>
      <c r="O58" s="18">
        <v>46622.826883058638</v>
      </c>
      <c r="P58" s="18">
        <v>87494367.378775895</v>
      </c>
      <c r="Q58" s="18" t="s">
        <v>1064</v>
      </c>
    </row>
    <row r="59" spans="1:17" x14ac:dyDescent="0.2">
      <c r="A59" s="18">
        <v>58</v>
      </c>
      <c r="B59" s="18">
        <v>58</v>
      </c>
      <c r="C59" s="18">
        <v>51</v>
      </c>
      <c r="D59" s="18">
        <v>11</v>
      </c>
      <c r="E59" s="18" t="s">
        <v>62</v>
      </c>
      <c r="F59" s="18" t="s">
        <v>64</v>
      </c>
      <c r="G59" s="18">
        <v>207.69</v>
      </c>
      <c r="H59" s="18">
        <v>219.99</v>
      </c>
      <c r="I59" s="18">
        <v>549.98</v>
      </c>
      <c r="J59" s="18">
        <v>5499.82</v>
      </c>
      <c r="K59" s="18">
        <v>0</v>
      </c>
      <c r="L59" s="18">
        <v>427.68</v>
      </c>
      <c r="M59" s="18">
        <v>118.81</v>
      </c>
      <c r="N59" s="18" t="s">
        <v>1063</v>
      </c>
      <c r="O59" s="18">
        <v>68668.583032346913</v>
      </c>
      <c r="P59" s="18">
        <v>91995138.47048749</v>
      </c>
      <c r="Q59" s="18" t="s">
        <v>1064</v>
      </c>
    </row>
    <row r="60" spans="1:17" x14ac:dyDescent="0.2">
      <c r="A60" s="18">
        <v>59</v>
      </c>
      <c r="B60" s="18">
        <v>59</v>
      </c>
      <c r="C60" s="18">
        <v>52</v>
      </c>
      <c r="D60" s="18">
        <v>12</v>
      </c>
      <c r="E60" s="18" t="s">
        <v>65</v>
      </c>
      <c r="F60" s="18" t="s">
        <v>67</v>
      </c>
      <c r="G60" s="18">
        <v>43.69</v>
      </c>
      <c r="H60" s="18">
        <v>0.23</v>
      </c>
      <c r="I60" s="18">
        <v>0.56999999999999995</v>
      </c>
      <c r="J60" s="18">
        <v>5.72</v>
      </c>
      <c r="K60" s="18">
        <v>0</v>
      </c>
      <c r="L60" s="18">
        <v>43.92</v>
      </c>
      <c r="M60" s="18">
        <v>12.2</v>
      </c>
      <c r="N60" s="18" t="s">
        <v>1063</v>
      </c>
      <c r="O60" s="18">
        <v>44907.341376623161</v>
      </c>
      <c r="P60" s="18">
        <v>37439651.274483167</v>
      </c>
      <c r="Q60" s="18" t="s">
        <v>1064</v>
      </c>
    </row>
    <row r="61" spans="1:17" x14ac:dyDescent="0.2">
      <c r="A61" s="18">
        <v>60</v>
      </c>
      <c r="B61" s="18">
        <v>60</v>
      </c>
      <c r="C61" s="18">
        <v>53</v>
      </c>
      <c r="D61" s="18">
        <v>13</v>
      </c>
      <c r="E61" s="18" t="s">
        <v>68</v>
      </c>
      <c r="F61" s="18" t="s">
        <v>70</v>
      </c>
      <c r="G61" s="18">
        <v>1475.6</v>
      </c>
      <c r="H61" s="18">
        <v>2697.97</v>
      </c>
      <c r="I61" s="18">
        <v>6744.92</v>
      </c>
      <c r="J61" s="18">
        <v>67449.210000000006</v>
      </c>
      <c r="K61" s="18">
        <v>0</v>
      </c>
      <c r="L61" s="18">
        <v>4173.57</v>
      </c>
      <c r="M61" s="18">
        <v>1159.42</v>
      </c>
      <c r="N61" s="18" t="s">
        <v>1063</v>
      </c>
      <c r="O61" s="18">
        <v>85121.394203726464</v>
      </c>
      <c r="P61" s="18">
        <v>228355560.83678189</v>
      </c>
      <c r="Q61" s="18" t="s">
        <v>1064</v>
      </c>
    </row>
    <row r="62" spans="1:17" x14ac:dyDescent="0.2">
      <c r="A62" s="18">
        <v>61</v>
      </c>
      <c r="B62" s="18">
        <v>61</v>
      </c>
      <c r="C62" s="18">
        <v>54</v>
      </c>
      <c r="D62" s="18">
        <v>14</v>
      </c>
      <c r="E62" s="18" t="s">
        <v>71</v>
      </c>
      <c r="F62" s="18" t="s">
        <v>73</v>
      </c>
      <c r="G62" s="18">
        <v>1672.97</v>
      </c>
      <c r="H62" s="18">
        <v>494.31</v>
      </c>
      <c r="I62" s="18">
        <v>1235.77</v>
      </c>
      <c r="J62" s="18">
        <v>12357.65</v>
      </c>
      <c r="K62" s="18">
        <v>0</v>
      </c>
      <c r="L62" s="18">
        <v>2167.2800000000002</v>
      </c>
      <c r="M62" s="18">
        <v>602.07000000000005</v>
      </c>
      <c r="N62" s="18" t="s">
        <v>1063</v>
      </c>
      <c r="O62" s="18">
        <v>55104.00087845276</v>
      </c>
      <c r="P62" s="18">
        <v>83450661.479290247</v>
      </c>
      <c r="Q62" s="18" t="s">
        <v>1065</v>
      </c>
    </row>
    <row r="63" spans="1:17" x14ac:dyDescent="0.2">
      <c r="A63" s="18">
        <v>62</v>
      </c>
      <c r="B63" s="18">
        <v>62</v>
      </c>
      <c r="C63" s="18">
        <v>55</v>
      </c>
      <c r="D63" s="18">
        <v>15</v>
      </c>
      <c r="E63" s="18" t="s">
        <v>74</v>
      </c>
      <c r="F63" s="18" t="s">
        <v>76</v>
      </c>
      <c r="G63" s="18">
        <v>1904.47</v>
      </c>
      <c r="H63" s="18">
        <v>3394.62</v>
      </c>
      <c r="I63" s="18">
        <v>8486.5499999999993</v>
      </c>
      <c r="J63" s="18">
        <v>84865.46</v>
      </c>
      <c r="K63" s="18">
        <v>0</v>
      </c>
      <c r="L63" s="18">
        <v>5299.09</v>
      </c>
      <c r="M63" s="18">
        <v>1472.09</v>
      </c>
      <c r="N63" s="18" t="s">
        <v>1063</v>
      </c>
      <c r="O63" s="18">
        <v>88620.436033623904</v>
      </c>
      <c r="P63" s="18">
        <v>299682200.30513161</v>
      </c>
      <c r="Q63" s="18" t="s">
        <v>1065</v>
      </c>
    </row>
    <row r="64" spans="1:17" x14ac:dyDescent="0.2">
      <c r="A64" s="18">
        <v>63</v>
      </c>
      <c r="B64" s="18">
        <v>63</v>
      </c>
      <c r="C64" s="18">
        <v>56</v>
      </c>
      <c r="D64" s="18">
        <v>16</v>
      </c>
      <c r="E64" s="18" t="s">
        <v>77</v>
      </c>
      <c r="F64" s="18" t="s">
        <v>79</v>
      </c>
      <c r="G64" s="18">
        <v>3862.16</v>
      </c>
      <c r="H64" s="18">
        <v>3400.12</v>
      </c>
      <c r="I64" s="18">
        <v>8500.31</v>
      </c>
      <c r="J64" s="18">
        <v>85003.07</v>
      </c>
      <c r="K64" s="18">
        <v>0</v>
      </c>
      <c r="L64" s="18">
        <v>7262.28</v>
      </c>
      <c r="M64" s="18">
        <v>2017.46</v>
      </c>
      <c r="N64" s="18" t="s">
        <v>1063</v>
      </c>
      <c r="O64" s="18">
        <v>81363.701351710319</v>
      </c>
      <c r="P64" s="18">
        <v>346288135.53727442</v>
      </c>
      <c r="Q64" s="18" t="s">
        <v>1065</v>
      </c>
    </row>
    <row r="65" spans="1:17" x14ac:dyDescent="0.2">
      <c r="A65" s="18">
        <v>64</v>
      </c>
      <c r="B65" s="18">
        <v>64</v>
      </c>
      <c r="C65" s="18">
        <v>57</v>
      </c>
      <c r="D65" s="18">
        <v>239</v>
      </c>
      <c r="E65" s="18" t="s">
        <v>788</v>
      </c>
      <c r="F65" s="18" t="s">
        <v>790</v>
      </c>
      <c r="G65" s="18">
        <v>1372.78</v>
      </c>
      <c r="H65" s="18">
        <v>612.53</v>
      </c>
      <c r="I65" s="18">
        <v>1531.33</v>
      </c>
      <c r="J65" s="18">
        <v>15313.29</v>
      </c>
      <c r="K65" s="18">
        <v>0</v>
      </c>
      <c r="L65" s="18">
        <v>1985.31</v>
      </c>
      <c r="M65" s="18">
        <v>551.52</v>
      </c>
      <c r="N65" s="18" t="s">
        <v>1063</v>
      </c>
      <c r="O65" s="18">
        <v>71066.663118882861</v>
      </c>
      <c r="P65" s="18">
        <v>133941596.64294229</v>
      </c>
      <c r="Q65" s="18" t="s">
        <v>1074</v>
      </c>
    </row>
    <row r="66" spans="1:17" x14ac:dyDescent="0.2">
      <c r="A66" s="18">
        <v>65</v>
      </c>
      <c r="B66" s="18">
        <v>65</v>
      </c>
      <c r="C66" s="18">
        <v>58</v>
      </c>
      <c r="D66" s="18">
        <v>240</v>
      </c>
      <c r="E66" s="18" t="s">
        <v>791</v>
      </c>
      <c r="F66" s="18" t="s">
        <v>793</v>
      </c>
      <c r="G66" s="18">
        <v>1595.62</v>
      </c>
      <c r="H66" s="18">
        <v>1306.4100000000001</v>
      </c>
      <c r="I66" s="18">
        <v>3266.02</v>
      </c>
      <c r="J66" s="18">
        <v>32660.22</v>
      </c>
      <c r="K66" s="18">
        <v>0</v>
      </c>
      <c r="L66" s="18">
        <v>2902.03</v>
      </c>
      <c r="M66" s="18">
        <v>806.18</v>
      </c>
      <c r="N66" s="18" t="s">
        <v>1063</v>
      </c>
      <c r="O66" s="18">
        <v>57187.556281905599</v>
      </c>
      <c r="P66" s="18">
        <v>110194305.3803747</v>
      </c>
      <c r="Q66" s="18" t="s">
        <v>1070</v>
      </c>
    </row>
    <row r="67" spans="1:17" x14ac:dyDescent="0.2">
      <c r="A67" s="18">
        <v>66</v>
      </c>
      <c r="B67" s="18">
        <v>66</v>
      </c>
      <c r="C67" s="18">
        <v>59</v>
      </c>
      <c r="D67" s="18">
        <v>243</v>
      </c>
      <c r="E67" s="18" t="s">
        <v>662</v>
      </c>
      <c r="F67" s="18" t="s">
        <v>664</v>
      </c>
      <c r="G67" s="18">
        <v>1863.78</v>
      </c>
      <c r="H67" s="18">
        <v>470.17</v>
      </c>
      <c r="I67" s="18">
        <v>1175.44</v>
      </c>
      <c r="J67" s="18">
        <v>11754.36</v>
      </c>
      <c r="K67" s="18">
        <v>0</v>
      </c>
      <c r="L67" s="18">
        <v>2333.9499999999998</v>
      </c>
      <c r="M67" s="18">
        <v>648.37</v>
      </c>
      <c r="N67" s="18" t="s">
        <v>1063</v>
      </c>
      <c r="O67" s="18">
        <v>43018.958415235938</v>
      </c>
      <c r="P67" s="18">
        <v>73094466.400161698</v>
      </c>
      <c r="Q67" s="18" t="s">
        <v>1082</v>
      </c>
    </row>
    <row r="68" spans="1:17" x14ac:dyDescent="0.2">
      <c r="A68" s="18">
        <v>67</v>
      </c>
      <c r="B68" s="18">
        <v>67</v>
      </c>
      <c r="C68" s="18">
        <v>60</v>
      </c>
      <c r="D68" s="18">
        <v>244</v>
      </c>
      <c r="E68" s="18" t="s">
        <v>665</v>
      </c>
      <c r="F68" s="18" t="s">
        <v>667</v>
      </c>
      <c r="G68" s="18">
        <v>3354.18</v>
      </c>
      <c r="H68" s="18">
        <v>1688.63</v>
      </c>
      <c r="I68" s="18">
        <v>4221.58</v>
      </c>
      <c r="J68" s="18">
        <v>42215.75</v>
      </c>
      <c r="K68" s="18">
        <v>0</v>
      </c>
      <c r="L68" s="18">
        <v>5042.8100000000004</v>
      </c>
      <c r="M68" s="18">
        <v>1400.89</v>
      </c>
      <c r="N68" s="18" t="s">
        <v>1063</v>
      </c>
      <c r="O68" s="18">
        <v>72298.37791184675</v>
      </c>
      <c r="P68" s="18">
        <v>170971132.0747976</v>
      </c>
      <c r="Q68" s="18" t="s">
        <v>1080</v>
      </c>
    </row>
    <row r="69" spans="1:17" x14ac:dyDescent="0.2">
      <c r="A69" s="18">
        <v>68</v>
      </c>
      <c r="B69" s="18">
        <v>68</v>
      </c>
      <c r="C69" s="18">
        <v>61</v>
      </c>
      <c r="D69" s="18">
        <v>247</v>
      </c>
      <c r="E69" s="18" t="s">
        <v>677</v>
      </c>
      <c r="F69" s="18" t="s">
        <v>679</v>
      </c>
      <c r="G69" s="18">
        <v>727.79</v>
      </c>
      <c r="H69" s="18">
        <v>159.1</v>
      </c>
      <c r="I69" s="18">
        <v>397.74</v>
      </c>
      <c r="J69" s="18">
        <v>3977.42</v>
      </c>
      <c r="K69" s="18">
        <v>0</v>
      </c>
      <c r="L69" s="18">
        <v>886.89</v>
      </c>
      <c r="M69" s="18">
        <v>246.38</v>
      </c>
      <c r="N69" s="18" t="s">
        <v>1063</v>
      </c>
      <c r="O69" s="18">
        <v>27954.48726420055</v>
      </c>
      <c r="P69" s="18">
        <v>26495117.980821919</v>
      </c>
      <c r="Q69" s="18" t="s">
        <v>1081</v>
      </c>
    </row>
    <row r="70" spans="1:17" x14ac:dyDescent="0.2">
      <c r="A70" s="18">
        <v>69</v>
      </c>
      <c r="B70" s="18">
        <v>69</v>
      </c>
      <c r="C70" s="18">
        <v>62</v>
      </c>
      <c r="D70" s="18">
        <v>250</v>
      </c>
      <c r="E70" s="18" t="s">
        <v>686</v>
      </c>
      <c r="F70" s="18" t="s">
        <v>688</v>
      </c>
      <c r="G70" s="18">
        <v>5158.21</v>
      </c>
      <c r="H70" s="18">
        <v>451.51</v>
      </c>
      <c r="I70" s="18">
        <v>1128.79</v>
      </c>
      <c r="J70" s="18">
        <v>11287.86</v>
      </c>
      <c r="K70" s="18">
        <v>0</v>
      </c>
      <c r="L70" s="18">
        <v>5609.72</v>
      </c>
      <c r="M70" s="18">
        <v>1558.38</v>
      </c>
      <c r="N70" s="18" t="s">
        <v>1063</v>
      </c>
      <c r="O70" s="18">
        <v>64642.743995316392</v>
      </c>
      <c r="P70" s="18">
        <v>119148885.264584</v>
      </c>
      <c r="Q70" s="18" t="s">
        <v>1084</v>
      </c>
    </row>
    <row r="71" spans="1:17" x14ac:dyDescent="0.2">
      <c r="A71" s="18">
        <v>70</v>
      </c>
      <c r="B71" s="18">
        <v>70</v>
      </c>
      <c r="C71" s="18">
        <v>63</v>
      </c>
      <c r="D71" s="18">
        <v>252</v>
      </c>
      <c r="E71" s="18" t="s">
        <v>689</v>
      </c>
      <c r="F71" s="18" t="s">
        <v>691</v>
      </c>
      <c r="G71" s="18">
        <v>1018.81</v>
      </c>
      <c r="H71" s="18">
        <v>323.3</v>
      </c>
      <c r="I71" s="18">
        <v>808.25</v>
      </c>
      <c r="J71" s="18">
        <v>8082.47</v>
      </c>
      <c r="K71" s="18">
        <v>0</v>
      </c>
      <c r="L71" s="18">
        <v>1342.11</v>
      </c>
      <c r="M71" s="18">
        <v>372.84</v>
      </c>
      <c r="N71" s="18" t="s">
        <v>1063</v>
      </c>
      <c r="O71" s="18">
        <v>45074.346480718537</v>
      </c>
      <c r="P71" s="18">
        <v>56444628.745673053</v>
      </c>
      <c r="Q71" s="18" t="s">
        <v>1081</v>
      </c>
    </row>
    <row r="72" spans="1:17" x14ac:dyDescent="0.2">
      <c r="A72" s="18">
        <v>71</v>
      </c>
      <c r="B72" s="18">
        <v>71</v>
      </c>
      <c r="C72" s="18">
        <v>64</v>
      </c>
      <c r="D72" s="18">
        <v>255</v>
      </c>
      <c r="E72" s="18" t="s">
        <v>698</v>
      </c>
      <c r="F72" s="18" t="s">
        <v>700</v>
      </c>
      <c r="G72" s="18">
        <v>442.72</v>
      </c>
      <c r="H72" s="18">
        <v>103.35</v>
      </c>
      <c r="I72" s="18">
        <v>258.37</v>
      </c>
      <c r="J72" s="18">
        <v>2583.73</v>
      </c>
      <c r="K72" s="18">
        <v>0</v>
      </c>
      <c r="L72" s="18">
        <v>546.07000000000005</v>
      </c>
      <c r="M72" s="18">
        <v>151.69999999999999</v>
      </c>
      <c r="N72" s="18" t="s">
        <v>1063</v>
      </c>
      <c r="O72" s="18">
        <v>21184.017912194809</v>
      </c>
      <c r="P72" s="18">
        <v>22708534.697292</v>
      </c>
      <c r="Q72" s="18" t="s">
        <v>1081</v>
      </c>
    </row>
    <row r="73" spans="1:17" x14ac:dyDescent="0.2">
      <c r="A73" s="18">
        <v>72</v>
      </c>
      <c r="B73" s="18">
        <v>72</v>
      </c>
      <c r="C73" s="18">
        <v>65</v>
      </c>
      <c r="D73" s="18">
        <v>258</v>
      </c>
      <c r="E73" s="18" t="s">
        <v>707</v>
      </c>
      <c r="F73" s="18" t="s">
        <v>709</v>
      </c>
      <c r="G73" s="18">
        <v>1215.5999999999999</v>
      </c>
      <c r="H73" s="18">
        <v>1197.05</v>
      </c>
      <c r="I73" s="18">
        <v>2992.62</v>
      </c>
      <c r="J73" s="18">
        <v>29926.240000000002</v>
      </c>
      <c r="K73" s="18">
        <v>0</v>
      </c>
      <c r="L73" s="18">
        <v>2412.65</v>
      </c>
      <c r="M73" s="18">
        <v>670.23</v>
      </c>
      <c r="N73" s="18" t="s">
        <v>1063</v>
      </c>
      <c r="O73" s="18">
        <v>56872.399933710207</v>
      </c>
      <c r="P73" s="18">
        <v>121175564.1154895</v>
      </c>
      <c r="Q73" s="18" t="s">
        <v>1082</v>
      </c>
    </row>
    <row r="74" spans="1:17" x14ac:dyDescent="0.2">
      <c r="A74" s="18">
        <v>73</v>
      </c>
      <c r="B74" s="18">
        <v>73</v>
      </c>
      <c r="C74" s="18">
        <v>66</v>
      </c>
      <c r="D74" s="18">
        <v>265</v>
      </c>
      <c r="E74" s="18" t="s">
        <v>731</v>
      </c>
      <c r="F74" s="18" t="s">
        <v>733</v>
      </c>
      <c r="G74" s="18">
        <v>2098.33</v>
      </c>
      <c r="H74" s="18">
        <v>83.01</v>
      </c>
      <c r="I74" s="18">
        <v>207.52</v>
      </c>
      <c r="J74" s="18">
        <v>2075.23</v>
      </c>
      <c r="K74" s="18">
        <v>0</v>
      </c>
      <c r="L74" s="18">
        <v>2181.34</v>
      </c>
      <c r="M74" s="18">
        <v>605.98</v>
      </c>
      <c r="N74" s="18" t="s">
        <v>1063</v>
      </c>
      <c r="O74" s="18">
        <v>43605.926137916853</v>
      </c>
      <c r="P74" s="18">
        <v>45495221.307883531</v>
      </c>
      <c r="Q74" s="18" t="s">
        <v>1083</v>
      </c>
    </row>
    <row r="75" spans="1:17" x14ac:dyDescent="0.2">
      <c r="A75" s="18">
        <v>74</v>
      </c>
      <c r="B75" s="18">
        <v>74</v>
      </c>
      <c r="C75" s="18">
        <v>67</v>
      </c>
      <c r="D75" s="18">
        <v>267</v>
      </c>
      <c r="E75" s="18" t="s">
        <v>737</v>
      </c>
      <c r="F75" s="18" t="s">
        <v>739</v>
      </c>
      <c r="G75" s="18">
        <v>2450.58</v>
      </c>
      <c r="H75" s="18">
        <v>241.94</v>
      </c>
      <c r="I75" s="18">
        <v>604.84</v>
      </c>
      <c r="J75" s="18">
        <v>6048.43</v>
      </c>
      <c r="K75" s="18">
        <v>0</v>
      </c>
      <c r="L75" s="18">
        <v>2692.52</v>
      </c>
      <c r="M75" s="18">
        <v>747.98</v>
      </c>
      <c r="N75" s="18" t="s">
        <v>1063</v>
      </c>
      <c r="O75" s="18">
        <v>42275.125963069433</v>
      </c>
      <c r="P75" s="18">
        <v>60060712.098212443</v>
      </c>
      <c r="Q75" s="18" t="s">
        <v>1083</v>
      </c>
    </row>
    <row r="76" spans="1:17" x14ac:dyDescent="0.2">
      <c r="A76" s="18">
        <v>75</v>
      </c>
      <c r="B76" s="18">
        <v>75</v>
      </c>
      <c r="C76" s="18">
        <v>68</v>
      </c>
      <c r="D76" s="18">
        <v>272</v>
      </c>
      <c r="E76" s="18" t="s">
        <v>758</v>
      </c>
      <c r="F76" s="18" t="s">
        <v>760</v>
      </c>
      <c r="G76" s="18">
        <v>251.07</v>
      </c>
      <c r="H76" s="18">
        <v>185.62</v>
      </c>
      <c r="I76" s="18">
        <v>464.04</v>
      </c>
      <c r="J76" s="18">
        <v>4640.41</v>
      </c>
      <c r="K76" s="18">
        <v>0</v>
      </c>
      <c r="L76" s="18">
        <v>436.69</v>
      </c>
      <c r="M76" s="18">
        <v>121.31</v>
      </c>
      <c r="N76" s="18" t="s">
        <v>1063</v>
      </c>
      <c r="O76" s="18">
        <v>27068.372771783132</v>
      </c>
      <c r="P76" s="18">
        <v>23897165.880907129</v>
      </c>
      <c r="Q76" s="18" t="s">
        <v>1083</v>
      </c>
    </row>
    <row r="77" spans="1:17" x14ac:dyDescent="0.2">
      <c r="A77" s="18">
        <v>76</v>
      </c>
      <c r="B77" s="18">
        <v>76</v>
      </c>
      <c r="C77" s="18">
        <v>69</v>
      </c>
      <c r="D77" s="18">
        <v>273</v>
      </c>
      <c r="E77" s="18" t="s">
        <v>761</v>
      </c>
      <c r="F77" s="18" t="s">
        <v>763</v>
      </c>
      <c r="G77" s="18">
        <v>3738.14</v>
      </c>
      <c r="H77" s="18">
        <v>489.97</v>
      </c>
      <c r="I77" s="18">
        <v>1224.9100000000001</v>
      </c>
      <c r="J77" s="18">
        <v>12249.14</v>
      </c>
      <c r="K77" s="18">
        <v>0</v>
      </c>
      <c r="L77" s="18">
        <v>4228.1099999999997</v>
      </c>
      <c r="M77" s="18">
        <v>1174.57</v>
      </c>
      <c r="N77" s="18" t="s">
        <v>1063</v>
      </c>
      <c r="O77" s="18">
        <v>79621.212339150297</v>
      </c>
      <c r="P77" s="18">
        <v>128946394.7544598</v>
      </c>
      <c r="Q77" s="18" t="s">
        <v>1085</v>
      </c>
    </row>
    <row r="78" spans="1:17" x14ac:dyDescent="0.2">
      <c r="A78" s="18">
        <v>77</v>
      </c>
      <c r="B78" s="18">
        <v>77</v>
      </c>
      <c r="C78" s="18">
        <v>70</v>
      </c>
      <c r="D78" s="18">
        <v>277</v>
      </c>
      <c r="E78" s="18" t="s">
        <v>773</v>
      </c>
      <c r="F78" s="18" t="s">
        <v>775</v>
      </c>
      <c r="G78" s="18">
        <v>491.87</v>
      </c>
      <c r="H78" s="18">
        <v>326.24</v>
      </c>
      <c r="I78" s="18">
        <v>815.59</v>
      </c>
      <c r="J78" s="18">
        <v>8155.89</v>
      </c>
      <c r="K78" s="18">
        <v>0</v>
      </c>
      <c r="L78" s="18">
        <v>818.11</v>
      </c>
      <c r="M78" s="18">
        <v>227.27</v>
      </c>
      <c r="N78" s="18" t="s">
        <v>1063</v>
      </c>
      <c r="O78" s="18">
        <v>34669.95538073135</v>
      </c>
      <c r="P78" s="18">
        <v>36905643.899520412</v>
      </c>
      <c r="Q78" s="18" t="s">
        <v>1083</v>
      </c>
    </row>
    <row r="79" spans="1:17" x14ac:dyDescent="0.2">
      <c r="A79" s="18">
        <v>78</v>
      </c>
      <c r="B79" s="18">
        <v>78</v>
      </c>
      <c r="C79" s="18">
        <v>71</v>
      </c>
      <c r="D79" s="18">
        <v>285</v>
      </c>
      <c r="E79" s="18" t="s">
        <v>800</v>
      </c>
      <c r="F79" s="18" t="s">
        <v>802</v>
      </c>
      <c r="G79" s="18">
        <v>2043.63</v>
      </c>
      <c r="H79" s="18">
        <v>1610.58</v>
      </c>
      <c r="I79" s="18">
        <v>4026.44</v>
      </c>
      <c r="J79" s="18">
        <v>40264.400000000001</v>
      </c>
      <c r="K79" s="18">
        <v>0</v>
      </c>
      <c r="L79" s="18">
        <v>3654.21</v>
      </c>
      <c r="M79" s="18">
        <v>1015.14</v>
      </c>
      <c r="N79" s="18" t="s">
        <v>1063</v>
      </c>
      <c r="O79" s="18">
        <v>73240.140917805707</v>
      </c>
      <c r="P79" s="18">
        <v>164856629.15112591</v>
      </c>
      <c r="Q79" s="18" t="s">
        <v>1085</v>
      </c>
    </row>
    <row r="80" spans="1:17" x14ac:dyDescent="0.2">
      <c r="A80" s="18">
        <v>79</v>
      </c>
      <c r="B80" s="18">
        <v>79</v>
      </c>
      <c r="C80" s="18">
        <v>72</v>
      </c>
      <c r="D80" s="18">
        <v>288</v>
      </c>
      <c r="E80" s="18" t="s">
        <v>806</v>
      </c>
      <c r="F80" s="18" t="s">
        <v>808</v>
      </c>
      <c r="G80" s="18">
        <v>1829.12</v>
      </c>
      <c r="H80" s="18">
        <v>1110.47</v>
      </c>
      <c r="I80" s="18">
        <v>2776.18</v>
      </c>
      <c r="J80" s="18">
        <v>27761.84</v>
      </c>
      <c r="K80" s="18">
        <v>0</v>
      </c>
      <c r="L80" s="18">
        <v>2939.59</v>
      </c>
      <c r="M80" s="18">
        <v>816.62</v>
      </c>
      <c r="N80" s="18" t="s">
        <v>1063</v>
      </c>
      <c r="O80" s="18">
        <v>47048.886232332763</v>
      </c>
      <c r="P80" s="18">
        <v>123360610.0617872</v>
      </c>
      <c r="Q80" s="18" t="s">
        <v>1081</v>
      </c>
    </row>
    <row r="81" spans="1:17" x14ac:dyDescent="0.2">
      <c r="A81" s="18">
        <v>80</v>
      </c>
      <c r="B81" s="18">
        <v>80</v>
      </c>
      <c r="C81" s="18">
        <v>73</v>
      </c>
      <c r="D81" s="18">
        <v>289</v>
      </c>
      <c r="E81" s="18" t="s">
        <v>809</v>
      </c>
      <c r="F81" s="18" t="s">
        <v>811</v>
      </c>
      <c r="G81" s="18">
        <v>1303.3399999999999</v>
      </c>
      <c r="H81" s="18">
        <v>819.12</v>
      </c>
      <c r="I81" s="18">
        <v>2047.8</v>
      </c>
      <c r="J81" s="18">
        <v>20477.98</v>
      </c>
      <c r="K81" s="18">
        <v>0</v>
      </c>
      <c r="L81" s="18">
        <v>2122.46</v>
      </c>
      <c r="M81" s="18">
        <v>589.62</v>
      </c>
      <c r="N81" s="18" t="s">
        <v>1063</v>
      </c>
      <c r="O81" s="18">
        <v>44056.595791952983</v>
      </c>
      <c r="P81" s="18">
        <v>75241828.720626682</v>
      </c>
      <c r="Q81" s="18" t="s">
        <v>1082</v>
      </c>
    </row>
    <row r="82" spans="1:17" x14ac:dyDescent="0.2">
      <c r="A82" s="18">
        <v>81</v>
      </c>
      <c r="B82" s="18">
        <v>81</v>
      </c>
      <c r="C82" s="18">
        <v>74</v>
      </c>
      <c r="D82" s="18">
        <v>291</v>
      </c>
      <c r="E82" s="18" t="s">
        <v>815</v>
      </c>
      <c r="F82" s="18" t="s">
        <v>817</v>
      </c>
      <c r="G82" s="18">
        <v>1049.42</v>
      </c>
      <c r="H82" s="18">
        <v>517.79999999999995</v>
      </c>
      <c r="I82" s="18">
        <v>1294.49</v>
      </c>
      <c r="J82" s="18">
        <v>12944.89</v>
      </c>
      <c r="K82" s="18">
        <v>0</v>
      </c>
      <c r="L82" s="18">
        <v>1567.22</v>
      </c>
      <c r="M82" s="18">
        <v>435.37</v>
      </c>
      <c r="N82" s="18" t="s">
        <v>1063</v>
      </c>
      <c r="O82" s="18">
        <v>37865.498301498752</v>
      </c>
      <c r="P82" s="18">
        <v>56168666.407503933</v>
      </c>
      <c r="Q82" s="18" t="s">
        <v>1081</v>
      </c>
    </row>
    <row r="83" spans="1:17" x14ac:dyDescent="0.2">
      <c r="A83" s="18">
        <v>82</v>
      </c>
      <c r="B83" s="18">
        <v>82</v>
      </c>
      <c r="C83" s="18">
        <v>75</v>
      </c>
      <c r="D83" s="18">
        <v>296</v>
      </c>
      <c r="E83" s="18" t="s">
        <v>836</v>
      </c>
      <c r="F83" s="18" t="s">
        <v>838</v>
      </c>
      <c r="G83" s="18">
        <v>1447.77</v>
      </c>
      <c r="H83" s="18">
        <v>2486.5</v>
      </c>
      <c r="I83" s="18">
        <v>6216.25</v>
      </c>
      <c r="J83" s="18">
        <v>62162.46</v>
      </c>
      <c r="K83" s="18">
        <v>0</v>
      </c>
      <c r="L83" s="18">
        <v>3934.27</v>
      </c>
      <c r="M83" s="18">
        <v>1092.94</v>
      </c>
      <c r="N83" s="18" t="s">
        <v>1063</v>
      </c>
      <c r="O83" s="18">
        <v>110707.27185550579</v>
      </c>
      <c r="P83" s="18">
        <v>226348721.00493571</v>
      </c>
      <c r="Q83" s="18" t="s">
        <v>1065</v>
      </c>
    </row>
    <row r="84" spans="1:17" x14ac:dyDescent="0.2">
      <c r="A84" s="18">
        <v>83</v>
      </c>
      <c r="B84" s="18">
        <v>83</v>
      </c>
      <c r="C84" s="18">
        <v>76</v>
      </c>
      <c r="D84" s="18">
        <v>297</v>
      </c>
      <c r="E84" s="18" t="s">
        <v>956</v>
      </c>
      <c r="F84" s="18" t="s">
        <v>958</v>
      </c>
      <c r="G84" s="18">
        <v>936.2</v>
      </c>
      <c r="H84" s="18">
        <v>813.18</v>
      </c>
      <c r="I84" s="18">
        <v>2032.95</v>
      </c>
      <c r="J84" s="18">
        <v>20329.47</v>
      </c>
      <c r="K84" s="18">
        <v>0</v>
      </c>
      <c r="L84" s="18">
        <v>1749.38</v>
      </c>
      <c r="M84" s="18">
        <v>485.98</v>
      </c>
      <c r="N84" s="18" t="s">
        <v>1063</v>
      </c>
      <c r="O84" s="18">
        <v>57201.641288675717</v>
      </c>
      <c r="P84" s="18">
        <v>78456738.135133371</v>
      </c>
      <c r="Q84" s="18" t="s">
        <v>1083</v>
      </c>
    </row>
    <row r="85" spans="1:17" x14ac:dyDescent="0.2">
      <c r="A85" s="18">
        <v>84</v>
      </c>
      <c r="B85" s="18">
        <v>84</v>
      </c>
      <c r="C85" s="18">
        <v>77</v>
      </c>
      <c r="D85" s="18">
        <v>298</v>
      </c>
      <c r="E85" s="18" t="s">
        <v>959</v>
      </c>
      <c r="F85" s="18" t="s">
        <v>961</v>
      </c>
      <c r="G85" s="18">
        <v>1455.51</v>
      </c>
      <c r="H85" s="18">
        <v>965.84</v>
      </c>
      <c r="I85" s="18">
        <v>2414.6</v>
      </c>
      <c r="J85" s="18">
        <v>24146.05</v>
      </c>
      <c r="K85" s="18">
        <v>10.65</v>
      </c>
      <c r="L85" s="18">
        <v>2432</v>
      </c>
      <c r="M85" s="18">
        <v>675.61</v>
      </c>
      <c r="N85" s="18" t="s">
        <v>1063</v>
      </c>
      <c r="O85" s="18">
        <v>83595.875657872617</v>
      </c>
      <c r="P85" s="18">
        <v>106918907.21134689</v>
      </c>
      <c r="Q85" s="18" t="s">
        <v>1074</v>
      </c>
    </row>
    <row r="86" spans="1:17" x14ac:dyDescent="0.2">
      <c r="A86" s="18">
        <v>85</v>
      </c>
      <c r="B86" s="18">
        <v>85</v>
      </c>
      <c r="C86" s="18">
        <v>78</v>
      </c>
      <c r="D86" s="18">
        <v>301</v>
      </c>
      <c r="E86" s="18" t="s">
        <v>860</v>
      </c>
      <c r="F86" s="18" t="s">
        <v>862</v>
      </c>
      <c r="G86" s="18">
        <v>1955.38</v>
      </c>
      <c r="H86" s="18">
        <v>2683.02</v>
      </c>
      <c r="I86" s="18">
        <v>6707.55</v>
      </c>
      <c r="J86" s="18">
        <v>67075.509999999995</v>
      </c>
      <c r="K86" s="18">
        <v>0</v>
      </c>
      <c r="L86" s="18">
        <v>4638.3999999999996</v>
      </c>
      <c r="M86" s="18">
        <v>1288.55</v>
      </c>
      <c r="N86" s="18" t="s">
        <v>1063</v>
      </c>
      <c r="O86" s="18">
        <v>100466.1889947516</v>
      </c>
      <c r="P86" s="18">
        <v>321685868.15085518</v>
      </c>
      <c r="Q86" s="18" t="s">
        <v>1066</v>
      </c>
    </row>
    <row r="87" spans="1:17" x14ac:dyDescent="0.2">
      <c r="A87" s="18">
        <v>86</v>
      </c>
      <c r="B87" s="18">
        <v>86</v>
      </c>
      <c r="C87" s="18">
        <v>79</v>
      </c>
      <c r="D87" s="18">
        <v>302</v>
      </c>
      <c r="E87" s="18" t="s">
        <v>863</v>
      </c>
      <c r="F87" s="18" t="s">
        <v>865</v>
      </c>
      <c r="G87" s="18">
        <v>2093.37</v>
      </c>
      <c r="H87" s="18">
        <v>1866.42</v>
      </c>
      <c r="I87" s="18">
        <v>4666.04</v>
      </c>
      <c r="J87" s="18">
        <v>46660.4</v>
      </c>
      <c r="K87" s="18">
        <v>0</v>
      </c>
      <c r="L87" s="18">
        <v>3959.79</v>
      </c>
      <c r="M87" s="18">
        <v>1100.03</v>
      </c>
      <c r="N87" s="18" t="s">
        <v>1063</v>
      </c>
      <c r="O87" s="18">
        <v>79097.917083024309</v>
      </c>
      <c r="P87" s="18">
        <v>161204763.09712881</v>
      </c>
      <c r="Q87" s="18" t="s">
        <v>1082</v>
      </c>
    </row>
    <row r="88" spans="1:17" x14ac:dyDescent="0.2">
      <c r="A88" s="18">
        <v>87</v>
      </c>
      <c r="B88" s="18">
        <v>87</v>
      </c>
      <c r="C88" s="18">
        <v>80</v>
      </c>
      <c r="D88" s="18">
        <v>308</v>
      </c>
      <c r="E88" s="18" t="s">
        <v>878</v>
      </c>
      <c r="F88" s="18" t="s">
        <v>880</v>
      </c>
      <c r="G88" s="18">
        <v>786.43</v>
      </c>
      <c r="H88" s="18">
        <v>917.57</v>
      </c>
      <c r="I88" s="18">
        <v>2293.92</v>
      </c>
      <c r="J88" s="18">
        <v>22939.17</v>
      </c>
      <c r="K88" s="18">
        <v>0</v>
      </c>
      <c r="L88" s="18">
        <v>1704</v>
      </c>
      <c r="M88" s="18">
        <v>473.37</v>
      </c>
      <c r="N88" s="18" t="s">
        <v>1063</v>
      </c>
      <c r="O88" s="18">
        <v>66917.507026558989</v>
      </c>
      <c r="P88" s="18">
        <v>93644675.556734383</v>
      </c>
      <c r="Q88" s="18" t="s">
        <v>1082</v>
      </c>
    </row>
    <row r="89" spans="1:17" x14ac:dyDescent="0.2">
      <c r="A89" s="18">
        <v>88</v>
      </c>
      <c r="B89" s="18">
        <v>88</v>
      </c>
      <c r="C89" s="18">
        <v>81</v>
      </c>
      <c r="D89" s="18">
        <v>309</v>
      </c>
      <c r="E89" s="18" t="s">
        <v>881</v>
      </c>
      <c r="F89" s="18" t="s">
        <v>883</v>
      </c>
      <c r="G89" s="18">
        <v>1080.8699999999999</v>
      </c>
      <c r="H89" s="18">
        <v>915.71</v>
      </c>
      <c r="I89" s="18">
        <v>2289.27</v>
      </c>
      <c r="J89" s="18">
        <v>22892.66</v>
      </c>
      <c r="K89" s="18">
        <v>0</v>
      </c>
      <c r="L89" s="18">
        <v>1996.58</v>
      </c>
      <c r="M89" s="18">
        <v>554.65</v>
      </c>
      <c r="N89" s="18" t="s">
        <v>1063</v>
      </c>
      <c r="O89" s="18">
        <v>58215.381197624687</v>
      </c>
      <c r="P89" s="18">
        <v>101784969.24084499</v>
      </c>
      <c r="Q89" s="18" t="s">
        <v>1081</v>
      </c>
    </row>
    <row r="90" spans="1:17" x14ac:dyDescent="0.2">
      <c r="A90" s="18">
        <v>89</v>
      </c>
      <c r="B90" s="18">
        <v>89</v>
      </c>
      <c r="C90" s="18">
        <v>82</v>
      </c>
      <c r="D90" s="18">
        <v>310</v>
      </c>
      <c r="E90" s="18" t="s">
        <v>998</v>
      </c>
      <c r="F90" s="18" t="s">
        <v>1000</v>
      </c>
      <c r="G90" s="18">
        <v>2405.6799999999998</v>
      </c>
      <c r="H90" s="18">
        <v>3180.28</v>
      </c>
      <c r="I90" s="18">
        <v>7950.69</v>
      </c>
      <c r="J90" s="18">
        <v>79506.89</v>
      </c>
      <c r="K90" s="18">
        <v>12.75</v>
      </c>
      <c r="L90" s="18">
        <v>5598.71</v>
      </c>
      <c r="M90" s="18">
        <v>1555.32</v>
      </c>
      <c r="N90" s="18" t="s">
        <v>1063</v>
      </c>
      <c r="O90" s="18">
        <v>100444.65712716689</v>
      </c>
      <c r="P90" s="18">
        <v>295782656.76481771</v>
      </c>
      <c r="Q90" s="18" t="s">
        <v>1086</v>
      </c>
    </row>
    <row r="91" spans="1:17" x14ac:dyDescent="0.2">
      <c r="A91" s="18">
        <v>90</v>
      </c>
      <c r="B91" s="18">
        <v>90</v>
      </c>
      <c r="C91" s="18">
        <v>83</v>
      </c>
      <c r="D91" s="18">
        <v>311</v>
      </c>
      <c r="E91" s="18" t="s">
        <v>1001</v>
      </c>
      <c r="F91" s="18" t="s">
        <v>1003</v>
      </c>
      <c r="G91" s="18">
        <v>1174.98</v>
      </c>
      <c r="H91" s="18">
        <v>781.53</v>
      </c>
      <c r="I91" s="18">
        <v>1953.84</v>
      </c>
      <c r="J91" s="18">
        <v>19538.36</v>
      </c>
      <c r="K91" s="18">
        <v>0</v>
      </c>
      <c r="L91" s="18">
        <v>1956.51</v>
      </c>
      <c r="M91" s="18">
        <v>543.52</v>
      </c>
      <c r="N91" s="18" t="s">
        <v>1063</v>
      </c>
      <c r="O91" s="18">
        <v>62093.920215781043</v>
      </c>
      <c r="P91" s="18">
        <v>78542477.484043419</v>
      </c>
      <c r="Q91" s="18" t="s">
        <v>1083</v>
      </c>
    </row>
    <row r="92" spans="1:17" x14ac:dyDescent="0.2">
      <c r="A92" s="18">
        <v>91</v>
      </c>
      <c r="B92" s="18">
        <v>91</v>
      </c>
      <c r="C92" s="18">
        <v>84</v>
      </c>
      <c r="D92" s="18">
        <v>312</v>
      </c>
      <c r="E92" s="18" t="s">
        <v>1004</v>
      </c>
      <c r="F92" s="18" t="s">
        <v>1006</v>
      </c>
      <c r="G92" s="18">
        <v>1627.48</v>
      </c>
      <c r="H92" s="18">
        <v>1032.1600000000001</v>
      </c>
      <c r="I92" s="18">
        <v>2580.4</v>
      </c>
      <c r="J92" s="18">
        <v>25803.98</v>
      </c>
      <c r="K92" s="18">
        <v>0</v>
      </c>
      <c r="L92" s="18">
        <v>2659.64</v>
      </c>
      <c r="M92" s="18">
        <v>738.85</v>
      </c>
      <c r="N92" s="18" t="s">
        <v>1063</v>
      </c>
      <c r="O92" s="18">
        <v>60445.923969760552</v>
      </c>
      <c r="P92" s="18">
        <v>106652101.303572</v>
      </c>
      <c r="Q92" s="18" t="s">
        <v>1070</v>
      </c>
    </row>
    <row r="93" spans="1:17" x14ac:dyDescent="0.2">
      <c r="A93" s="18">
        <v>92</v>
      </c>
      <c r="B93" s="18">
        <v>92</v>
      </c>
      <c r="C93" s="18">
        <v>85</v>
      </c>
      <c r="D93" s="18">
        <v>314</v>
      </c>
      <c r="E93" s="18" t="s">
        <v>887</v>
      </c>
      <c r="F93" s="18" t="s">
        <v>889</v>
      </c>
      <c r="G93" s="18">
        <v>528.88</v>
      </c>
      <c r="H93" s="18">
        <v>803.48</v>
      </c>
      <c r="I93" s="18">
        <v>2008.69</v>
      </c>
      <c r="J93" s="18">
        <v>20086.919999999998</v>
      </c>
      <c r="K93" s="18">
        <v>0</v>
      </c>
      <c r="L93" s="18">
        <v>1332.36</v>
      </c>
      <c r="M93" s="18">
        <v>370.13</v>
      </c>
      <c r="N93" s="18" t="s">
        <v>1063</v>
      </c>
      <c r="O93" s="18">
        <v>50376.480403014117</v>
      </c>
      <c r="P93" s="18">
        <v>73366286.702668622</v>
      </c>
      <c r="Q93" s="18" t="s">
        <v>1083</v>
      </c>
    </row>
    <row r="94" spans="1:17" x14ac:dyDescent="0.2">
      <c r="A94" s="18">
        <v>93</v>
      </c>
      <c r="B94" s="18">
        <v>93</v>
      </c>
      <c r="C94" s="18">
        <v>86</v>
      </c>
      <c r="D94" s="18">
        <v>315</v>
      </c>
      <c r="E94" s="18" t="s">
        <v>890</v>
      </c>
      <c r="F94" s="18" t="s">
        <v>892</v>
      </c>
      <c r="G94" s="18">
        <v>1218.26</v>
      </c>
      <c r="H94" s="18">
        <v>1324.57</v>
      </c>
      <c r="I94" s="18">
        <v>3311.42</v>
      </c>
      <c r="J94" s="18">
        <v>33114.15</v>
      </c>
      <c r="K94" s="18">
        <v>1.8</v>
      </c>
      <c r="L94" s="18">
        <v>2544.63</v>
      </c>
      <c r="M94" s="18">
        <v>706.9</v>
      </c>
      <c r="N94" s="18" t="s">
        <v>1063</v>
      </c>
      <c r="O94" s="18">
        <v>92411.139082742302</v>
      </c>
      <c r="P94" s="18">
        <v>147654987.4578371</v>
      </c>
      <c r="Q94" s="18" t="s">
        <v>1065</v>
      </c>
    </row>
    <row r="95" spans="1:17" x14ac:dyDescent="0.2">
      <c r="A95" s="18">
        <v>94</v>
      </c>
      <c r="B95" s="18">
        <v>94</v>
      </c>
      <c r="C95" s="18">
        <v>87</v>
      </c>
      <c r="D95" s="18">
        <v>316</v>
      </c>
      <c r="E95" s="18" t="s">
        <v>893</v>
      </c>
      <c r="F95" s="18" t="s">
        <v>895</v>
      </c>
      <c r="G95" s="18">
        <v>1977.24</v>
      </c>
      <c r="H95" s="18">
        <v>3659.67</v>
      </c>
      <c r="I95" s="18">
        <v>9149.18</v>
      </c>
      <c r="J95" s="18">
        <v>91491.83</v>
      </c>
      <c r="K95" s="18">
        <v>0</v>
      </c>
      <c r="L95" s="18">
        <v>5636.91</v>
      </c>
      <c r="M95" s="18">
        <v>1565.93</v>
      </c>
      <c r="N95" s="18" t="s">
        <v>1063</v>
      </c>
      <c r="O95" s="18">
        <v>111904.77376888441</v>
      </c>
      <c r="P95" s="18">
        <v>345845244.77481103</v>
      </c>
      <c r="Q95" s="18" t="s">
        <v>1065</v>
      </c>
    </row>
    <row r="96" spans="1:17" x14ac:dyDescent="0.2">
      <c r="A96" s="18">
        <v>95</v>
      </c>
      <c r="B96" s="18">
        <v>95</v>
      </c>
      <c r="C96" s="18">
        <v>88</v>
      </c>
      <c r="D96" s="18">
        <v>317</v>
      </c>
      <c r="E96" s="18" t="s">
        <v>896</v>
      </c>
      <c r="F96" s="18" t="s">
        <v>898</v>
      </c>
      <c r="G96" s="18">
        <v>1659.63</v>
      </c>
      <c r="H96" s="18">
        <v>1199.31</v>
      </c>
      <c r="I96" s="18">
        <v>2998.29</v>
      </c>
      <c r="J96" s="18">
        <v>29982.87</v>
      </c>
      <c r="K96" s="18">
        <v>0</v>
      </c>
      <c r="L96" s="18">
        <v>2858.94</v>
      </c>
      <c r="M96" s="18">
        <v>794.21</v>
      </c>
      <c r="N96" s="18" t="s">
        <v>1063</v>
      </c>
      <c r="O96" s="18">
        <v>60524.822274463353</v>
      </c>
      <c r="P96" s="18">
        <v>115175942.2265981</v>
      </c>
      <c r="Q96" s="18" t="s">
        <v>1073</v>
      </c>
    </row>
    <row r="97" spans="1:17" x14ac:dyDescent="0.2">
      <c r="A97" s="18">
        <v>96</v>
      </c>
      <c r="B97" s="18">
        <v>96</v>
      </c>
      <c r="C97" s="18">
        <v>89</v>
      </c>
      <c r="D97" s="18">
        <v>318</v>
      </c>
      <c r="E97" s="18" t="s">
        <v>899</v>
      </c>
      <c r="F97" s="18" t="s">
        <v>901</v>
      </c>
      <c r="G97" s="18">
        <v>2242.9299999999998</v>
      </c>
      <c r="H97" s="18">
        <v>2218.9499999999998</v>
      </c>
      <c r="I97" s="18">
        <v>5547.37</v>
      </c>
      <c r="J97" s="18">
        <v>55473.66</v>
      </c>
      <c r="K97" s="18">
        <v>0</v>
      </c>
      <c r="L97" s="18">
        <v>4461.88</v>
      </c>
      <c r="M97" s="18">
        <v>1239.51</v>
      </c>
      <c r="N97" s="18" t="s">
        <v>1063</v>
      </c>
      <c r="O97" s="18">
        <v>74868.372766693574</v>
      </c>
      <c r="P97" s="18">
        <v>215439899.55175689</v>
      </c>
      <c r="Q97" s="18" t="s">
        <v>1067</v>
      </c>
    </row>
    <row r="98" spans="1:17" x14ac:dyDescent="0.2">
      <c r="A98" s="18">
        <v>97</v>
      </c>
      <c r="B98" s="18">
        <v>97</v>
      </c>
      <c r="C98" s="18">
        <v>90</v>
      </c>
      <c r="D98" s="18">
        <v>319</v>
      </c>
      <c r="E98" s="18" t="s">
        <v>902</v>
      </c>
      <c r="F98" s="18" t="s">
        <v>904</v>
      </c>
      <c r="G98" s="18">
        <v>960.66</v>
      </c>
      <c r="H98" s="18">
        <v>596.23</v>
      </c>
      <c r="I98" s="18">
        <v>1490.57</v>
      </c>
      <c r="J98" s="18">
        <v>14905.67</v>
      </c>
      <c r="K98" s="18">
        <v>0</v>
      </c>
      <c r="L98" s="18">
        <v>1556.89</v>
      </c>
      <c r="M98" s="18">
        <v>432.5</v>
      </c>
      <c r="N98" s="18" t="s">
        <v>1063</v>
      </c>
      <c r="O98" s="18">
        <v>65949.227657445284</v>
      </c>
      <c r="P98" s="18">
        <v>67414667.951790199</v>
      </c>
      <c r="Q98" s="18" t="s">
        <v>1069</v>
      </c>
    </row>
    <row r="99" spans="1:17" x14ac:dyDescent="0.2">
      <c r="A99" s="18">
        <v>98</v>
      </c>
      <c r="B99" s="18">
        <v>98</v>
      </c>
      <c r="C99" s="18">
        <v>98</v>
      </c>
      <c r="D99" s="18">
        <v>331</v>
      </c>
      <c r="E99" s="18" t="s">
        <v>938</v>
      </c>
      <c r="F99" s="18" t="s">
        <v>940</v>
      </c>
      <c r="G99" s="18">
        <v>1100.01</v>
      </c>
      <c r="H99" s="18">
        <v>473.74</v>
      </c>
      <c r="I99" s="18">
        <v>1184.3499999999999</v>
      </c>
      <c r="J99" s="18">
        <v>11843.46</v>
      </c>
      <c r="K99" s="18">
        <v>25.28</v>
      </c>
      <c r="L99" s="18">
        <v>1599.03</v>
      </c>
      <c r="M99" s="18">
        <v>444.21</v>
      </c>
      <c r="N99" s="18" t="s">
        <v>1063</v>
      </c>
      <c r="O99" s="18">
        <v>56773.045128803933</v>
      </c>
      <c r="P99" s="18">
        <v>63990367.562682644</v>
      </c>
      <c r="Q99" s="18" t="s">
        <v>1087</v>
      </c>
    </row>
    <row r="100" spans="1:17" x14ac:dyDescent="0.2">
      <c r="A100" s="18">
        <v>99</v>
      </c>
      <c r="B100" s="18">
        <v>99</v>
      </c>
      <c r="C100" s="18">
        <v>99</v>
      </c>
      <c r="D100" s="18">
        <v>333</v>
      </c>
      <c r="E100" s="18" t="s">
        <v>944</v>
      </c>
      <c r="F100" s="18" t="s">
        <v>946</v>
      </c>
      <c r="G100" s="18">
        <v>1678.38</v>
      </c>
      <c r="H100" s="18">
        <v>2946.6</v>
      </c>
      <c r="I100" s="18">
        <v>7366.51</v>
      </c>
      <c r="J100" s="18">
        <v>73665.08</v>
      </c>
      <c r="K100" s="18">
        <v>25.55</v>
      </c>
      <c r="L100" s="18">
        <v>4650.53</v>
      </c>
      <c r="M100" s="18">
        <v>1291.92</v>
      </c>
      <c r="N100" s="18" t="s">
        <v>1063</v>
      </c>
      <c r="O100" s="18">
        <v>80077.037730897035</v>
      </c>
      <c r="P100" s="18">
        <v>241280258.76132181</v>
      </c>
      <c r="Q100" s="18" t="s">
        <v>1086</v>
      </c>
    </row>
    <row r="101" spans="1:17" x14ac:dyDescent="0.2">
      <c r="A101" s="18">
        <v>100</v>
      </c>
      <c r="B101" s="18">
        <v>100</v>
      </c>
      <c r="C101" s="18">
        <v>100</v>
      </c>
      <c r="D101" s="18">
        <v>334</v>
      </c>
      <c r="E101" s="18" t="s">
        <v>947</v>
      </c>
      <c r="F101" s="18" t="s">
        <v>949</v>
      </c>
      <c r="G101" s="18">
        <v>1005.49</v>
      </c>
      <c r="H101" s="18">
        <v>1073.6600000000001</v>
      </c>
      <c r="I101" s="18">
        <v>2684.16</v>
      </c>
      <c r="J101" s="18">
        <v>26841.57</v>
      </c>
      <c r="K101" s="18">
        <v>0</v>
      </c>
      <c r="L101" s="18">
        <v>2079.15</v>
      </c>
      <c r="M101" s="18">
        <v>577.59</v>
      </c>
      <c r="N101" s="18" t="s">
        <v>1063</v>
      </c>
      <c r="O101" s="18">
        <v>53453.935451466081</v>
      </c>
      <c r="P101" s="18">
        <v>87909523.7135773</v>
      </c>
      <c r="Q101" s="18" t="s">
        <v>1066</v>
      </c>
    </row>
    <row r="102" spans="1:17" x14ac:dyDescent="0.2">
      <c r="A102" s="18">
        <v>101</v>
      </c>
      <c r="B102" s="18">
        <v>101</v>
      </c>
      <c r="C102" s="18">
        <v>101</v>
      </c>
      <c r="D102" s="18">
        <v>335</v>
      </c>
      <c r="E102" s="18" t="s">
        <v>950</v>
      </c>
      <c r="F102" s="18" t="s">
        <v>1088</v>
      </c>
      <c r="G102" s="18">
        <v>3954.65</v>
      </c>
      <c r="H102" s="18">
        <v>7375.82</v>
      </c>
      <c r="I102" s="18">
        <v>18439.560000000001</v>
      </c>
      <c r="J102" s="18">
        <v>184395.58</v>
      </c>
      <c r="K102" s="18">
        <v>18.03</v>
      </c>
      <c r="L102" s="18">
        <v>11348.5</v>
      </c>
      <c r="M102" s="18">
        <v>3152.61</v>
      </c>
      <c r="N102" s="18" t="s">
        <v>1063</v>
      </c>
      <c r="O102" s="18">
        <v>191138.9476645058</v>
      </c>
      <c r="P102" s="18">
        <v>574981177.67961395</v>
      </c>
      <c r="Q102" s="18" t="s">
        <v>1064</v>
      </c>
    </row>
    <row r="103" spans="1:17" x14ac:dyDescent="0.2">
      <c r="A103" s="18">
        <v>102</v>
      </c>
      <c r="B103" s="18">
        <v>102</v>
      </c>
      <c r="C103" s="18">
        <v>102</v>
      </c>
      <c r="D103" s="18">
        <v>341</v>
      </c>
      <c r="E103" s="18" t="s">
        <v>977</v>
      </c>
      <c r="F103" s="18" t="s">
        <v>979</v>
      </c>
      <c r="G103" s="18">
        <v>1688.39</v>
      </c>
      <c r="H103" s="18">
        <v>1719.64</v>
      </c>
      <c r="I103" s="18">
        <v>4299.09</v>
      </c>
      <c r="J103" s="18">
        <v>42990.93</v>
      </c>
      <c r="K103" s="18">
        <v>0</v>
      </c>
      <c r="L103" s="18">
        <v>3408.03</v>
      </c>
      <c r="M103" s="18">
        <v>946.75</v>
      </c>
      <c r="N103" s="18" t="s">
        <v>1063</v>
      </c>
      <c r="O103" s="18">
        <v>71172.190678959247</v>
      </c>
      <c r="P103" s="18">
        <v>161514553.78558201</v>
      </c>
      <c r="Q103" s="18" t="s">
        <v>1087</v>
      </c>
    </row>
    <row r="104" spans="1:17" x14ac:dyDescent="0.2">
      <c r="A104" s="18">
        <v>103</v>
      </c>
      <c r="B104" s="18">
        <v>103</v>
      </c>
      <c r="C104" s="18">
        <v>103</v>
      </c>
      <c r="D104" s="18">
        <v>342</v>
      </c>
      <c r="E104" s="18" t="s">
        <v>980</v>
      </c>
      <c r="F104" s="18" t="s">
        <v>982</v>
      </c>
      <c r="G104" s="18">
        <v>2554.0300000000002</v>
      </c>
      <c r="H104" s="18">
        <v>4497.76</v>
      </c>
      <c r="I104" s="18">
        <v>11244.4</v>
      </c>
      <c r="J104" s="18">
        <v>112444.05</v>
      </c>
      <c r="K104" s="18">
        <v>37.76</v>
      </c>
      <c r="L104" s="18">
        <v>7089.55</v>
      </c>
      <c r="M104" s="18">
        <v>1969.48</v>
      </c>
      <c r="N104" s="18" t="s">
        <v>1063</v>
      </c>
      <c r="O104" s="18">
        <v>128733.3777401204</v>
      </c>
      <c r="P104" s="18">
        <v>417980324.41950309</v>
      </c>
      <c r="Q104" s="18" t="s">
        <v>1064</v>
      </c>
    </row>
    <row r="105" spans="1:17" x14ac:dyDescent="0.2">
      <c r="A105" s="18">
        <v>104</v>
      </c>
      <c r="B105" s="18">
        <v>104</v>
      </c>
      <c r="C105" s="18">
        <v>104</v>
      </c>
      <c r="D105" s="18">
        <v>344</v>
      </c>
      <c r="E105" s="18" t="s">
        <v>986</v>
      </c>
      <c r="F105" s="18" t="s">
        <v>988</v>
      </c>
      <c r="G105" s="18">
        <v>1035.25</v>
      </c>
      <c r="H105" s="18">
        <v>658.64</v>
      </c>
      <c r="I105" s="18">
        <v>1646.6</v>
      </c>
      <c r="J105" s="18">
        <v>16465.990000000002</v>
      </c>
      <c r="K105" s="18">
        <v>0</v>
      </c>
      <c r="L105" s="18">
        <v>1693.89</v>
      </c>
      <c r="M105" s="18">
        <v>470.56</v>
      </c>
      <c r="N105" s="18" t="s">
        <v>1063</v>
      </c>
      <c r="O105" s="18">
        <v>64832.776112837309</v>
      </c>
      <c r="P105" s="18">
        <v>93242739.81477727</v>
      </c>
      <c r="Q105" s="18" t="s">
        <v>1073</v>
      </c>
    </row>
    <row r="106" spans="1:17" x14ac:dyDescent="0.2">
      <c r="A106" s="18">
        <v>105</v>
      </c>
      <c r="B106" s="18">
        <v>105</v>
      </c>
      <c r="C106" s="18">
        <v>105</v>
      </c>
      <c r="D106" s="18">
        <v>349</v>
      </c>
      <c r="E106" s="18" t="s">
        <v>1010</v>
      </c>
      <c r="F106" s="18" t="s">
        <v>1012</v>
      </c>
      <c r="G106" s="18">
        <v>2342.29</v>
      </c>
      <c r="H106" s="18">
        <v>2442.0700000000002</v>
      </c>
      <c r="I106" s="18">
        <v>6105.18</v>
      </c>
      <c r="J106" s="18">
        <v>61051.8</v>
      </c>
      <c r="K106" s="18">
        <v>0</v>
      </c>
      <c r="L106" s="18">
        <v>4784.3599999999997</v>
      </c>
      <c r="M106" s="18">
        <v>1329.1</v>
      </c>
      <c r="N106" s="18" t="s">
        <v>1063</v>
      </c>
      <c r="O106" s="18">
        <v>88668.816313281248</v>
      </c>
      <c r="P106" s="18">
        <v>229216802.2097463</v>
      </c>
      <c r="Q106" s="18" t="s">
        <v>1069</v>
      </c>
    </row>
    <row r="107" spans="1:17" x14ac:dyDescent="0.2">
      <c r="A107" s="18">
        <v>106</v>
      </c>
      <c r="B107" s="18">
        <v>106</v>
      </c>
      <c r="C107" s="18">
        <v>106</v>
      </c>
      <c r="D107" s="18">
        <v>350</v>
      </c>
      <c r="E107" s="18" t="s">
        <v>1013</v>
      </c>
      <c r="F107" s="18" t="s">
        <v>1015</v>
      </c>
      <c r="G107" s="18">
        <v>1795.36</v>
      </c>
      <c r="H107" s="18">
        <v>1658.72</v>
      </c>
      <c r="I107" s="18">
        <v>4146.8100000000004</v>
      </c>
      <c r="J107" s="18">
        <v>41468.06</v>
      </c>
      <c r="K107" s="18">
        <v>0</v>
      </c>
      <c r="L107" s="18">
        <v>3454.08</v>
      </c>
      <c r="M107" s="18">
        <v>959.54</v>
      </c>
      <c r="N107" s="18" t="s">
        <v>1063</v>
      </c>
      <c r="O107" s="18">
        <v>62745.105080141017</v>
      </c>
      <c r="P107" s="18">
        <v>153180742.0254544</v>
      </c>
      <c r="Q107" s="18" t="s">
        <v>1074</v>
      </c>
    </row>
    <row r="108" spans="1:17" x14ac:dyDescent="0.2">
      <c r="A108" s="18">
        <v>107</v>
      </c>
      <c r="B108" s="18">
        <v>107</v>
      </c>
      <c r="C108" s="18">
        <v>107</v>
      </c>
      <c r="D108" s="18">
        <v>352</v>
      </c>
      <c r="E108" s="18" t="s">
        <v>1019</v>
      </c>
      <c r="F108" s="18" t="s">
        <v>1021</v>
      </c>
      <c r="G108" s="18">
        <v>2627.78</v>
      </c>
      <c r="H108" s="18">
        <v>6446.23</v>
      </c>
      <c r="I108" s="18">
        <v>16115.57</v>
      </c>
      <c r="J108" s="18">
        <v>161155.74</v>
      </c>
      <c r="K108" s="18">
        <v>10.89</v>
      </c>
      <c r="L108" s="18">
        <v>9084.9</v>
      </c>
      <c r="M108" s="18">
        <v>2523.79</v>
      </c>
      <c r="N108" s="18" t="s">
        <v>1063</v>
      </c>
      <c r="O108" s="18">
        <v>197812.59682750449</v>
      </c>
      <c r="P108" s="18">
        <v>479619085.20062172</v>
      </c>
      <c r="Q108" s="18" t="s">
        <v>1086</v>
      </c>
    </row>
    <row r="109" spans="1:17" x14ac:dyDescent="0.2">
      <c r="A109" s="18">
        <v>108</v>
      </c>
      <c r="B109" s="18">
        <v>108</v>
      </c>
      <c r="C109" s="18">
        <v>108</v>
      </c>
      <c r="D109" s="18">
        <v>353</v>
      </c>
      <c r="E109" s="18" t="s">
        <v>1022</v>
      </c>
      <c r="F109" s="18" t="s">
        <v>1024</v>
      </c>
      <c r="G109" s="18">
        <v>3034.95</v>
      </c>
      <c r="H109" s="18">
        <v>4826.2700000000004</v>
      </c>
      <c r="I109" s="18">
        <v>12065.68</v>
      </c>
      <c r="J109" s="18">
        <v>120656.84</v>
      </c>
      <c r="K109" s="18">
        <v>0</v>
      </c>
      <c r="L109" s="18">
        <v>7861.22</v>
      </c>
      <c r="M109" s="18">
        <v>2183.85</v>
      </c>
      <c r="N109" s="18" t="s">
        <v>1063</v>
      </c>
      <c r="O109" s="18">
        <v>98128.312583847932</v>
      </c>
      <c r="P109" s="18">
        <v>368756174.89702278</v>
      </c>
      <c r="Q109" s="18" t="s">
        <v>1086</v>
      </c>
    </row>
    <row r="110" spans="1:17" x14ac:dyDescent="0.2">
      <c r="A110" s="18">
        <v>109</v>
      </c>
      <c r="B110" s="18">
        <v>109</v>
      </c>
      <c r="C110" s="18">
        <v>109</v>
      </c>
      <c r="D110" s="18">
        <v>354</v>
      </c>
      <c r="E110" s="18" t="s">
        <v>1025</v>
      </c>
      <c r="F110" s="18" t="s">
        <v>1089</v>
      </c>
      <c r="G110" s="18">
        <v>2137.7600000000002</v>
      </c>
      <c r="H110" s="18">
        <v>5074.55</v>
      </c>
      <c r="I110" s="18">
        <v>12686.38</v>
      </c>
      <c r="J110" s="18">
        <v>126863.84</v>
      </c>
      <c r="K110" s="18">
        <v>0</v>
      </c>
      <c r="L110" s="18">
        <v>7212.31</v>
      </c>
      <c r="M110" s="18">
        <v>2003.58</v>
      </c>
      <c r="N110" s="18" t="s">
        <v>1063</v>
      </c>
      <c r="O110" s="18">
        <v>148939.53298875951</v>
      </c>
      <c r="P110" s="18">
        <v>377312766.23159218</v>
      </c>
      <c r="Q110" s="18" t="s">
        <v>1064</v>
      </c>
    </row>
    <row r="111" spans="1:17" x14ac:dyDescent="0.2">
      <c r="A111" s="18">
        <v>110</v>
      </c>
      <c r="B111" s="18">
        <v>110</v>
      </c>
      <c r="C111" s="18">
        <v>110</v>
      </c>
      <c r="D111" s="18">
        <v>355</v>
      </c>
      <c r="E111" s="18" t="s">
        <v>1028</v>
      </c>
      <c r="F111" s="18" t="s">
        <v>1030</v>
      </c>
      <c r="G111" s="18">
        <v>1654.68</v>
      </c>
      <c r="H111" s="18">
        <v>2375.25</v>
      </c>
      <c r="I111" s="18">
        <v>5938.14</v>
      </c>
      <c r="J111" s="18">
        <v>59381.35</v>
      </c>
      <c r="K111" s="18">
        <v>0</v>
      </c>
      <c r="L111" s="18">
        <v>4029.93</v>
      </c>
      <c r="M111" s="18">
        <v>1119.51</v>
      </c>
      <c r="N111" s="18" t="s">
        <v>1063</v>
      </c>
      <c r="O111" s="18">
        <v>88300.805370605711</v>
      </c>
      <c r="P111" s="18">
        <v>191657137.16472331</v>
      </c>
      <c r="Q111" s="18" t="s">
        <v>1090</v>
      </c>
    </row>
    <row r="112" spans="1:17" x14ac:dyDescent="0.2">
      <c r="A112" s="18">
        <v>111</v>
      </c>
      <c r="B112" s="18">
        <v>111</v>
      </c>
      <c r="C112" s="18">
        <v>111</v>
      </c>
      <c r="D112" s="18">
        <v>23</v>
      </c>
      <c r="E112" s="18" t="s">
        <v>830</v>
      </c>
      <c r="F112" s="18" t="s">
        <v>832</v>
      </c>
      <c r="G112" s="18">
        <v>1225.42</v>
      </c>
      <c r="H112" s="18">
        <v>2536.08</v>
      </c>
      <c r="I112" s="18">
        <v>6340.19</v>
      </c>
      <c r="J112" s="18">
        <v>63401.94</v>
      </c>
      <c r="K112" s="18">
        <v>2.6</v>
      </c>
      <c r="L112" s="18">
        <v>3764.1</v>
      </c>
      <c r="M112" s="18">
        <v>1045.67</v>
      </c>
      <c r="N112" s="18" t="s">
        <v>1063</v>
      </c>
      <c r="O112" s="18">
        <v>92821.771160893913</v>
      </c>
      <c r="P112" s="18">
        <v>278860605.4753086</v>
      </c>
      <c r="Q112" s="18" t="s">
        <v>1065</v>
      </c>
    </row>
    <row r="113" spans="1:17" x14ac:dyDescent="0.2">
      <c r="A113" s="18">
        <v>112</v>
      </c>
      <c r="B113" s="18">
        <v>112</v>
      </c>
      <c r="C113" s="18">
        <v>112</v>
      </c>
      <c r="D113" s="18">
        <v>27</v>
      </c>
      <c r="E113" s="18" t="s">
        <v>59</v>
      </c>
      <c r="F113" s="18" t="s">
        <v>61</v>
      </c>
      <c r="G113" s="18">
        <v>1811.66</v>
      </c>
      <c r="H113" s="18">
        <v>1293.94</v>
      </c>
      <c r="I113" s="18">
        <v>3234.85</v>
      </c>
      <c r="J113" s="18">
        <v>32348.46</v>
      </c>
      <c r="K113" s="18">
        <v>0.37</v>
      </c>
      <c r="L113" s="18">
        <v>3105.97</v>
      </c>
      <c r="M113" s="18">
        <v>862.84</v>
      </c>
      <c r="N113" s="18" t="s">
        <v>1063</v>
      </c>
      <c r="O113" s="18">
        <v>62723.493169761699</v>
      </c>
      <c r="P113" s="18">
        <v>126146940.2263525</v>
      </c>
      <c r="Q113" s="18" t="s">
        <v>1064</v>
      </c>
    </row>
    <row r="114" spans="1:17" x14ac:dyDescent="0.2">
      <c r="A114" s="18">
        <v>113</v>
      </c>
      <c r="B114" s="18">
        <v>113</v>
      </c>
      <c r="C114" s="18">
        <v>113</v>
      </c>
      <c r="D114" s="18">
        <v>32</v>
      </c>
      <c r="E114" s="18" t="s">
        <v>95</v>
      </c>
      <c r="F114" s="18" t="s">
        <v>97</v>
      </c>
      <c r="G114" s="18">
        <v>2551.94</v>
      </c>
      <c r="H114" s="18">
        <v>1192.95</v>
      </c>
      <c r="I114" s="18">
        <v>2982.38</v>
      </c>
      <c r="J114" s="18">
        <v>29823.75</v>
      </c>
      <c r="K114" s="18">
        <v>0</v>
      </c>
      <c r="L114" s="18">
        <v>3744.89</v>
      </c>
      <c r="M114" s="18">
        <v>1040.33</v>
      </c>
      <c r="N114" s="18" t="s">
        <v>1063</v>
      </c>
      <c r="O114" s="18">
        <v>63107.606544931899</v>
      </c>
      <c r="P114" s="18">
        <v>134316632.70786661</v>
      </c>
      <c r="Q114" s="18" t="s">
        <v>1066</v>
      </c>
    </row>
    <row r="115" spans="1:17" x14ac:dyDescent="0.2">
      <c r="A115" s="18">
        <v>114</v>
      </c>
      <c r="B115" s="18">
        <v>114</v>
      </c>
      <c r="C115" s="18">
        <v>114</v>
      </c>
      <c r="D115" s="18">
        <v>33</v>
      </c>
      <c r="E115" s="18" t="s">
        <v>149</v>
      </c>
      <c r="F115" s="18" t="s">
        <v>151</v>
      </c>
      <c r="G115" s="18">
        <v>4277.7700000000004</v>
      </c>
      <c r="H115" s="18">
        <v>962.36</v>
      </c>
      <c r="I115" s="18">
        <v>2405.9</v>
      </c>
      <c r="J115" s="18">
        <v>24058.98</v>
      </c>
      <c r="K115" s="18">
        <v>0</v>
      </c>
      <c r="L115" s="18">
        <v>5240.13</v>
      </c>
      <c r="M115" s="18">
        <v>1455.71</v>
      </c>
      <c r="N115" s="18" t="s">
        <v>1063</v>
      </c>
      <c r="O115" s="18">
        <v>94016.757443485607</v>
      </c>
      <c r="P115" s="18">
        <v>341127797.01806682</v>
      </c>
      <c r="Q115" s="18" t="s">
        <v>1068</v>
      </c>
    </row>
    <row r="116" spans="1:17" x14ac:dyDescent="0.2">
      <c r="A116" s="18">
        <v>115</v>
      </c>
      <c r="B116" s="18">
        <v>115</v>
      </c>
      <c r="C116" s="18">
        <v>115</v>
      </c>
      <c r="D116" s="18">
        <v>43</v>
      </c>
      <c r="E116" s="18" t="s">
        <v>362</v>
      </c>
      <c r="F116" s="18" t="s">
        <v>364</v>
      </c>
      <c r="G116" s="18">
        <v>442.59</v>
      </c>
      <c r="H116" s="18">
        <v>84.11</v>
      </c>
      <c r="I116" s="18">
        <v>210.28</v>
      </c>
      <c r="J116" s="18">
        <v>2102.7800000000002</v>
      </c>
      <c r="K116" s="18">
        <v>0</v>
      </c>
      <c r="L116" s="18">
        <v>526.70000000000005</v>
      </c>
      <c r="M116" s="18">
        <v>146.32</v>
      </c>
      <c r="N116" s="18" t="s">
        <v>1063</v>
      </c>
      <c r="O116" s="18">
        <v>18894.21562852729</v>
      </c>
      <c r="P116" s="18">
        <v>13173574.59824989</v>
      </c>
      <c r="Q116" s="18" t="s">
        <v>1075</v>
      </c>
    </row>
    <row r="117" spans="1:17" x14ac:dyDescent="0.2">
      <c r="A117" s="18">
        <v>116</v>
      </c>
      <c r="B117" s="18">
        <v>116</v>
      </c>
      <c r="C117" s="18">
        <v>116</v>
      </c>
      <c r="D117" s="18">
        <v>55</v>
      </c>
      <c r="E117" s="18" t="s">
        <v>131</v>
      </c>
      <c r="F117" s="18" t="s">
        <v>133</v>
      </c>
      <c r="G117" s="18">
        <v>858.63</v>
      </c>
      <c r="H117" s="18">
        <v>1657.56</v>
      </c>
      <c r="I117" s="18">
        <v>4143.8999999999996</v>
      </c>
      <c r="J117" s="18">
        <v>41438.97</v>
      </c>
      <c r="K117" s="18">
        <v>0</v>
      </c>
      <c r="L117" s="18">
        <v>2516.19</v>
      </c>
      <c r="M117" s="18">
        <v>699</v>
      </c>
      <c r="N117" s="18" t="s">
        <v>1063</v>
      </c>
      <c r="O117" s="18">
        <v>59007.263112762499</v>
      </c>
      <c r="P117" s="18">
        <v>135701358.7217432</v>
      </c>
      <c r="Q117" s="18" t="s">
        <v>1066</v>
      </c>
    </row>
    <row r="118" spans="1:17" x14ac:dyDescent="0.2">
      <c r="A118" s="18">
        <v>117</v>
      </c>
      <c r="B118" s="18">
        <v>117</v>
      </c>
      <c r="C118" s="18">
        <v>117</v>
      </c>
      <c r="D118" s="18">
        <v>98</v>
      </c>
      <c r="E118" s="18" t="s">
        <v>260</v>
      </c>
      <c r="F118" s="18" t="s">
        <v>262</v>
      </c>
      <c r="G118" s="18">
        <v>1086.8399999999999</v>
      </c>
      <c r="H118" s="18">
        <v>260.29000000000002</v>
      </c>
      <c r="I118" s="18">
        <v>650.73</v>
      </c>
      <c r="J118" s="18">
        <v>6507.34</v>
      </c>
      <c r="K118" s="18">
        <v>0</v>
      </c>
      <c r="L118" s="18">
        <v>1347.13</v>
      </c>
      <c r="M118" s="18">
        <v>374.23</v>
      </c>
      <c r="N118" s="18" t="s">
        <v>1063</v>
      </c>
      <c r="O118" s="18">
        <v>43660.844534772797</v>
      </c>
      <c r="P118" s="18">
        <v>42839844.743601248</v>
      </c>
      <c r="Q118" s="18" t="s">
        <v>1068</v>
      </c>
    </row>
    <row r="119" spans="1:17" x14ac:dyDescent="0.2">
      <c r="A119" s="18">
        <v>118</v>
      </c>
      <c r="B119" s="18">
        <v>118</v>
      </c>
      <c r="C119" s="18">
        <v>118</v>
      </c>
      <c r="D119" s="18">
        <v>222</v>
      </c>
      <c r="E119" s="18" t="s">
        <v>623</v>
      </c>
      <c r="F119" s="18" t="s">
        <v>625</v>
      </c>
      <c r="G119" s="18">
        <v>5012.58</v>
      </c>
      <c r="H119" s="18">
        <v>92.72</v>
      </c>
      <c r="I119" s="18">
        <v>231.8</v>
      </c>
      <c r="J119" s="18">
        <v>2317.96</v>
      </c>
      <c r="K119" s="18">
        <v>0</v>
      </c>
      <c r="L119" s="18">
        <v>5105.3</v>
      </c>
      <c r="M119" s="18">
        <v>1418.25</v>
      </c>
      <c r="N119" s="18" t="s">
        <v>1063</v>
      </c>
      <c r="O119" s="18">
        <v>49851.723941032848</v>
      </c>
      <c r="P119" s="18">
        <v>88839583.134338886</v>
      </c>
      <c r="Q119" s="18" t="s">
        <v>1081</v>
      </c>
    </row>
    <row r="120" spans="1:17" x14ac:dyDescent="0.2">
      <c r="A120" s="18">
        <v>119</v>
      </c>
      <c r="B120" s="18">
        <v>119</v>
      </c>
      <c r="C120" s="18">
        <v>119</v>
      </c>
      <c r="D120" s="18">
        <v>223</v>
      </c>
      <c r="E120" s="18" t="s">
        <v>626</v>
      </c>
      <c r="F120" s="18" t="s">
        <v>628</v>
      </c>
      <c r="G120" s="18">
        <v>1451.44</v>
      </c>
      <c r="H120" s="18">
        <v>497.17</v>
      </c>
      <c r="I120" s="18">
        <v>1242.94</v>
      </c>
      <c r="J120" s="18">
        <v>12429.36</v>
      </c>
      <c r="K120" s="18">
        <v>0</v>
      </c>
      <c r="L120" s="18">
        <v>1948.61</v>
      </c>
      <c r="M120" s="18">
        <v>541.32000000000005</v>
      </c>
      <c r="N120" s="18" t="s">
        <v>1063</v>
      </c>
      <c r="O120" s="18">
        <v>38495.802790078218</v>
      </c>
      <c r="P120" s="18">
        <v>55877219.574154787</v>
      </c>
      <c r="Q120" s="18" t="s">
        <v>1082</v>
      </c>
    </row>
    <row r="121" spans="1:17" x14ac:dyDescent="0.2">
      <c r="A121" s="18">
        <v>120</v>
      </c>
      <c r="B121" s="18">
        <v>120</v>
      </c>
      <c r="C121" s="18">
        <v>120</v>
      </c>
      <c r="D121" s="18">
        <v>236</v>
      </c>
      <c r="E121" s="18" t="s">
        <v>653</v>
      </c>
      <c r="F121" s="18" t="s">
        <v>655</v>
      </c>
      <c r="G121" s="18">
        <v>784</v>
      </c>
      <c r="H121" s="18">
        <v>235.26</v>
      </c>
      <c r="I121" s="18">
        <v>588.15</v>
      </c>
      <c r="J121" s="18">
        <v>5881.47</v>
      </c>
      <c r="K121" s="18">
        <v>0</v>
      </c>
      <c r="L121" s="18">
        <v>1019.26</v>
      </c>
      <c r="M121" s="18">
        <v>283.14999999999998</v>
      </c>
      <c r="N121" s="18" t="s">
        <v>1063</v>
      </c>
      <c r="O121" s="18">
        <v>35028.670521253713</v>
      </c>
      <c r="P121" s="18">
        <v>33916239.756012224</v>
      </c>
      <c r="Q121" s="18" t="s">
        <v>1081</v>
      </c>
    </row>
    <row r="122" spans="1:17" x14ac:dyDescent="0.2">
      <c r="A122" s="18">
        <v>121</v>
      </c>
      <c r="B122" s="18">
        <v>121</v>
      </c>
      <c r="C122" s="18">
        <v>121</v>
      </c>
      <c r="D122" s="18">
        <v>241</v>
      </c>
      <c r="E122" s="18" t="s">
        <v>794</v>
      </c>
      <c r="F122" s="18" t="s">
        <v>796</v>
      </c>
      <c r="G122" s="18">
        <v>838.69</v>
      </c>
      <c r="H122" s="18">
        <v>1041.8399999999999</v>
      </c>
      <c r="I122" s="18">
        <v>2604.61</v>
      </c>
      <c r="J122" s="18">
        <v>26046.1</v>
      </c>
      <c r="K122" s="18">
        <v>0</v>
      </c>
      <c r="L122" s="18">
        <v>1880.53</v>
      </c>
      <c r="M122" s="18">
        <v>522.41</v>
      </c>
      <c r="N122" s="18" t="s">
        <v>1063</v>
      </c>
      <c r="O122" s="18">
        <v>47790.887366110423</v>
      </c>
      <c r="P122" s="18">
        <v>83321214.742675737</v>
      </c>
      <c r="Q122" s="18" t="s">
        <v>1075</v>
      </c>
    </row>
    <row r="123" spans="1:17" x14ac:dyDescent="0.2">
      <c r="A123" s="18">
        <v>122</v>
      </c>
      <c r="B123" s="18">
        <v>122</v>
      </c>
      <c r="C123" s="18">
        <v>122</v>
      </c>
      <c r="D123" s="18">
        <v>286</v>
      </c>
      <c r="E123" s="18" t="s">
        <v>824</v>
      </c>
      <c r="F123" s="18" t="s">
        <v>826</v>
      </c>
      <c r="G123" s="18">
        <v>2489.6</v>
      </c>
      <c r="H123" s="18">
        <v>1037.98</v>
      </c>
      <c r="I123" s="18">
        <v>2594.94</v>
      </c>
      <c r="J123" s="18">
        <v>25949.43</v>
      </c>
      <c r="K123" s="18">
        <v>0</v>
      </c>
      <c r="L123" s="18">
        <v>3527.58</v>
      </c>
      <c r="M123" s="18">
        <v>979.96</v>
      </c>
      <c r="N123" s="18" t="s">
        <v>1063</v>
      </c>
      <c r="O123" s="18">
        <v>53339.602610172144</v>
      </c>
      <c r="P123" s="18">
        <v>107208314.10770281</v>
      </c>
      <c r="Q123" s="18" t="s">
        <v>1082</v>
      </c>
    </row>
    <row r="124" spans="1:17" x14ac:dyDescent="0.2">
      <c r="A124" s="18">
        <v>123</v>
      </c>
      <c r="B124" s="18">
        <v>123</v>
      </c>
      <c r="C124" s="18">
        <v>123</v>
      </c>
      <c r="D124" s="18">
        <v>303</v>
      </c>
      <c r="E124" s="18" t="s">
        <v>866</v>
      </c>
      <c r="F124" s="18" t="s">
        <v>868</v>
      </c>
      <c r="G124" s="18">
        <v>1339.72</v>
      </c>
      <c r="H124" s="18">
        <v>1042.31</v>
      </c>
      <c r="I124" s="18">
        <v>2605.77</v>
      </c>
      <c r="J124" s="18">
        <v>26057.69</v>
      </c>
      <c r="K124" s="18">
        <v>0</v>
      </c>
      <c r="L124" s="18">
        <v>2382.0300000000002</v>
      </c>
      <c r="M124" s="18">
        <v>661.73</v>
      </c>
      <c r="N124" s="18" t="s">
        <v>1063</v>
      </c>
      <c r="O124" s="18">
        <v>64740.497289338076</v>
      </c>
      <c r="P124" s="18">
        <v>104595681.2845163</v>
      </c>
      <c r="Q124" s="18" t="s">
        <v>1085</v>
      </c>
    </row>
    <row r="125" spans="1:17" x14ac:dyDescent="0.2">
      <c r="A125" s="18">
        <v>124</v>
      </c>
      <c r="B125" s="18">
        <v>124</v>
      </c>
      <c r="C125" s="18">
        <v>124</v>
      </c>
      <c r="D125" s="18">
        <v>304</v>
      </c>
      <c r="E125" s="18" t="s">
        <v>869</v>
      </c>
      <c r="F125" s="18" t="s">
        <v>871</v>
      </c>
      <c r="G125" s="18">
        <v>1465.25</v>
      </c>
      <c r="H125" s="18">
        <v>3906.18</v>
      </c>
      <c r="I125" s="18">
        <v>9765.4500000000007</v>
      </c>
      <c r="J125" s="18">
        <v>97654.45</v>
      </c>
      <c r="K125" s="18">
        <v>0</v>
      </c>
      <c r="L125" s="18">
        <v>5371.43</v>
      </c>
      <c r="M125" s="18">
        <v>1492.18</v>
      </c>
      <c r="N125" s="18" t="s">
        <v>1063</v>
      </c>
      <c r="O125" s="18">
        <v>95575.015055399446</v>
      </c>
      <c r="P125" s="18">
        <v>285861735.38801599</v>
      </c>
      <c r="Q125" s="18" t="s">
        <v>1079</v>
      </c>
    </row>
    <row r="126" spans="1:17" x14ac:dyDescent="0.2">
      <c r="A126" s="18">
        <v>125</v>
      </c>
      <c r="B126" s="18">
        <v>125</v>
      </c>
      <c r="C126" s="18">
        <v>125</v>
      </c>
      <c r="D126" s="18">
        <v>305</v>
      </c>
      <c r="E126" s="18" t="s">
        <v>872</v>
      </c>
      <c r="F126" s="18" t="s">
        <v>874</v>
      </c>
      <c r="G126" s="18">
        <v>930.23</v>
      </c>
      <c r="H126" s="18">
        <v>1005.84</v>
      </c>
      <c r="I126" s="18">
        <v>2514.6</v>
      </c>
      <c r="J126" s="18">
        <v>25145.96</v>
      </c>
      <c r="K126" s="18">
        <v>0</v>
      </c>
      <c r="L126" s="18">
        <v>1936.07</v>
      </c>
      <c r="M126" s="18">
        <v>537.84</v>
      </c>
      <c r="N126" s="18" t="s">
        <v>1063</v>
      </c>
      <c r="O126" s="18">
        <v>59441.153505983893</v>
      </c>
      <c r="P126" s="18">
        <v>119366672.6264146</v>
      </c>
      <c r="Q126" s="18" t="s">
        <v>1082</v>
      </c>
    </row>
    <row r="127" spans="1:17" x14ac:dyDescent="0.2">
      <c r="A127" s="18">
        <v>126</v>
      </c>
      <c r="B127" s="18">
        <v>126</v>
      </c>
      <c r="C127" s="18">
        <v>126</v>
      </c>
      <c r="D127" s="18">
        <v>345</v>
      </c>
      <c r="E127" s="18" t="s">
        <v>989</v>
      </c>
      <c r="F127" s="18" t="s">
        <v>991</v>
      </c>
      <c r="G127" s="18">
        <v>4002.01</v>
      </c>
      <c r="H127" s="18">
        <v>1765.04</v>
      </c>
      <c r="I127" s="18">
        <v>4412.59</v>
      </c>
      <c r="J127" s="18">
        <v>44125.88</v>
      </c>
      <c r="K127" s="18">
        <v>0</v>
      </c>
      <c r="L127" s="18">
        <v>5767.05</v>
      </c>
      <c r="M127" s="18">
        <v>1602.09</v>
      </c>
      <c r="N127" s="18" t="s">
        <v>1063</v>
      </c>
      <c r="O127" s="18">
        <v>78613.709590299564</v>
      </c>
      <c r="P127" s="18">
        <v>185518112.99889341</v>
      </c>
      <c r="Q127" s="18" t="s">
        <v>1080</v>
      </c>
    </row>
    <row r="128" spans="1:17" x14ac:dyDescent="0.2">
      <c r="A128" s="18">
        <v>127</v>
      </c>
      <c r="B128" s="18">
        <v>127</v>
      </c>
      <c r="C128" s="18">
        <v>127</v>
      </c>
      <c r="D128" s="18">
        <v>346</v>
      </c>
      <c r="E128" s="18" t="s">
        <v>992</v>
      </c>
      <c r="F128" s="18" t="s">
        <v>994</v>
      </c>
      <c r="G128" s="18">
        <v>2027.04</v>
      </c>
      <c r="H128" s="18">
        <v>4044.37</v>
      </c>
      <c r="I128" s="18">
        <v>10110.93</v>
      </c>
      <c r="J128" s="18">
        <v>101109.34</v>
      </c>
      <c r="K128" s="18">
        <v>0</v>
      </c>
      <c r="L128" s="18">
        <v>6071.41</v>
      </c>
      <c r="M128" s="18">
        <v>1686.64</v>
      </c>
      <c r="N128" s="18" t="s">
        <v>1063</v>
      </c>
      <c r="O128" s="18">
        <v>101453.10351676551</v>
      </c>
      <c r="P128" s="18">
        <v>285189738.93290973</v>
      </c>
      <c r="Q128" s="18" t="s">
        <v>1064</v>
      </c>
    </row>
    <row r="129" spans="1:17" x14ac:dyDescent="0.2">
      <c r="A129" s="18">
        <v>128</v>
      </c>
      <c r="B129" s="18">
        <v>128</v>
      </c>
      <c r="C129" s="18">
        <v>145</v>
      </c>
      <c r="D129" s="18">
        <v>4</v>
      </c>
      <c r="E129" s="18" t="s">
        <v>1091</v>
      </c>
      <c r="F129" s="18" t="s">
        <v>1092</v>
      </c>
      <c r="G129" s="18">
        <v>587.17999999999995</v>
      </c>
      <c r="H129" s="18">
        <v>1665.19</v>
      </c>
      <c r="I129" s="18">
        <v>4162.97</v>
      </c>
      <c r="J129" s="18">
        <v>41629.69</v>
      </c>
      <c r="K129" s="18">
        <v>0</v>
      </c>
      <c r="L129" s="18">
        <v>2252.37</v>
      </c>
      <c r="M129" s="18">
        <v>625.71</v>
      </c>
      <c r="N129" s="18" t="s">
        <v>1063</v>
      </c>
      <c r="O129" s="18">
        <v>64460.646089883143</v>
      </c>
      <c r="P129" s="18">
        <v>111994140.8442727</v>
      </c>
      <c r="Q129" s="18" t="s">
        <v>1086</v>
      </c>
    </row>
    <row r="130" spans="1:17" x14ac:dyDescent="0.2">
      <c r="A130" s="18">
        <v>129</v>
      </c>
      <c r="B130" s="18">
        <v>129</v>
      </c>
      <c r="C130" s="18">
        <v>128</v>
      </c>
      <c r="D130" s="18">
        <v>6</v>
      </c>
      <c r="E130" s="18" t="s">
        <v>29</v>
      </c>
      <c r="F130" s="18" t="s">
        <v>31</v>
      </c>
      <c r="G130" s="18">
        <v>1026.2</v>
      </c>
      <c r="H130" s="18">
        <v>876.57</v>
      </c>
      <c r="I130" s="18">
        <v>2191.42</v>
      </c>
      <c r="J130" s="18">
        <v>21914.18</v>
      </c>
      <c r="K130" s="18">
        <v>0</v>
      </c>
      <c r="L130" s="18">
        <v>1902.77</v>
      </c>
      <c r="M130" s="18">
        <v>528.59</v>
      </c>
      <c r="N130" s="18" t="s">
        <v>1063</v>
      </c>
      <c r="O130" s="18">
        <v>39538.824779205301</v>
      </c>
      <c r="P130" s="18">
        <v>78709041.110672414</v>
      </c>
      <c r="Q130" s="18" t="s">
        <v>1086</v>
      </c>
    </row>
    <row r="131" spans="1:17" x14ac:dyDescent="0.2">
      <c r="A131" s="18">
        <v>130</v>
      </c>
      <c r="B131" s="18">
        <v>130</v>
      </c>
      <c r="C131" s="18">
        <v>129</v>
      </c>
      <c r="D131" s="18">
        <v>34</v>
      </c>
      <c r="E131" s="18" t="s">
        <v>152</v>
      </c>
      <c r="F131" s="18" t="s">
        <v>154</v>
      </c>
      <c r="G131" s="18">
        <v>2682.44</v>
      </c>
      <c r="H131" s="18">
        <v>185.73</v>
      </c>
      <c r="I131" s="18">
        <v>464.33</v>
      </c>
      <c r="J131" s="18">
        <v>4643.29</v>
      </c>
      <c r="K131" s="18">
        <v>0</v>
      </c>
      <c r="L131" s="18">
        <v>2868.17</v>
      </c>
      <c r="M131" s="18">
        <v>796.78</v>
      </c>
      <c r="N131" s="18" t="s">
        <v>1063</v>
      </c>
      <c r="O131" s="18">
        <v>60204.012908234319</v>
      </c>
      <c r="P131" s="18">
        <v>101529831.1351065</v>
      </c>
      <c r="Q131" s="18" t="s">
        <v>1073</v>
      </c>
    </row>
    <row r="132" spans="1:17" x14ac:dyDescent="0.2">
      <c r="A132" s="18">
        <v>131</v>
      </c>
      <c r="B132" s="18">
        <v>131</v>
      </c>
      <c r="C132" s="18">
        <v>130</v>
      </c>
      <c r="D132" s="18">
        <v>35</v>
      </c>
      <c r="E132" s="18" t="s">
        <v>155</v>
      </c>
      <c r="F132" s="18" t="s">
        <v>157</v>
      </c>
      <c r="G132" s="18">
        <v>2983.81</v>
      </c>
      <c r="H132" s="18">
        <v>1205.2</v>
      </c>
      <c r="I132" s="18">
        <v>3013.01</v>
      </c>
      <c r="J132" s="18">
        <v>30130.1</v>
      </c>
      <c r="K132" s="18">
        <v>0</v>
      </c>
      <c r="L132" s="18">
        <v>4189.01</v>
      </c>
      <c r="M132" s="18">
        <v>1163.71</v>
      </c>
      <c r="N132" s="18" t="s">
        <v>1063</v>
      </c>
      <c r="O132" s="18">
        <v>85601.59370548866</v>
      </c>
      <c r="P132" s="18">
        <v>176716688.68530479</v>
      </c>
      <c r="Q132" s="18" t="s">
        <v>1071</v>
      </c>
    </row>
    <row r="133" spans="1:17" x14ac:dyDescent="0.2">
      <c r="A133" s="18">
        <v>132</v>
      </c>
      <c r="B133" s="18">
        <v>132</v>
      </c>
      <c r="C133" s="18">
        <v>131</v>
      </c>
      <c r="D133" s="18">
        <v>37</v>
      </c>
      <c r="E133" s="18" t="s">
        <v>842</v>
      </c>
      <c r="F133" s="18" t="s">
        <v>844</v>
      </c>
      <c r="G133" s="18">
        <v>652.24</v>
      </c>
      <c r="H133" s="18">
        <v>258.68</v>
      </c>
      <c r="I133" s="18">
        <v>646.70000000000005</v>
      </c>
      <c r="J133" s="18">
        <v>6466.97</v>
      </c>
      <c r="K133" s="18">
        <v>0</v>
      </c>
      <c r="L133" s="18">
        <v>910.92</v>
      </c>
      <c r="M133" s="18">
        <v>253.05</v>
      </c>
      <c r="N133" s="18" t="s">
        <v>1063</v>
      </c>
      <c r="O133" s="18">
        <v>49478.369288621419</v>
      </c>
      <c r="P133" s="18">
        <v>76364316.153229892</v>
      </c>
      <c r="Q133" s="18" t="s">
        <v>1076</v>
      </c>
    </row>
    <row r="134" spans="1:17" x14ac:dyDescent="0.2">
      <c r="A134" s="18">
        <v>133</v>
      </c>
      <c r="B134" s="18">
        <v>133</v>
      </c>
      <c r="C134" s="18">
        <v>132</v>
      </c>
      <c r="D134" s="18">
        <v>347</v>
      </c>
      <c r="E134" s="18" t="s">
        <v>995</v>
      </c>
      <c r="F134" s="18" t="s">
        <v>997</v>
      </c>
      <c r="G134" s="18">
        <v>1488.24</v>
      </c>
      <c r="H134" s="18">
        <v>3472</v>
      </c>
      <c r="I134" s="18">
        <v>8680</v>
      </c>
      <c r="J134" s="18">
        <v>86800.01</v>
      </c>
      <c r="K134" s="18">
        <v>10.75</v>
      </c>
      <c r="L134" s="18">
        <v>4970.99</v>
      </c>
      <c r="M134" s="18">
        <v>1380.94</v>
      </c>
      <c r="N134" s="18" t="s">
        <v>1063</v>
      </c>
      <c r="O134" s="18">
        <v>102711.9975056761</v>
      </c>
      <c r="P134" s="18">
        <v>280584841.81703061</v>
      </c>
      <c r="Q134" s="18" t="s">
        <v>1086</v>
      </c>
    </row>
    <row r="135" spans="1:17" x14ac:dyDescent="0.2">
      <c r="A135" s="18">
        <v>134</v>
      </c>
      <c r="B135" s="18">
        <v>134</v>
      </c>
      <c r="C135" s="18">
        <v>133</v>
      </c>
      <c r="D135" s="18">
        <v>5</v>
      </c>
      <c r="E135" s="18" t="s">
        <v>23</v>
      </c>
      <c r="F135" s="18" t="s">
        <v>25</v>
      </c>
      <c r="G135" s="18">
        <v>3476.64</v>
      </c>
      <c r="H135" s="18">
        <v>492.86</v>
      </c>
      <c r="I135" s="18">
        <v>1232.1600000000001</v>
      </c>
      <c r="J135" s="18">
        <v>12321.57</v>
      </c>
      <c r="K135" s="18">
        <v>25.83</v>
      </c>
      <c r="L135" s="18">
        <v>3995.33</v>
      </c>
      <c r="M135" s="18">
        <v>1109.9000000000001</v>
      </c>
      <c r="N135" s="18" t="s">
        <v>1063</v>
      </c>
      <c r="O135" s="18">
        <v>58860.780501809539</v>
      </c>
      <c r="P135" s="18">
        <v>139397334.4603335</v>
      </c>
      <c r="Q135" s="18" t="s">
        <v>1093</v>
      </c>
    </row>
    <row r="136" spans="1:17" x14ac:dyDescent="0.2">
      <c r="A136" s="18">
        <v>135</v>
      </c>
      <c r="B136" s="18">
        <v>135</v>
      </c>
      <c r="C136" s="18">
        <v>134</v>
      </c>
      <c r="D136" s="18">
        <v>75</v>
      </c>
      <c r="E136" s="18" t="s">
        <v>197</v>
      </c>
      <c r="F136" s="18" t="s">
        <v>199</v>
      </c>
      <c r="G136" s="18">
        <v>327.36</v>
      </c>
      <c r="H136" s="18">
        <v>167.67</v>
      </c>
      <c r="I136" s="18">
        <v>419.18</v>
      </c>
      <c r="J136" s="18">
        <v>4191.76</v>
      </c>
      <c r="K136" s="18">
        <v>0</v>
      </c>
      <c r="L136" s="18">
        <v>495.03</v>
      </c>
      <c r="M136" s="18">
        <v>137.52000000000001</v>
      </c>
      <c r="N136" s="18" t="s">
        <v>1063</v>
      </c>
      <c r="O136" s="18">
        <v>25234.14432175018</v>
      </c>
      <c r="P136" s="18">
        <v>24196385.145287029</v>
      </c>
      <c r="Q136" s="18" t="s">
        <v>1094</v>
      </c>
    </row>
    <row r="137" spans="1:17" x14ac:dyDescent="0.2">
      <c r="A137" s="18">
        <v>136</v>
      </c>
      <c r="B137" s="18">
        <v>136</v>
      </c>
      <c r="C137" s="18">
        <v>135</v>
      </c>
      <c r="D137" s="18">
        <v>178</v>
      </c>
      <c r="E137" s="18" t="s">
        <v>515</v>
      </c>
      <c r="F137" s="18" t="s">
        <v>517</v>
      </c>
      <c r="G137" s="18">
        <v>839.5</v>
      </c>
      <c r="H137" s="18">
        <v>3.56</v>
      </c>
      <c r="I137" s="18">
        <v>8.9</v>
      </c>
      <c r="J137" s="18">
        <v>88.99</v>
      </c>
      <c r="K137" s="18">
        <v>0</v>
      </c>
      <c r="L137" s="18">
        <v>843.06</v>
      </c>
      <c r="M137" s="18">
        <v>234.2</v>
      </c>
      <c r="N137" s="18" t="s">
        <v>1063</v>
      </c>
      <c r="O137" s="18">
        <v>17220.3098455242</v>
      </c>
      <c r="P137" s="18">
        <v>14499587.244854501</v>
      </c>
      <c r="Q137" s="18" t="s">
        <v>1077</v>
      </c>
    </row>
    <row r="138" spans="1:17" x14ac:dyDescent="0.2">
      <c r="A138" s="18">
        <v>137</v>
      </c>
      <c r="B138" s="18">
        <v>137</v>
      </c>
      <c r="C138" s="18">
        <v>136</v>
      </c>
      <c r="D138" s="18">
        <v>183</v>
      </c>
      <c r="E138" s="18" t="s">
        <v>518</v>
      </c>
      <c r="F138" s="18" t="s">
        <v>520</v>
      </c>
      <c r="G138" s="18">
        <v>1146.17</v>
      </c>
      <c r="H138" s="18">
        <v>28.66</v>
      </c>
      <c r="I138" s="18">
        <v>71.66</v>
      </c>
      <c r="J138" s="18">
        <v>716.56</v>
      </c>
      <c r="K138" s="18">
        <v>0</v>
      </c>
      <c r="L138" s="18">
        <v>1174.83</v>
      </c>
      <c r="M138" s="18">
        <v>326.37</v>
      </c>
      <c r="N138" s="18" t="s">
        <v>1063</v>
      </c>
      <c r="O138" s="18">
        <v>23166.18723674272</v>
      </c>
      <c r="P138" s="18">
        <v>19888824.637497678</v>
      </c>
      <c r="Q138" s="18" t="s">
        <v>1077</v>
      </c>
    </row>
    <row r="139" spans="1:17" x14ac:dyDescent="0.2">
      <c r="A139" s="18">
        <v>138</v>
      </c>
      <c r="B139" s="18">
        <v>138</v>
      </c>
      <c r="C139" s="18">
        <v>137</v>
      </c>
      <c r="D139" s="18">
        <v>187</v>
      </c>
      <c r="E139" s="18" t="s">
        <v>527</v>
      </c>
      <c r="F139" s="18" t="s">
        <v>529</v>
      </c>
      <c r="G139" s="18">
        <v>977.41</v>
      </c>
      <c r="H139" s="18">
        <v>41.25</v>
      </c>
      <c r="I139" s="18">
        <v>103.13</v>
      </c>
      <c r="J139" s="18">
        <v>1031.29</v>
      </c>
      <c r="K139" s="18">
        <v>31.39</v>
      </c>
      <c r="L139" s="18">
        <v>1050.05</v>
      </c>
      <c r="M139" s="18">
        <v>291.7</v>
      </c>
      <c r="N139" s="18" t="s">
        <v>1063</v>
      </c>
      <c r="O139" s="18">
        <v>21718.942062797771</v>
      </c>
      <c r="P139" s="18">
        <v>26710935.024863958</v>
      </c>
      <c r="Q139" s="18" t="s">
        <v>1077</v>
      </c>
    </row>
    <row r="140" spans="1:17" x14ac:dyDescent="0.2">
      <c r="A140" s="18">
        <v>139</v>
      </c>
      <c r="B140" s="18">
        <v>139</v>
      </c>
      <c r="C140" s="18">
        <v>138</v>
      </c>
      <c r="D140" s="18">
        <v>136</v>
      </c>
      <c r="E140" s="18" t="s">
        <v>389</v>
      </c>
      <c r="F140" s="18" t="s">
        <v>391</v>
      </c>
      <c r="G140" s="18">
        <v>716.96</v>
      </c>
      <c r="H140" s="18">
        <v>7.79</v>
      </c>
      <c r="I140" s="18">
        <v>19.48</v>
      </c>
      <c r="J140" s="18">
        <v>194.84</v>
      </c>
      <c r="K140" s="18">
        <v>0</v>
      </c>
      <c r="L140" s="18">
        <v>724.75</v>
      </c>
      <c r="M140" s="18">
        <v>201.34</v>
      </c>
      <c r="N140" s="18" t="s">
        <v>1063</v>
      </c>
      <c r="O140" s="18">
        <v>23037.04792341487</v>
      </c>
      <c r="P140" s="18">
        <v>16040259.90140282</v>
      </c>
      <c r="Q140" s="18" t="s">
        <v>1076</v>
      </c>
    </row>
    <row r="141" spans="1:17" x14ac:dyDescent="0.2">
      <c r="A141" s="18">
        <v>140</v>
      </c>
      <c r="B141" s="18">
        <v>140</v>
      </c>
      <c r="C141" s="18">
        <v>139</v>
      </c>
      <c r="D141" s="18">
        <v>8</v>
      </c>
      <c r="E141" s="18" t="s">
        <v>32</v>
      </c>
      <c r="F141" s="18" t="s">
        <v>34</v>
      </c>
      <c r="G141" s="18">
        <v>1191.74</v>
      </c>
      <c r="H141" s="18">
        <v>2895.62</v>
      </c>
      <c r="I141" s="18">
        <v>7239.05</v>
      </c>
      <c r="J141" s="18">
        <v>72390.53</v>
      </c>
      <c r="K141" s="18">
        <v>10.78</v>
      </c>
      <c r="L141" s="18">
        <v>4098.1400000000003</v>
      </c>
      <c r="M141" s="18">
        <v>1138.46</v>
      </c>
      <c r="N141" s="18" t="s">
        <v>1063</v>
      </c>
      <c r="O141" s="18">
        <v>81497.315541712058</v>
      </c>
      <c r="P141" s="18">
        <v>253588508.24582261</v>
      </c>
      <c r="Q141" s="18" t="s">
        <v>1093</v>
      </c>
    </row>
    <row r="142" spans="1:17" x14ac:dyDescent="0.2">
      <c r="A142" s="18">
        <v>141</v>
      </c>
      <c r="B142" s="18">
        <v>141</v>
      </c>
      <c r="C142" s="18">
        <v>140</v>
      </c>
      <c r="D142" s="18">
        <v>186</v>
      </c>
      <c r="E142" s="18" t="s">
        <v>1095</v>
      </c>
      <c r="F142" s="18" t="s">
        <v>1096</v>
      </c>
      <c r="G142" s="18">
        <v>499.33</v>
      </c>
      <c r="H142" s="18">
        <v>313.58</v>
      </c>
      <c r="I142" s="18">
        <v>783.96</v>
      </c>
      <c r="J142" s="18">
        <v>7839.56</v>
      </c>
      <c r="K142" s="18">
        <v>0</v>
      </c>
      <c r="L142" s="18">
        <v>812.91</v>
      </c>
      <c r="M142" s="18">
        <v>225.83</v>
      </c>
      <c r="N142" s="18" t="s">
        <v>1063</v>
      </c>
      <c r="O142" s="18">
        <v>41863.81164485823</v>
      </c>
      <c r="P142" s="18">
        <v>58778434.867989458</v>
      </c>
      <c r="Q142" s="18" t="s">
        <v>1077</v>
      </c>
    </row>
    <row r="143" spans="1:17" x14ac:dyDescent="0.2">
      <c r="A143" s="18">
        <v>142</v>
      </c>
      <c r="B143" s="18">
        <v>142</v>
      </c>
      <c r="C143" s="18">
        <v>141</v>
      </c>
      <c r="D143" s="18">
        <v>76</v>
      </c>
      <c r="E143" s="18" t="s">
        <v>203</v>
      </c>
      <c r="F143" s="18" t="s">
        <v>205</v>
      </c>
      <c r="G143" s="18">
        <v>575.5</v>
      </c>
      <c r="H143" s="18">
        <v>305.77999999999997</v>
      </c>
      <c r="I143" s="18">
        <v>764.44</v>
      </c>
      <c r="J143" s="18">
        <v>7644.38</v>
      </c>
      <c r="K143" s="18">
        <v>0</v>
      </c>
      <c r="L143" s="18">
        <v>881.28</v>
      </c>
      <c r="M143" s="18">
        <v>244.82</v>
      </c>
      <c r="N143" s="18" t="s">
        <v>1063</v>
      </c>
      <c r="O143" s="18">
        <v>31940.329140661881</v>
      </c>
      <c r="P143" s="18">
        <v>41577859.590439953</v>
      </c>
      <c r="Q143" s="18" t="s">
        <v>1073</v>
      </c>
    </row>
    <row r="144" spans="1:17" x14ac:dyDescent="0.2">
      <c r="A144" s="18">
        <v>143</v>
      </c>
      <c r="B144" s="18">
        <v>143</v>
      </c>
      <c r="C144" s="18">
        <v>142</v>
      </c>
      <c r="D144" s="18">
        <v>1</v>
      </c>
      <c r="E144" s="18" t="s">
        <v>1097</v>
      </c>
      <c r="F144" s="18" t="s">
        <v>1098</v>
      </c>
      <c r="G144" s="18">
        <v>341.32</v>
      </c>
      <c r="H144" s="18">
        <v>271.89</v>
      </c>
      <c r="I144" s="18">
        <v>679.73</v>
      </c>
      <c r="J144" s="18">
        <v>6797.27</v>
      </c>
      <c r="K144" s="18">
        <v>0</v>
      </c>
      <c r="L144" s="18">
        <v>613.21</v>
      </c>
      <c r="M144" s="18">
        <v>170.35</v>
      </c>
      <c r="N144" s="18" t="s">
        <v>1063</v>
      </c>
      <c r="O144" s="18">
        <v>25998.73382528386</v>
      </c>
      <c r="P144" s="18">
        <v>24620246.598062541</v>
      </c>
      <c r="Q144" s="18" t="s">
        <v>1086</v>
      </c>
    </row>
    <row r="145" spans="1:17" x14ac:dyDescent="0.2">
      <c r="A145" s="18">
        <v>144</v>
      </c>
      <c r="B145" s="18">
        <v>144</v>
      </c>
      <c r="C145" s="18">
        <v>143</v>
      </c>
      <c r="D145" s="18">
        <v>2</v>
      </c>
      <c r="E145" s="18" t="s">
        <v>1099</v>
      </c>
      <c r="F145" s="18" t="s">
        <v>1100</v>
      </c>
      <c r="G145" s="18">
        <v>1171.49</v>
      </c>
      <c r="H145" s="18">
        <v>1674.61</v>
      </c>
      <c r="I145" s="18">
        <v>4186.54</v>
      </c>
      <c r="J145" s="18">
        <v>41865.360000000001</v>
      </c>
      <c r="K145" s="18">
        <v>0.35</v>
      </c>
      <c r="L145" s="18">
        <v>2846.45</v>
      </c>
      <c r="M145" s="18">
        <v>790.74</v>
      </c>
      <c r="N145" s="18" t="s">
        <v>1063</v>
      </c>
      <c r="O145" s="18">
        <v>87605.266914462205</v>
      </c>
      <c r="P145" s="18">
        <v>135671147.93704399</v>
      </c>
      <c r="Q145" s="18" t="s">
        <v>1086</v>
      </c>
    </row>
    <row r="146" spans="1:17" x14ac:dyDescent="0.2">
      <c r="A146" s="18">
        <v>145</v>
      </c>
      <c r="B146" s="18">
        <v>145</v>
      </c>
      <c r="C146" s="18">
        <v>144</v>
      </c>
      <c r="D146" s="18">
        <v>3</v>
      </c>
      <c r="E146" s="18" t="s">
        <v>19</v>
      </c>
      <c r="F146" s="18" t="s">
        <v>21</v>
      </c>
      <c r="G146" s="18">
        <v>4203.6400000000003</v>
      </c>
      <c r="H146" s="18">
        <v>1557.35</v>
      </c>
      <c r="I146" s="18">
        <v>3893.38</v>
      </c>
      <c r="J146" s="18">
        <v>38933.83</v>
      </c>
      <c r="K146" s="18">
        <v>42.86</v>
      </c>
      <c r="L146" s="18">
        <v>5803.85</v>
      </c>
      <c r="M146" s="18">
        <v>1612.31</v>
      </c>
      <c r="N146" s="18" t="s">
        <v>1063</v>
      </c>
      <c r="O146" s="18">
        <v>98196.652998115504</v>
      </c>
      <c r="P146" s="18">
        <v>197856384.83971989</v>
      </c>
      <c r="Q146" s="18" t="s">
        <v>1086</v>
      </c>
    </row>
    <row r="147" spans="1:17" x14ac:dyDescent="0.2">
      <c r="A147" s="18">
        <v>146</v>
      </c>
      <c r="B147" s="18">
        <v>146</v>
      </c>
      <c r="C147" s="18">
        <v>146</v>
      </c>
      <c r="D147" s="18">
        <v>7</v>
      </c>
      <c r="E147" s="18" t="s">
        <v>26</v>
      </c>
      <c r="F147" s="18" t="s">
        <v>28</v>
      </c>
      <c r="G147" s="18">
        <v>1154.94</v>
      </c>
      <c r="H147" s="18">
        <v>1299.98</v>
      </c>
      <c r="I147" s="18">
        <v>3249.96</v>
      </c>
      <c r="J147" s="18">
        <v>32499.61</v>
      </c>
      <c r="K147" s="18">
        <v>0</v>
      </c>
      <c r="L147" s="18">
        <v>2454.92</v>
      </c>
      <c r="M147" s="18">
        <v>681.98</v>
      </c>
      <c r="N147" s="18" t="s">
        <v>1063</v>
      </c>
      <c r="O147" s="18">
        <v>63911.749294787936</v>
      </c>
      <c r="P147" s="18">
        <v>119955094.3010917</v>
      </c>
      <c r="Q147" s="18" t="s">
        <v>1086</v>
      </c>
    </row>
    <row r="148" spans="1:17" x14ac:dyDescent="0.2">
      <c r="A148" s="18">
        <v>147</v>
      </c>
      <c r="B148" s="18">
        <v>147</v>
      </c>
      <c r="C148" s="18">
        <v>147</v>
      </c>
      <c r="D148" s="18">
        <v>17</v>
      </c>
      <c r="E148" s="18" t="s">
        <v>41</v>
      </c>
      <c r="F148" s="18" t="s">
        <v>43</v>
      </c>
      <c r="G148" s="18">
        <v>475.25</v>
      </c>
      <c r="H148" s="18">
        <v>269.82</v>
      </c>
      <c r="I148" s="18">
        <v>674.54</v>
      </c>
      <c r="J148" s="18">
        <v>6745.38</v>
      </c>
      <c r="K148" s="18">
        <v>0</v>
      </c>
      <c r="L148" s="18">
        <v>745.07</v>
      </c>
      <c r="M148" s="18">
        <v>206.98</v>
      </c>
      <c r="N148" s="18" t="s">
        <v>1063</v>
      </c>
      <c r="O148" s="18">
        <v>25974.02195368801</v>
      </c>
      <c r="P148" s="18">
        <v>26112823.249090441</v>
      </c>
      <c r="Q148" s="18" t="s">
        <v>1064</v>
      </c>
    </row>
    <row r="149" spans="1:17" x14ac:dyDescent="0.2">
      <c r="A149" s="18">
        <v>148</v>
      </c>
      <c r="B149" s="18">
        <v>148</v>
      </c>
      <c r="C149" s="18">
        <v>148</v>
      </c>
      <c r="D149" s="18">
        <v>22</v>
      </c>
      <c r="E149" s="18" t="s">
        <v>827</v>
      </c>
      <c r="F149" s="18" t="s">
        <v>829</v>
      </c>
      <c r="G149" s="18">
        <v>1511.68</v>
      </c>
      <c r="H149" s="18">
        <v>2476.81</v>
      </c>
      <c r="I149" s="18">
        <v>6192.03</v>
      </c>
      <c r="J149" s="18">
        <v>61920.26</v>
      </c>
      <c r="K149" s="18">
        <v>8.6199999999999992</v>
      </c>
      <c r="L149" s="18">
        <v>3997.11</v>
      </c>
      <c r="M149" s="18">
        <v>1110.4000000000001</v>
      </c>
      <c r="N149" s="18" t="s">
        <v>1063</v>
      </c>
      <c r="O149" s="18">
        <v>112250.1413597393</v>
      </c>
      <c r="P149" s="18">
        <v>232208970.33446461</v>
      </c>
      <c r="Q149" s="18" t="s">
        <v>1079</v>
      </c>
    </row>
    <row r="150" spans="1:17" x14ac:dyDescent="0.2">
      <c r="A150" s="18">
        <v>149</v>
      </c>
      <c r="B150" s="18">
        <v>149</v>
      </c>
      <c r="C150" s="18">
        <v>149</v>
      </c>
      <c r="D150" s="18">
        <v>24</v>
      </c>
      <c r="E150" s="18" t="s">
        <v>50</v>
      </c>
      <c r="F150" s="18" t="s">
        <v>52</v>
      </c>
      <c r="G150" s="18">
        <v>1460.17</v>
      </c>
      <c r="H150" s="18">
        <v>2332.2800000000002</v>
      </c>
      <c r="I150" s="18">
        <v>5830.7</v>
      </c>
      <c r="J150" s="18">
        <v>58306.98</v>
      </c>
      <c r="K150" s="18">
        <v>0</v>
      </c>
      <c r="L150" s="18">
        <v>3792.45</v>
      </c>
      <c r="M150" s="18">
        <v>1053.54</v>
      </c>
      <c r="N150" s="18" t="s">
        <v>1063</v>
      </c>
      <c r="O150" s="18">
        <v>71795.443323925283</v>
      </c>
      <c r="P150" s="18">
        <v>226081469.93629009</v>
      </c>
      <c r="Q150" s="18" t="s">
        <v>1064</v>
      </c>
    </row>
    <row r="151" spans="1:17" x14ac:dyDescent="0.2">
      <c r="A151" s="18">
        <v>150</v>
      </c>
      <c r="B151" s="18">
        <v>150</v>
      </c>
      <c r="C151" s="18">
        <v>150</v>
      </c>
      <c r="D151" s="18">
        <v>28</v>
      </c>
      <c r="E151" s="18" t="s">
        <v>86</v>
      </c>
      <c r="F151" s="18" t="s">
        <v>88</v>
      </c>
      <c r="G151" s="18">
        <v>2339.8200000000002</v>
      </c>
      <c r="H151" s="18">
        <v>460.53</v>
      </c>
      <c r="I151" s="18">
        <v>1151.32</v>
      </c>
      <c r="J151" s="18">
        <v>11513.17</v>
      </c>
      <c r="K151" s="18">
        <v>0</v>
      </c>
      <c r="L151" s="18">
        <v>2800.35</v>
      </c>
      <c r="M151" s="18">
        <v>777.94</v>
      </c>
      <c r="N151" s="18" t="s">
        <v>1063</v>
      </c>
      <c r="O151" s="18">
        <v>44100.043392815802</v>
      </c>
      <c r="P151" s="18">
        <v>69396411.219463393</v>
      </c>
      <c r="Q151" s="18" t="s">
        <v>1067</v>
      </c>
    </row>
    <row r="152" spans="1:17" x14ac:dyDescent="0.2">
      <c r="A152" s="18">
        <v>151</v>
      </c>
      <c r="B152" s="18">
        <v>151</v>
      </c>
      <c r="C152" s="18">
        <v>151</v>
      </c>
      <c r="D152" s="18">
        <v>29</v>
      </c>
      <c r="E152" s="18" t="s">
        <v>137</v>
      </c>
      <c r="F152" s="18" t="s">
        <v>139</v>
      </c>
      <c r="G152" s="18">
        <v>420.05</v>
      </c>
      <c r="H152" s="18">
        <v>82.8</v>
      </c>
      <c r="I152" s="18">
        <v>207</v>
      </c>
      <c r="J152" s="18">
        <v>2070</v>
      </c>
      <c r="K152" s="18">
        <v>0</v>
      </c>
      <c r="L152" s="18">
        <v>502.85</v>
      </c>
      <c r="M152" s="18">
        <v>139.69</v>
      </c>
      <c r="N152" s="18" t="s">
        <v>1063</v>
      </c>
      <c r="O152" s="18">
        <v>14638.34989350754</v>
      </c>
      <c r="P152" s="18">
        <v>11971770.758283541</v>
      </c>
      <c r="Q152" s="18" t="s">
        <v>1093</v>
      </c>
    </row>
    <row r="153" spans="1:17" x14ac:dyDescent="0.2">
      <c r="A153" s="18">
        <v>152</v>
      </c>
      <c r="B153" s="18">
        <v>152</v>
      </c>
      <c r="C153" s="18">
        <v>152</v>
      </c>
      <c r="D153" s="18">
        <v>30</v>
      </c>
      <c r="E153" s="18" t="s">
        <v>89</v>
      </c>
      <c r="F153" s="18" t="s">
        <v>91</v>
      </c>
      <c r="G153" s="18">
        <v>624.46</v>
      </c>
      <c r="H153" s="18">
        <v>207.87</v>
      </c>
      <c r="I153" s="18">
        <v>519.67999999999995</v>
      </c>
      <c r="J153" s="18">
        <v>5196.82</v>
      </c>
      <c r="K153" s="18">
        <v>0</v>
      </c>
      <c r="L153" s="18">
        <v>832.33</v>
      </c>
      <c r="M153" s="18">
        <v>231.22</v>
      </c>
      <c r="N153" s="18" t="s">
        <v>1063</v>
      </c>
      <c r="O153" s="18">
        <v>25611.835198770968</v>
      </c>
      <c r="P153" s="18">
        <v>26182294.474557389</v>
      </c>
      <c r="Q153" s="18" t="s">
        <v>1067</v>
      </c>
    </row>
    <row r="154" spans="1:17" x14ac:dyDescent="0.2">
      <c r="A154" s="18">
        <v>153</v>
      </c>
      <c r="B154" s="18">
        <v>153</v>
      </c>
      <c r="C154" s="18">
        <v>153</v>
      </c>
      <c r="D154" s="18">
        <v>36</v>
      </c>
      <c r="E154" s="18" t="s">
        <v>839</v>
      </c>
      <c r="F154" s="18" t="s">
        <v>841</v>
      </c>
      <c r="G154" s="18">
        <v>434.52</v>
      </c>
      <c r="H154" s="18">
        <v>1152.67</v>
      </c>
      <c r="I154" s="18">
        <v>2881.67</v>
      </c>
      <c r="J154" s="18">
        <v>28816.69</v>
      </c>
      <c r="K154" s="18">
        <v>0</v>
      </c>
      <c r="L154" s="18">
        <v>1587.19</v>
      </c>
      <c r="M154" s="18">
        <v>440.92</v>
      </c>
      <c r="N154" s="18" t="s">
        <v>1063</v>
      </c>
      <c r="O154" s="18">
        <v>49391.203859716567</v>
      </c>
      <c r="P154" s="18">
        <v>89943837.293878213</v>
      </c>
      <c r="Q154" s="18" t="s">
        <v>1079</v>
      </c>
    </row>
    <row r="155" spans="1:17" x14ac:dyDescent="0.2">
      <c r="A155" s="18">
        <v>154</v>
      </c>
      <c r="B155" s="18">
        <v>154</v>
      </c>
      <c r="C155" s="18">
        <v>154</v>
      </c>
      <c r="D155" s="18">
        <v>38</v>
      </c>
      <c r="E155" s="18" t="s">
        <v>98</v>
      </c>
      <c r="F155" s="18" t="s">
        <v>100</v>
      </c>
      <c r="G155" s="18">
        <v>3868.43</v>
      </c>
      <c r="H155" s="18">
        <v>793.63</v>
      </c>
      <c r="I155" s="18">
        <v>1984.08</v>
      </c>
      <c r="J155" s="18">
        <v>19840.759999999998</v>
      </c>
      <c r="K155" s="18">
        <v>0</v>
      </c>
      <c r="L155" s="18">
        <v>4662.0600000000004</v>
      </c>
      <c r="M155" s="18">
        <v>1295.1199999999999</v>
      </c>
      <c r="N155" s="18" t="s">
        <v>1063</v>
      </c>
      <c r="O155" s="18">
        <v>53034.55895831799</v>
      </c>
      <c r="P155" s="18">
        <v>142753270.75007069</v>
      </c>
      <c r="Q155" s="18" t="s">
        <v>1067</v>
      </c>
    </row>
    <row r="156" spans="1:17" x14ac:dyDescent="0.2">
      <c r="A156" s="18">
        <v>155</v>
      </c>
      <c r="B156" s="18">
        <v>155</v>
      </c>
      <c r="C156" s="18">
        <v>155</v>
      </c>
      <c r="D156" s="18">
        <v>39</v>
      </c>
      <c r="E156" s="18" t="s">
        <v>356</v>
      </c>
      <c r="F156" s="18" t="s">
        <v>358</v>
      </c>
      <c r="G156" s="18">
        <v>422.17</v>
      </c>
      <c r="H156" s="18">
        <v>13.69</v>
      </c>
      <c r="I156" s="18">
        <v>34.229999999999997</v>
      </c>
      <c r="J156" s="18">
        <v>342.31</v>
      </c>
      <c r="K156" s="18">
        <v>4.79</v>
      </c>
      <c r="L156" s="18">
        <v>440.65</v>
      </c>
      <c r="M156" s="18">
        <v>122.41</v>
      </c>
      <c r="N156" s="18" t="s">
        <v>1063</v>
      </c>
      <c r="O156" s="18">
        <v>20225.71718408975</v>
      </c>
      <c r="P156" s="18">
        <v>12862114.78558276</v>
      </c>
      <c r="Q156" s="18" t="s">
        <v>1076</v>
      </c>
    </row>
    <row r="157" spans="1:17" x14ac:dyDescent="0.2">
      <c r="A157" s="18">
        <v>156</v>
      </c>
      <c r="B157" s="18">
        <v>156</v>
      </c>
      <c r="C157" s="18">
        <v>156</v>
      </c>
      <c r="D157" s="18">
        <v>40</v>
      </c>
      <c r="E157" s="18" t="s">
        <v>101</v>
      </c>
      <c r="F157" s="18" t="s">
        <v>103</v>
      </c>
      <c r="G157" s="18">
        <v>1209.8</v>
      </c>
      <c r="H157" s="18">
        <v>972.77</v>
      </c>
      <c r="I157" s="18">
        <v>2431.91</v>
      </c>
      <c r="J157" s="18">
        <v>24319.14</v>
      </c>
      <c r="K157" s="18">
        <v>0</v>
      </c>
      <c r="L157" s="18">
        <v>2182.5700000000002</v>
      </c>
      <c r="M157" s="18">
        <v>606.32000000000005</v>
      </c>
      <c r="N157" s="18" t="s">
        <v>1063</v>
      </c>
      <c r="O157" s="18">
        <v>49524.592581219127</v>
      </c>
      <c r="P157" s="18">
        <v>105480270.8066328</v>
      </c>
      <c r="Q157" s="18" t="s">
        <v>1067</v>
      </c>
    </row>
    <row r="158" spans="1:17" x14ac:dyDescent="0.2">
      <c r="A158" s="18">
        <v>157</v>
      </c>
      <c r="B158" s="18">
        <v>157</v>
      </c>
      <c r="C158" s="18">
        <v>157</v>
      </c>
      <c r="D158" s="18">
        <v>184</v>
      </c>
      <c r="E158" s="18" t="s">
        <v>521</v>
      </c>
      <c r="F158" s="18" t="s">
        <v>523</v>
      </c>
      <c r="G158" s="18">
        <v>513.37</v>
      </c>
      <c r="H158" s="18">
        <v>94.53</v>
      </c>
      <c r="I158" s="18">
        <v>236.32</v>
      </c>
      <c r="J158" s="18">
        <v>2363.1999999999998</v>
      </c>
      <c r="K158" s="18">
        <v>0</v>
      </c>
      <c r="L158" s="18">
        <v>607.9</v>
      </c>
      <c r="M158" s="18">
        <v>168.87</v>
      </c>
      <c r="N158" s="18" t="s">
        <v>1063</v>
      </c>
      <c r="O158" s="18">
        <v>16203.957545589839</v>
      </c>
      <c r="P158" s="18">
        <v>14001572.17317591</v>
      </c>
      <c r="Q158" s="18" t="s">
        <v>1101</v>
      </c>
    </row>
    <row r="159" spans="1:17" x14ac:dyDescent="0.2">
      <c r="A159" s="18">
        <v>158</v>
      </c>
      <c r="B159" s="18">
        <v>158</v>
      </c>
      <c r="C159" s="18">
        <v>158</v>
      </c>
      <c r="D159" s="18">
        <v>47</v>
      </c>
      <c r="E159" s="18" t="s">
        <v>110</v>
      </c>
      <c r="F159" s="18" t="s">
        <v>112</v>
      </c>
      <c r="G159" s="18">
        <v>2181.92</v>
      </c>
      <c r="H159" s="18">
        <v>303.64999999999998</v>
      </c>
      <c r="I159" s="18">
        <v>759.13</v>
      </c>
      <c r="J159" s="18">
        <v>7591.28</v>
      </c>
      <c r="K159" s="18">
        <v>0</v>
      </c>
      <c r="L159" s="18">
        <v>2485.5700000000002</v>
      </c>
      <c r="M159" s="18">
        <v>690.49</v>
      </c>
      <c r="N159" s="18" t="s">
        <v>1063</v>
      </c>
      <c r="O159" s="18">
        <v>47341.716321285843</v>
      </c>
      <c r="P159" s="18">
        <v>61747595.607555106</v>
      </c>
      <c r="Q159" s="18" t="s">
        <v>1067</v>
      </c>
    </row>
    <row r="160" spans="1:17" x14ac:dyDescent="0.2">
      <c r="A160" s="18">
        <v>159</v>
      </c>
      <c r="B160" s="18">
        <v>159</v>
      </c>
      <c r="C160" s="18">
        <v>159</v>
      </c>
      <c r="D160" s="18">
        <v>48</v>
      </c>
      <c r="E160" s="18" t="s">
        <v>113</v>
      </c>
      <c r="F160" s="18" t="s">
        <v>115</v>
      </c>
      <c r="G160" s="18">
        <v>1609.41</v>
      </c>
      <c r="H160" s="18">
        <v>1675.07</v>
      </c>
      <c r="I160" s="18">
        <v>4187.67</v>
      </c>
      <c r="J160" s="18">
        <v>41876.69</v>
      </c>
      <c r="K160" s="18">
        <v>0</v>
      </c>
      <c r="L160" s="18">
        <v>3284.48</v>
      </c>
      <c r="M160" s="18">
        <v>912.43</v>
      </c>
      <c r="N160" s="18" t="s">
        <v>1063</v>
      </c>
      <c r="O160" s="18">
        <v>62141.010371679098</v>
      </c>
      <c r="P160" s="18">
        <v>148368736.21191511</v>
      </c>
      <c r="Q160" s="18" t="s">
        <v>1066</v>
      </c>
    </row>
    <row r="161" spans="1:17" x14ac:dyDescent="0.2">
      <c r="A161" s="18">
        <v>160</v>
      </c>
      <c r="B161" s="18">
        <v>160</v>
      </c>
      <c r="C161" s="18">
        <v>160</v>
      </c>
      <c r="D161" s="18">
        <v>49</v>
      </c>
      <c r="E161" s="18" t="s">
        <v>116</v>
      </c>
      <c r="F161" s="18" t="s">
        <v>118</v>
      </c>
      <c r="G161" s="18">
        <v>913.44</v>
      </c>
      <c r="H161" s="18">
        <v>993.51</v>
      </c>
      <c r="I161" s="18">
        <v>2483.79</v>
      </c>
      <c r="J161" s="18">
        <v>24837.87</v>
      </c>
      <c r="K161" s="18">
        <v>0</v>
      </c>
      <c r="L161" s="18">
        <v>1906.95</v>
      </c>
      <c r="M161" s="18">
        <v>529.75</v>
      </c>
      <c r="N161" s="18" t="s">
        <v>1063</v>
      </c>
      <c r="O161" s="18">
        <v>55212.417338779393</v>
      </c>
      <c r="P161" s="18">
        <v>99639145.753254637</v>
      </c>
      <c r="Q161" s="18" t="s">
        <v>1067</v>
      </c>
    </row>
    <row r="162" spans="1:17" x14ac:dyDescent="0.2">
      <c r="A162" s="18">
        <v>161</v>
      </c>
      <c r="B162" s="18">
        <v>161</v>
      </c>
      <c r="C162" s="18">
        <v>161</v>
      </c>
      <c r="D162" s="18">
        <v>50</v>
      </c>
      <c r="E162" s="18" t="s">
        <v>119</v>
      </c>
      <c r="F162" s="18" t="s">
        <v>121</v>
      </c>
      <c r="G162" s="18">
        <v>2890.93</v>
      </c>
      <c r="H162" s="18">
        <v>6623.66</v>
      </c>
      <c r="I162" s="18">
        <v>16559.16</v>
      </c>
      <c r="J162" s="18">
        <v>165591.57999999999</v>
      </c>
      <c r="K162" s="18">
        <v>0</v>
      </c>
      <c r="L162" s="18">
        <v>9514.59</v>
      </c>
      <c r="M162" s="18">
        <v>2643.15</v>
      </c>
      <c r="N162" s="18" t="s">
        <v>1063</v>
      </c>
      <c r="O162" s="18">
        <v>98860.032908337394</v>
      </c>
      <c r="P162" s="18">
        <v>467361307.11429209</v>
      </c>
      <c r="Q162" s="18" t="s">
        <v>1093</v>
      </c>
    </row>
    <row r="163" spans="1:17" x14ac:dyDescent="0.2">
      <c r="A163" s="18">
        <v>162</v>
      </c>
      <c r="B163" s="18">
        <v>162</v>
      </c>
      <c r="C163" s="18">
        <v>162</v>
      </c>
      <c r="D163" s="18">
        <v>51</v>
      </c>
      <c r="E163" s="18" t="s">
        <v>374</v>
      </c>
      <c r="F163" s="18" t="s">
        <v>376</v>
      </c>
      <c r="G163" s="18">
        <v>509.61</v>
      </c>
      <c r="H163" s="18">
        <v>16.09</v>
      </c>
      <c r="I163" s="18">
        <v>40.22</v>
      </c>
      <c r="J163" s="18">
        <v>402.17</v>
      </c>
      <c r="K163" s="18">
        <v>0</v>
      </c>
      <c r="L163" s="18">
        <v>525.70000000000005</v>
      </c>
      <c r="M163" s="18">
        <v>146.04</v>
      </c>
      <c r="N163" s="18" t="s">
        <v>1063</v>
      </c>
      <c r="O163" s="18">
        <v>13808.679722486761</v>
      </c>
      <c r="P163" s="18">
        <v>9642813.4068228416</v>
      </c>
      <c r="Q163" s="18" t="s">
        <v>1076</v>
      </c>
    </row>
    <row r="164" spans="1:17" x14ac:dyDescent="0.2">
      <c r="A164" s="18">
        <v>163</v>
      </c>
      <c r="B164" s="18">
        <v>163</v>
      </c>
      <c r="C164" s="18">
        <v>163</v>
      </c>
      <c r="D164" s="18">
        <v>52</v>
      </c>
      <c r="E164" s="18" t="s">
        <v>122</v>
      </c>
      <c r="F164" s="18" t="s">
        <v>124</v>
      </c>
      <c r="G164" s="18">
        <v>965.48</v>
      </c>
      <c r="H164" s="18">
        <v>73.78</v>
      </c>
      <c r="I164" s="18">
        <v>184.45</v>
      </c>
      <c r="J164" s="18">
        <v>1844.46</v>
      </c>
      <c r="K164" s="18">
        <v>0</v>
      </c>
      <c r="L164" s="18">
        <v>1039.26</v>
      </c>
      <c r="M164" s="18">
        <v>288.70999999999998</v>
      </c>
      <c r="N164" s="18" t="s">
        <v>1063</v>
      </c>
      <c r="O164" s="18">
        <v>23159.511390987191</v>
      </c>
      <c r="P164" s="18">
        <v>21982936.65964216</v>
      </c>
      <c r="Q164" s="18" t="s">
        <v>1067</v>
      </c>
    </row>
    <row r="165" spans="1:17" x14ac:dyDescent="0.2">
      <c r="A165" s="18">
        <v>164</v>
      </c>
      <c r="B165" s="18">
        <v>164</v>
      </c>
      <c r="C165" s="18">
        <v>164</v>
      </c>
      <c r="D165" s="18">
        <v>188</v>
      </c>
      <c r="E165" s="18" t="s">
        <v>530</v>
      </c>
      <c r="F165" s="18" t="s">
        <v>532</v>
      </c>
      <c r="G165" s="18">
        <v>426.06</v>
      </c>
      <c r="H165" s="18">
        <v>55.65</v>
      </c>
      <c r="I165" s="18">
        <v>139.12</v>
      </c>
      <c r="J165" s="18">
        <v>1391.18</v>
      </c>
      <c r="K165" s="18">
        <v>0</v>
      </c>
      <c r="L165" s="18">
        <v>481.71</v>
      </c>
      <c r="M165" s="18">
        <v>133.82</v>
      </c>
      <c r="N165" s="18" t="s">
        <v>1063</v>
      </c>
      <c r="O165" s="18">
        <v>16480.155149158159</v>
      </c>
      <c r="P165" s="18">
        <v>11591932.01768438</v>
      </c>
      <c r="Q165" s="18" t="s">
        <v>1078</v>
      </c>
    </row>
    <row r="166" spans="1:17" x14ac:dyDescent="0.2">
      <c r="A166" s="18">
        <v>165</v>
      </c>
      <c r="B166" s="18">
        <v>165</v>
      </c>
      <c r="C166" s="18">
        <v>165</v>
      </c>
      <c r="D166" s="18">
        <v>56</v>
      </c>
      <c r="E166" s="18" t="s">
        <v>134</v>
      </c>
      <c r="F166" s="18" t="s">
        <v>136</v>
      </c>
      <c r="G166" s="18">
        <v>1540.54</v>
      </c>
      <c r="H166" s="18">
        <v>1780.16</v>
      </c>
      <c r="I166" s="18">
        <v>4450.41</v>
      </c>
      <c r="J166" s="18">
        <v>44504.07</v>
      </c>
      <c r="K166" s="18">
        <v>0</v>
      </c>
      <c r="L166" s="18">
        <v>3320.7</v>
      </c>
      <c r="M166" s="18">
        <v>922.49</v>
      </c>
      <c r="N166" s="18" t="s">
        <v>1063</v>
      </c>
      <c r="O166" s="18">
        <v>64867.910040949937</v>
      </c>
      <c r="P166" s="18">
        <v>147402550.31772169</v>
      </c>
      <c r="Q166" s="18" t="s">
        <v>1067</v>
      </c>
    </row>
    <row r="167" spans="1:17" x14ac:dyDescent="0.2">
      <c r="A167" s="18">
        <v>166</v>
      </c>
      <c r="B167" s="18">
        <v>166</v>
      </c>
      <c r="C167" s="18">
        <v>166</v>
      </c>
      <c r="D167" s="18">
        <v>57</v>
      </c>
      <c r="E167" s="18" t="s">
        <v>140</v>
      </c>
      <c r="F167" s="18" t="s">
        <v>142</v>
      </c>
      <c r="G167" s="18">
        <v>1098.33</v>
      </c>
      <c r="H167" s="18">
        <v>962.13</v>
      </c>
      <c r="I167" s="18">
        <v>2405.3200000000002</v>
      </c>
      <c r="J167" s="18">
        <v>24053.21</v>
      </c>
      <c r="K167" s="18">
        <v>0</v>
      </c>
      <c r="L167" s="18">
        <v>2060.46</v>
      </c>
      <c r="M167" s="18">
        <v>572.4</v>
      </c>
      <c r="N167" s="18" t="s">
        <v>1063</v>
      </c>
      <c r="O167" s="18">
        <v>54653.870271995067</v>
      </c>
      <c r="P167" s="18">
        <v>95333969.174742073</v>
      </c>
      <c r="Q167" s="18" t="s">
        <v>1067</v>
      </c>
    </row>
    <row r="168" spans="1:17" x14ac:dyDescent="0.2">
      <c r="A168" s="18">
        <v>167</v>
      </c>
      <c r="B168" s="18">
        <v>167</v>
      </c>
      <c r="C168" s="18">
        <v>167</v>
      </c>
      <c r="D168" s="18">
        <v>58</v>
      </c>
      <c r="E168" s="18" t="s">
        <v>143</v>
      </c>
      <c r="F168" s="18" t="s">
        <v>145</v>
      </c>
      <c r="G168" s="18">
        <v>2857.16</v>
      </c>
      <c r="H168" s="18">
        <v>905.63</v>
      </c>
      <c r="I168" s="18">
        <v>2264.08</v>
      </c>
      <c r="J168" s="18">
        <v>22640.85</v>
      </c>
      <c r="K168" s="18">
        <v>9.33</v>
      </c>
      <c r="L168" s="18">
        <v>3772.12</v>
      </c>
      <c r="M168" s="18">
        <v>1047.8900000000001</v>
      </c>
      <c r="N168" s="18" t="s">
        <v>1063</v>
      </c>
      <c r="O168" s="18">
        <v>64521.423800268203</v>
      </c>
      <c r="P168" s="18">
        <v>119276056.8459342</v>
      </c>
      <c r="Q168" s="18" t="s">
        <v>1066</v>
      </c>
    </row>
    <row r="169" spans="1:17" x14ac:dyDescent="0.2">
      <c r="A169" s="18">
        <v>168</v>
      </c>
      <c r="B169" s="18">
        <v>168</v>
      </c>
      <c r="C169" s="18">
        <v>168</v>
      </c>
      <c r="D169" s="18">
        <v>59</v>
      </c>
      <c r="E169" s="18" t="s">
        <v>146</v>
      </c>
      <c r="F169" s="18" t="s">
        <v>148</v>
      </c>
      <c r="G169" s="18">
        <v>1287.2</v>
      </c>
      <c r="H169" s="18">
        <v>1132.3699999999999</v>
      </c>
      <c r="I169" s="18">
        <v>2830.92</v>
      </c>
      <c r="J169" s="18">
        <v>28309.21</v>
      </c>
      <c r="K169" s="18">
        <v>0</v>
      </c>
      <c r="L169" s="18">
        <v>2419.5700000000002</v>
      </c>
      <c r="M169" s="18">
        <v>672.16</v>
      </c>
      <c r="N169" s="18" t="s">
        <v>1063</v>
      </c>
      <c r="O169" s="18">
        <v>51821.761556255587</v>
      </c>
      <c r="P169" s="18">
        <v>97089567.176831722</v>
      </c>
      <c r="Q169" s="18" t="s">
        <v>1070</v>
      </c>
    </row>
    <row r="170" spans="1:17" x14ac:dyDescent="0.2">
      <c r="A170" s="18">
        <v>169</v>
      </c>
      <c r="B170" s="18">
        <v>169</v>
      </c>
      <c r="C170" s="18">
        <v>169</v>
      </c>
      <c r="D170" s="18">
        <v>60</v>
      </c>
      <c r="E170" s="18" t="s">
        <v>158</v>
      </c>
      <c r="F170" s="18" t="s">
        <v>160</v>
      </c>
      <c r="G170" s="18">
        <v>758.46</v>
      </c>
      <c r="H170" s="18">
        <v>403.99</v>
      </c>
      <c r="I170" s="18">
        <v>1009.98</v>
      </c>
      <c r="J170" s="18">
        <v>10099.76</v>
      </c>
      <c r="K170" s="18">
        <v>0</v>
      </c>
      <c r="L170" s="18">
        <v>1162.45</v>
      </c>
      <c r="M170" s="18">
        <v>322.93</v>
      </c>
      <c r="N170" s="18" t="s">
        <v>1063</v>
      </c>
      <c r="O170" s="18">
        <v>31199.800579163551</v>
      </c>
      <c r="P170" s="18">
        <v>47167446.189100757</v>
      </c>
      <c r="Q170" s="18" t="s">
        <v>1073</v>
      </c>
    </row>
    <row r="171" spans="1:17" x14ac:dyDescent="0.2">
      <c r="A171" s="18">
        <v>170</v>
      </c>
      <c r="B171" s="18">
        <v>170</v>
      </c>
      <c r="C171" s="18">
        <v>170</v>
      </c>
      <c r="D171" s="18">
        <v>104</v>
      </c>
      <c r="E171" s="18" t="s">
        <v>284</v>
      </c>
      <c r="F171" s="18" t="s">
        <v>286</v>
      </c>
      <c r="G171" s="18">
        <v>245.36</v>
      </c>
      <c r="H171" s="18">
        <v>359.73</v>
      </c>
      <c r="I171" s="18">
        <v>899.33</v>
      </c>
      <c r="J171" s="18">
        <v>8993.34</v>
      </c>
      <c r="K171" s="18">
        <v>0</v>
      </c>
      <c r="L171" s="18">
        <v>605.09</v>
      </c>
      <c r="M171" s="18">
        <v>168.09</v>
      </c>
      <c r="N171" s="18" t="s">
        <v>1063</v>
      </c>
      <c r="O171" s="18">
        <v>26271.150239486498</v>
      </c>
      <c r="P171" s="18">
        <v>31416728.20717911</v>
      </c>
      <c r="Q171" s="18" t="s">
        <v>1072</v>
      </c>
    </row>
    <row r="172" spans="1:17" x14ac:dyDescent="0.2">
      <c r="A172" s="18">
        <v>171</v>
      </c>
      <c r="B172" s="18">
        <v>171</v>
      </c>
      <c r="C172" s="18">
        <v>171</v>
      </c>
      <c r="D172" s="18">
        <v>63</v>
      </c>
      <c r="E172" s="18" t="s">
        <v>167</v>
      </c>
      <c r="F172" s="18" t="s">
        <v>169</v>
      </c>
      <c r="G172" s="18">
        <v>737.09</v>
      </c>
      <c r="H172" s="18">
        <v>245.76</v>
      </c>
      <c r="I172" s="18">
        <v>614.41</v>
      </c>
      <c r="J172" s="18">
        <v>6144.1</v>
      </c>
      <c r="K172" s="18">
        <v>0</v>
      </c>
      <c r="L172" s="18">
        <v>982.85</v>
      </c>
      <c r="M172" s="18">
        <v>273.04000000000002</v>
      </c>
      <c r="N172" s="18" t="s">
        <v>1063</v>
      </c>
      <c r="O172" s="18">
        <v>29347.061728158951</v>
      </c>
      <c r="P172" s="18">
        <v>31175745.068217009</v>
      </c>
      <c r="Q172" s="18" t="s">
        <v>1069</v>
      </c>
    </row>
    <row r="173" spans="1:17" x14ac:dyDescent="0.2">
      <c r="A173" s="18">
        <v>172</v>
      </c>
      <c r="B173" s="18">
        <v>172</v>
      </c>
      <c r="C173" s="18">
        <v>172</v>
      </c>
      <c r="D173" s="18">
        <v>64</v>
      </c>
      <c r="E173" s="18" t="s">
        <v>194</v>
      </c>
      <c r="F173" s="18" t="s">
        <v>196</v>
      </c>
      <c r="G173" s="18">
        <v>1157.19</v>
      </c>
      <c r="H173" s="18">
        <v>83.97</v>
      </c>
      <c r="I173" s="18">
        <v>209.93</v>
      </c>
      <c r="J173" s="18">
        <v>2099.3000000000002</v>
      </c>
      <c r="K173" s="18">
        <v>0</v>
      </c>
      <c r="L173" s="18">
        <v>1241.1600000000001</v>
      </c>
      <c r="M173" s="18">
        <v>344.79</v>
      </c>
      <c r="N173" s="18" t="s">
        <v>1063</v>
      </c>
      <c r="O173" s="18">
        <v>31433.537047845359</v>
      </c>
      <c r="P173" s="18">
        <v>38882003.203658603</v>
      </c>
      <c r="Q173" s="18" t="s">
        <v>1094</v>
      </c>
    </row>
    <row r="174" spans="1:17" x14ac:dyDescent="0.2">
      <c r="A174" s="18">
        <v>173</v>
      </c>
      <c r="B174" s="18">
        <v>173</v>
      </c>
      <c r="C174" s="18">
        <v>173</v>
      </c>
      <c r="D174" s="18">
        <v>65</v>
      </c>
      <c r="E174" s="18" t="s">
        <v>170</v>
      </c>
      <c r="F174" s="18" t="s">
        <v>172</v>
      </c>
      <c r="G174" s="18">
        <v>237.89</v>
      </c>
      <c r="H174" s="18">
        <v>111.5</v>
      </c>
      <c r="I174" s="18">
        <v>278.74</v>
      </c>
      <c r="J174" s="18">
        <v>2787.41</v>
      </c>
      <c r="K174" s="18">
        <v>0</v>
      </c>
      <c r="L174" s="18">
        <v>349.39</v>
      </c>
      <c r="M174" s="18">
        <v>97.06</v>
      </c>
      <c r="N174" s="18" t="s">
        <v>1063</v>
      </c>
      <c r="O174" s="18">
        <v>20262.65809942313</v>
      </c>
      <c r="P174" s="18">
        <v>12898141.597801849</v>
      </c>
      <c r="Q174" s="18" t="s">
        <v>1073</v>
      </c>
    </row>
    <row r="175" spans="1:17" x14ac:dyDescent="0.2">
      <c r="A175" s="18">
        <v>174</v>
      </c>
      <c r="B175" s="18">
        <v>174</v>
      </c>
      <c r="C175" s="18">
        <v>174</v>
      </c>
      <c r="D175" s="18">
        <v>67</v>
      </c>
      <c r="E175" s="18" t="s">
        <v>176</v>
      </c>
      <c r="F175" s="18" t="s">
        <v>178</v>
      </c>
      <c r="G175" s="18">
        <v>667.49</v>
      </c>
      <c r="H175" s="18">
        <v>372.17</v>
      </c>
      <c r="I175" s="18">
        <v>930.42</v>
      </c>
      <c r="J175" s="18">
        <v>9304.16</v>
      </c>
      <c r="K175" s="18">
        <v>0</v>
      </c>
      <c r="L175" s="18">
        <v>1039.6600000000001</v>
      </c>
      <c r="M175" s="18">
        <v>288.82</v>
      </c>
      <c r="N175" s="18" t="s">
        <v>1063</v>
      </c>
      <c r="O175" s="18">
        <v>37703.389946971613</v>
      </c>
      <c r="P175" s="18">
        <v>42433058.002580553</v>
      </c>
      <c r="Q175" s="18" t="s">
        <v>1073</v>
      </c>
    </row>
    <row r="176" spans="1:17" x14ac:dyDescent="0.2">
      <c r="A176" s="18">
        <v>175</v>
      </c>
      <c r="B176" s="18">
        <v>175</v>
      </c>
      <c r="C176" s="18">
        <v>175</v>
      </c>
      <c r="D176" s="18">
        <v>68</v>
      </c>
      <c r="E176" s="18" t="s">
        <v>311</v>
      </c>
      <c r="F176" s="18" t="s">
        <v>313</v>
      </c>
      <c r="G176" s="18">
        <v>1429.29</v>
      </c>
      <c r="H176" s="18">
        <v>30.93</v>
      </c>
      <c r="I176" s="18">
        <v>77.33</v>
      </c>
      <c r="J176" s="18">
        <v>773.28</v>
      </c>
      <c r="K176" s="18">
        <v>0</v>
      </c>
      <c r="L176" s="18">
        <v>1460.22</v>
      </c>
      <c r="M176" s="18">
        <v>405.65</v>
      </c>
      <c r="N176" s="18" t="s">
        <v>1063</v>
      </c>
      <c r="O176" s="18">
        <v>20006.772850977701</v>
      </c>
      <c r="P176" s="18">
        <v>19811230.888120081</v>
      </c>
      <c r="Q176" s="18" t="s">
        <v>1071</v>
      </c>
    </row>
    <row r="177" spans="1:17" x14ac:dyDescent="0.2">
      <c r="A177" s="18">
        <v>176</v>
      </c>
      <c r="B177" s="18">
        <v>176</v>
      </c>
      <c r="C177" s="18">
        <v>176</v>
      </c>
      <c r="D177" s="18">
        <v>69</v>
      </c>
      <c r="E177" s="18" t="s">
        <v>179</v>
      </c>
      <c r="F177" s="18" t="s">
        <v>181</v>
      </c>
      <c r="G177" s="18">
        <v>813.14</v>
      </c>
      <c r="H177" s="18">
        <v>301.2</v>
      </c>
      <c r="I177" s="18">
        <v>753.01</v>
      </c>
      <c r="J177" s="18">
        <v>7530.12</v>
      </c>
      <c r="K177" s="18">
        <v>0</v>
      </c>
      <c r="L177" s="18">
        <v>1114.3399999999999</v>
      </c>
      <c r="M177" s="18">
        <v>309.56</v>
      </c>
      <c r="N177" s="18" t="s">
        <v>1063</v>
      </c>
      <c r="O177" s="18">
        <v>30265.034585679528</v>
      </c>
      <c r="P177" s="18">
        <v>35154450.935492083</v>
      </c>
      <c r="Q177" s="18" t="s">
        <v>1073</v>
      </c>
    </row>
    <row r="178" spans="1:17" x14ac:dyDescent="0.2">
      <c r="A178" s="18">
        <v>177</v>
      </c>
      <c r="B178" s="18">
        <v>177</v>
      </c>
      <c r="C178" s="18">
        <v>177</v>
      </c>
      <c r="D178" s="18">
        <v>72</v>
      </c>
      <c r="E178" s="18" t="s">
        <v>185</v>
      </c>
      <c r="F178" s="18" t="s">
        <v>187</v>
      </c>
      <c r="G178" s="18">
        <v>709.37</v>
      </c>
      <c r="H178" s="18">
        <v>372.22</v>
      </c>
      <c r="I178" s="18">
        <v>930.55</v>
      </c>
      <c r="J178" s="18">
        <v>9305.5300000000007</v>
      </c>
      <c r="K178" s="18">
        <v>0</v>
      </c>
      <c r="L178" s="18">
        <v>1081.5899999999999</v>
      </c>
      <c r="M178" s="18">
        <v>300.47000000000003</v>
      </c>
      <c r="N178" s="18" t="s">
        <v>1063</v>
      </c>
      <c r="O178" s="18">
        <v>43775.805901709638</v>
      </c>
      <c r="P178" s="18">
        <v>64057811.659251213</v>
      </c>
      <c r="Q178" s="18" t="s">
        <v>1094</v>
      </c>
    </row>
    <row r="179" spans="1:17" x14ac:dyDescent="0.2">
      <c r="A179" s="18">
        <v>178</v>
      </c>
      <c r="B179" s="18">
        <v>178</v>
      </c>
      <c r="C179" s="18">
        <v>178</v>
      </c>
      <c r="D179" s="18">
        <v>73</v>
      </c>
      <c r="E179" s="18" t="s">
        <v>188</v>
      </c>
      <c r="F179" s="18" t="s">
        <v>190</v>
      </c>
      <c r="G179" s="18">
        <v>1350.18</v>
      </c>
      <c r="H179" s="18">
        <v>828.86</v>
      </c>
      <c r="I179" s="18">
        <v>2072.15</v>
      </c>
      <c r="J179" s="18">
        <v>20721.53</v>
      </c>
      <c r="K179" s="18">
        <v>0</v>
      </c>
      <c r="L179" s="18">
        <v>2179.04</v>
      </c>
      <c r="M179" s="18">
        <v>605.34</v>
      </c>
      <c r="N179" s="18" t="s">
        <v>1063</v>
      </c>
      <c r="O179" s="18">
        <v>62934.74326648358</v>
      </c>
      <c r="P179" s="18">
        <v>157246612.70138279</v>
      </c>
      <c r="Q179" s="18" t="s">
        <v>1068</v>
      </c>
    </row>
    <row r="180" spans="1:17" x14ac:dyDescent="0.2">
      <c r="A180" s="18">
        <v>179</v>
      </c>
      <c r="B180" s="18">
        <v>179</v>
      </c>
      <c r="C180" s="18">
        <v>179</v>
      </c>
      <c r="D180" s="18">
        <v>74</v>
      </c>
      <c r="E180" s="18" t="s">
        <v>191</v>
      </c>
      <c r="F180" s="18" t="s">
        <v>193</v>
      </c>
      <c r="G180" s="18">
        <v>980</v>
      </c>
      <c r="H180" s="18">
        <v>255.57</v>
      </c>
      <c r="I180" s="18">
        <v>638.91999999999996</v>
      </c>
      <c r="J180" s="18">
        <v>6389.2</v>
      </c>
      <c r="K180" s="18">
        <v>0</v>
      </c>
      <c r="L180" s="18">
        <v>1235.57</v>
      </c>
      <c r="M180" s="18">
        <v>343.24</v>
      </c>
      <c r="N180" s="18" t="s">
        <v>1063</v>
      </c>
      <c r="O180" s="18">
        <v>46247.87639999541</v>
      </c>
      <c r="P180" s="18">
        <v>85431798.011544511</v>
      </c>
      <c r="Q180" s="18" t="s">
        <v>1094</v>
      </c>
    </row>
    <row r="181" spans="1:17" x14ac:dyDescent="0.2">
      <c r="A181" s="18">
        <v>180</v>
      </c>
      <c r="B181" s="18">
        <v>180</v>
      </c>
      <c r="C181" s="18">
        <v>180</v>
      </c>
      <c r="D181" s="18">
        <v>78</v>
      </c>
      <c r="E181" s="18" t="s">
        <v>200</v>
      </c>
      <c r="F181" s="18" t="s">
        <v>202</v>
      </c>
      <c r="G181" s="18">
        <v>692.75</v>
      </c>
      <c r="H181" s="18">
        <v>517.14</v>
      </c>
      <c r="I181" s="18">
        <v>1292.8599999999999</v>
      </c>
      <c r="J181" s="18">
        <v>12928.58</v>
      </c>
      <c r="K181" s="18">
        <v>0</v>
      </c>
      <c r="L181" s="18">
        <v>1209.8900000000001</v>
      </c>
      <c r="M181" s="18">
        <v>336.11</v>
      </c>
      <c r="N181" s="18" t="s">
        <v>1063</v>
      </c>
      <c r="O181" s="18">
        <v>38695.725736119653</v>
      </c>
      <c r="P181" s="18">
        <v>80394290.42979981</v>
      </c>
      <c r="Q181" s="18" t="s">
        <v>1068</v>
      </c>
    </row>
    <row r="182" spans="1:17" x14ac:dyDescent="0.2">
      <c r="A182" s="18">
        <v>181</v>
      </c>
      <c r="B182" s="18">
        <v>181</v>
      </c>
      <c r="C182" s="18">
        <v>181</v>
      </c>
      <c r="D182" s="18">
        <v>79</v>
      </c>
      <c r="E182" s="18" t="s">
        <v>230</v>
      </c>
      <c r="F182" s="18" t="s">
        <v>232</v>
      </c>
      <c r="G182" s="18">
        <v>44.51</v>
      </c>
      <c r="H182" s="18">
        <v>1.6</v>
      </c>
      <c r="I182" s="18">
        <v>4</v>
      </c>
      <c r="J182" s="18">
        <v>40.03</v>
      </c>
      <c r="K182" s="18">
        <v>0</v>
      </c>
      <c r="L182" s="18">
        <v>46.11</v>
      </c>
      <c r="M182" s="18">
        <v>12.81</v>
      </c>
      <c r="N182" s="18" t="s">
        <v>1063</v>
      </c>
      <c r="O182" s="18">
        <v>25137.095204223981</v>
      </c>
      <c r="P182" s="18">
        <v>27947504.17946627</v>
      </c>
      <c r="Q182" s="18" t="s">
        <v>1073</v>
      </c>
    </row>
    <row r="183" spans="1:17" x14ac:dyDescent="0.2">
      <c r="A183" s="18">
        <v>182</v>
      </c>
      <c r="B183" s="18">
        <v>182</v>
      </c>
      <c r="C183" s="18">
        <v>182</v>
      </c>
      <c r="D183" s="18">
        <v>80</v>
      </c>
      <c r="E183" s="18" t="s">
        <v>209</v>
      </c>
      <c r="F183" s="18" t="s">
        <v>211</v>
      </c>
      <c r="G183" s="18">
        <v>1266.56</v>
      </c>
      <c r="H183" s="18">
        <v>665.14</v>
      </c>
      <c r="I183" s="18">
        <v>1662.86</v>
      </c>
      <c r="J183" s="18">
        <v>16628.62</v>
      </c>
      <c r="K183" s="18">
        <v>0</v>
      </c>
      <c r="L183" s="18">
        <v>1931.7</v>
      </c>
      <c r="M183" s="18">
        <v>536.63</v>
      </c>
      <c r="N183" s="18" t="s">
        <v>1063</v>
      </c>
      <c r="O183" s="18">
        <v>52473.572236506378</v>
      </c>
      <c r="P183" s="18">
        <v>75487897.573093921</v>
      </c>
      <c r="Q183" s="18" t="s">
        <v>1069</v>
      </c>
    </row>
    <row r="184" spans="1:17" x14ac:dyDescent="0.2">
      <c r="A184" s="18">
        <v>183</v>
      </c>
      <c r="B184" s="18">
        <v>183</v>
      </c>
      <c r="C184" s="18">
        <v>183</v>
      </c>
      <c r="D184" s="18">
        <v>83</v>
      </c>
      <c r="E184" s="18" t="s">
        <v>215</v>
      </c>
      <c r="F184" s="18" t="s">
        <v>217</v>
      </c>
      <c r="G184" s="18">
        <v>2985.18</v>
      </c>
      <c r="H184" s="18">
        <v>78.16</v>
      </c>
      <c r="I184" s="18">
        <v>195.41</v>
      </c>
      <c r="J184" s="18">
        <v>1954.11</v>
      </c>
      <c r="K184" s="18">
        <v>0</v>
      </c>
      <c r="L184" s="18">
        <v>3063.34</v>
      </c>
      <c r="M184" s="18">
        <v>851</v>
      </c>
      <c r="N184" s="18" t="s">
        <v>1063</v>
      </c>
      <c r="O184" s="18">
        <v>42784.936229416096</v>
      </c>
      <c r="P184" s="18">
        <v>57527276.829121329</v>
      </c>
      <c r="Q184" s="18" t="s">
        <v>1073</v>
      </c>
    </row>
    <row r="185" spans="1:17" x14ac:dyDescent="0.2">
      <c r="A185" s="18">
        <v>184</v>
      </c>
      <c r="B185" s="18">
        <v>184</v>
      </c>
      <c r="C185" s="18">
        <v>184</v>
      </c>
      <c r="D185" s="18">
        <v>84</v>
      </c>
      <c r="E185" s="18" t="s">
        <v>218</v>
      </c>
      <c r="F185" s="18" t="s">
        <v>220</v>
      </c>
      <c r="G185" s="18">
        <v>906.94</v>
      </c>
      <c r="H185" s="18">
        <v>824.57</v>
      </c>
      <c r="I185" s="18">
        <v>2061.41</v>
      </c>
      <c r="J185" s="18">
        <v>20614.14</v>
      </c>
      <c r="K185" s="18">
        <v>0</v>
      </c>
      <c r="L185" s="18">
        <v>1731.51</v>
      </c>
      <c r="M185" s="18">
        <v>481.01</v>
      </c>
      <c r="N185" s="18" t="s">
        <v>1063</v>
      </c>
      <c r="O185" s="18">
        <v>51044.735287101743</v>
      </c>
      <c r="P185" s="18">
        <v>98251745.892596558</v>
      </c>
      <c r="Q185" s="18" t="s">
        <v>1094</v>
      </c>
    </row>
    <row r="186" spans="1:17" x14ac:dyDescent="0.2">
      <c r="A186" s="18">
        <v>185</v>
      </c>
      <c r="B186" s="18">
        <v>185</v>
      </c>
      <c r="C186" s="18">
        <v>185</v>
      </c>
      <c r="D186" s="18">
        <v>85</v>
      </c>
      <c r="E186" s="18" t="s">
        <v>221</v>
      </c>
      <c r="F186" s="18" t="s">
        <v>223</v>
      </c>
      <c r="G186" s="18">
        <v>1105.55</v>
      </c>
      <c r="H186" s="18">
        <v>631.89</v>
      </c>
      <c r="I186" s="18">
        <v>1579.73</v>
      </c>
      <c r="J186" s="18">
        <v>15797.28</v>
      </c>
      <c r="K186" s="18">
        <v>0</v>
      </c>
      <c r="L186" s="18">
        <v>1737.44</v>
      </c>
      <c r="M186" s="18">
        <v>482.66</v>
      </c>
      <c r="N186" s="18" t="s">
        <v>1063</v>
      </c>
      <c r="O186" s="18">
        <v>40785.826377422527</v>
      </c>
      <c r="P186" s="18">
        <v>85612181.354950234</v>
      </c>
      <c r="Q186" s="18" t="s">
        <v>1094</v>
      </c>
    </row>
    <row r="187" spans="1:17" x14ac:dyDescent="0.2">
      <c r="A187" s="18">
        <v>186</v>
      </c>
      <c r="B187" s="18">
        <v>186</v>
      </c>
      <c r="C187" s="18">
        <v>186</v>
      </c>
      <c r="D187" s="18">
        <v>86</v>
      </c>
      <c r="E187" s="18" t="s">
        <v>224</v>
      </c>
      <c r="F187" s="18" t="s">
        <v>226</v>
      </c>
      <c r="G187" s="18">
        <v>706.94</v>
      </c>
      <c r="H187" s="18">
        <v>168.02</v>
      </c>
      <c r="I187" s="18">
        <v>420.04</v>
      </c>
      <c r="J187" s="18">
        <v>4200.42</v>
      </c>
      <c r="K187" s="18">
        <v>0</v>
      </c>
      <c r="L187" s="18">
        <v>874.96</v>
      </c>
      <c r="M187" s="18">
        <v>243.06</v>
      </c>
      <c r="N187" s="18" t="s">
        <v>1063</v>
      </c>
      <c r="O187" s="18">
        <v>35075.3940821699</v>
      </c>
      <c r="P187" s="18">
        <v>47123859.835178882</v>
      </c>
      <c r="Q187" s="18" t="s">
        <v>1073</v>
      </c>
    </row>
    <row r="188" spans="1:17" x14ac:dyDescent="0.2">
      <c r="A188" s="18">
        <v>187</v>
      </c>
      <c r="B188" s="18">
        <v>187</v>
      </c>
      <c r="C188" s="18">
        <v>187</v>
      </c>
      <c r="D188" s="18">
        <v>88</v>
      </c>
      <c r="E188" s="18" t="s">
        <v>233</v>
      </c>
      <c r="F188" s="18" t="s">
        <v>235</v>
      </c>
      <c r="G188" s="18">
        <v>341.62</v>
      </c>
      <c r="H188" s="18">
        <v>121.37</v>
      </c>
      <c r="I188" s="18">
        <v>303.44</v>
      </c>
      <c r="J188" s="18">
        <v>3034.36</v>
      </c>
      <c r="K188" s="18">
        <v>0</v>
      </c>
      <c r="L188" s="18">
        <v>462.99</v>
      </c>
      <c r="M188" s="18">
        <v>128.62</v>
      </c>
      <c r="N188" s="18" t="s">
        <v>1063</v>
      </c>
      <c r="O188" s="18">
        <v>18877.880663709209</v>
      </c>
      <c r="P188" s="18">
        <v>13843397.292193349</v>
      </c>
      <c r="Q188" s="18" t="s">
        <v>1071</v>
      </c>
    </row>
    <row r="189" spans="1:17" x14ac:dyDescent="0.2">
      <c r="A189" s="18">
        <v>188</v>
      </c>
      <c r="B189" s="18">
        <v>188</v>
      </c>
      <c r="C189" s="18">
        <v>188</v>
      </c>
      <c r="D189" s="18">
        <v>89</v>
      </c>
      <c r="E189" s="18" t="s">
        <v>245</v>
      </c>
      <c r="F189" s="18" t="s">
        <v>247</v>
      </c>
      <c r="G189" s="18">
        <v>270.7</v>
      </c>
      <c r="H189" s="18">
        <v>38.04</v>
      </c>
      <c r="I189" s="18">
        <v>95.1</v>
      </c>
      <c r="J189" s="18">
        <v>951</v>
      </c>
      <c r="K189" s="18">
        <v>0</v>
      </c>
      <c r="L189" s="18">
        <v>308.74</v>
      </c>
      <c r="M189" s="18">
        <v>85.77</v>
      </c>
      <c r="N189" s="18" t="s">
        <v>1063</v>
      </c>
      <c r="O189" s="18">
        <v>14592.76496621695</v>
      </c>
      <c r="P189" s="18">
        <v>7844511.0058304146</v>
      </c>
      <c r="Q189" s="18" t="s">
        <v>1073</v>
      </c>
    </row>
    <row r="190" spans="1:17" x14ac:dyDescent="0.2">
      <c r="A190" s="18">
        <v>189</v>
      </c>
      <c r="B190" s="18">
        <v>189</v>
      </c>
      <c r="C190" s="18">
        <v>189</v>
      </c>
      <c r="D190" s="18">
        <v>90</v>
      </c>
      <c r="E190" s="18" t="s">
        <v>236</v>
      </c>
      <c r="F190" s="18" t="s">
        <v>238</v>
      </c>
      <c r="G190" s="18">
        <v>1263.49</v>
      </c>
      <c r="H190" s="18">
        <v>218.21</v>
      </c>
      <c r="I190" s="18">
        <v>545.53</v>
      </c>
      <c r="J190" s="18">
        <v>5455.26</v>
      </c>
      <c r="K190" s="18">
        <v>0</v>
      </c>
      <c r="L190" s="18">
        <v>1481.7</v>
      </c>
      <c r="M190" s="18">
        <v>411.62</v>
      </c>
      <c r="N190" s="18" t="s">
        <v>1063</v>
      </c>
      <c r="O190" s="18">
        <v>32094.789451104851</v>
      </c>
      <c r="P190" s="18">
        <v>35540710.379457027</v>
      </c>
      <c r="Q190" s="18" t="s">
        <v>1069</v>
      </c>
    </row>
    <row r="191" spans="1:17" x14ac:dyDescent="0.2">
      <c r="A191" s="18">
        <v>190</v>
      </c>
      <c r="B191" s="18">
        <v>190</v>
      </c>
      <c r="C191" s="18">
        <v>190</v>
      </c>
      <c r="D191" s="18">
        <v>91</v>
      </c>
      <c r="E191" s="18" t="s">
        <v>242</v>
      </c>
      <c r="F191" s="18" t="s">
        <v>244</v>
      </c>
      <c r="G191" s="18">
        <v>664.76</v>
      </c>
      <c r="H191" s="18">
        <v>187.64</v>
      </c>
      <c r="I191" s="18">
        <v>469.1</v>
      </c>
      <c r="J191" s="18">
        <v>4691</v>
      </c>
      <c r="K191" s="18">
        <v>0</v>
      </c>
      <c r="L191" s="18">
        <v>852.4</v>
      </c>
      <c r="M191" s="18">
        <v>236.8</v>
      </c>
      <c r="N191" s="18" t="s">
        <v>1063</v>
      </c>
      <c r="O191" s="18">
        <v>33976.547610898058</v>
      </c>
      <c r="P191" s="18">
        <v>32351306.798106842</v>
      </c>
      <c r="Q191" s="18" t="s">
        <v>1071</v>
      </c>
    </row>
    <row r="192" spans="1:17" x14ac:dyDescent="0.2">
      <c r="A192" s="18">
        <v>191</v>
      </c>
      <c r="B192" s="18">
        <v>191</v>
      </c>
      <c r="C192" s="18">
        <v>191</v>
      </c>
      <c r="D192" s="18">
        <v>92</v>
      </c>
      <c r="E192" s="18" t="s">
        <v>248</v>
      </c>
      <c r="F192" s="18" t="s">
        <v>250</v>
      </c>
      <c r="G192" s="18">
        <v>1395</v>
      </c>
      <c r="H192" s="18">
        <v>1497.79</v>
      </c>
      <c r="I192" s="18">
        <v>3744.48</v>
      </c>
      <c r="J192" s="18">
        <v>37444.83</v>
      </c>
      <c r="K192" s="18">
        <v>0</v>
      </c>
      <c r="L192" s="18">
        <v>2892.79</v>
      </c>
      <c r="M192" s="18">
        <v>803.62</v>
      </c>
      <c r="N192" s="18" t="s">
        <v>1063</v>
      </c>
      <c r="O192" s="18">
        <v>52914.659406764913</v>
      </c>
      <c r="P192" s="18">
        <v>138803984.79968491</v>
      </c>
      <c r="Q192" s="18" t="s">
        <v>1070</v>
      </c>
    </row>
    <row r="193" spans="1:17" x14ac:dyDescent="0.2">
      <c r="A193" s="18">
        <v>192</v>
      </c>
      <c r="B193" s="18">
        <v>192</v>
      </c>
      <c r="C193" s="18">
        <v>192</v>
      </c>
      <c r="D193" s="18">
        <v>93</v>
      </c>
      <c r="E193" s="18" t="s">
        <v>251</v>
      </c>
      <c r="F193" s="18" t="s">
        <v>253</v>
      </c>
      <c r="G193" s="18">
        <v>1410.66</v>
      </c>
      <c r="H193" s="18">
        <v>613.32000000000005</v>
      </c>
      <c r="I193" s="18">
        <v>1533.3</v>
      </c>
      <c r="J193" s="18">
        <v>15332.98</v>
      </c>
      <c r="K193" s="18">
        <v>0</v>
      </c>
      <c r="L193" s="18">
        <v>2023.98</v>
      </c>
      <c r="M193" s="18">
        <v>562.26</v>
      </c>
      <c r="N193" s="18" t="s">
        <v>1063</v>
      </c>
      <c r="O193" s="18">
        <v>44358.44039201636</v>
      </c>
      <c r="P193" s="18">
        <v>69579974.083952785</v>
      </c>
      <c r="Q193" s="18" t="s">
        <v>1073</v>
      </c>
    </row>
    <row r="194" spans="1:17" x14ac:dyDescent="0.2">
      <c r="A194" s="18">
        <v>193</v>
      </c>
      <c r="B194" s="18">
        <v>193</v>
      </c>
      <c r="C194" s="18">
        <v>193</v>
      </c>
      <c r="D194" s="18">
        <v>94</v>
      </c>
      <c r="E194" s="18" t="s">
        <v>266</v>
      </c>
      <c r="F194" s="18" t="s">
        <v>268</v>
      </c>
      <c r="G194" s="18">
        <v>1958.05</v>
      </c>
      <c r="H194" s="18">
        <v>4489.58</v>
      </c>
      <c r="I194" s="18">
        <v>11223.96</v>
      </c>
      <c r="J194" s="18">
        <v>112239.62</v>
      </c>
      <c r="K194" s="18">
        <v>10.07</v>
      </c>
      <c r="L194" s="18">
        <v>6457.7</v>
      </c>
      <c r="M194" s="18">
        <v>1793.95</v>
      </c>
      <c r="N194" s="18" t="s">
        <v>1063</v>
      </c>
      <c r="O194" s="18">
        <v>81879.230235483978</v>
      </c>
      <c r="P194" s="18">
        <v>338475526.55070549</v>
      </c>
      <c r="Q194" s="18" t="s">
        <v>1093</v>
      </c>
    </row>
    <row r="195" spans="1:17" x14ac:dyDescent="0.2">
      <c r="A195" s="18">
        <v>194</v>
      </c>
      <c r="B195" s="18">
        <v>194</v>
      </c>
      <c r="C195" s="18">
        <v>194</v>
      </c>
      <c r="D195" s="18">
        <v>96</v>
      </c>
      <c r="E195" s="18" t="s">
        <v>254</v>
      </c>
      <c r="F195" s="18" t="s">
        <v>256</v>
      </c>
      <c r="G195" s="18">
        <v>1176.29</v>
      </c>
      <c r="H195" s="18">
        <v>732.86</v>
      </c>
      <c r="I195" s="18">
        <v>1832.16</v>
      </c>
      <c r="J195" s="18">
        <v>18321.599999999999</v>
      </c>
      <c r="K195" s="18">
        <v>0</v>
      </c>
      <c r="L195" s="18">
        <v>1909.15</v>
      </c>
      <c r="M195" s="18">
        <v>530.36</v>
      </c>
      <c r="N195" s="18" t="s">
        <v>1063</v>
      </c>
      <c r="O195" s="18">
        <v>58894.266010173771</v>
      </c>
      <c r="P195" s="18">
        <v>89056674.211418062</v>
      </c>
      <c r="Q195" s="18" t="s">
        <v>1069</v>
      </c>
    </row>
    <row r="196" spans="1:17" x14ac:dyDescent="0.2">
      <c r="A196" s="18">
        <v>195</v>
      </c>
      <c r="B196" s="18">
        <v>195</v>
      </c>
      <c r="C196" s="18">
        <v>195</v>
      </c>
      <c r="D196" s="18">
        <v>99</v>
      </c>
      <c r="E196" s="18" t="s">
        <v>263</v>
      </c>
      <c r="F196" s="18" t="s">
        <v>265</v>
      </c>
      <c r="G196" s="18">
        <v>902.22</v>
      </c>
      <c r="H196" s="18">
        <v>371.86</v>
      </c>
      <c r="I196" s="18">
        <v>929.64</v>
      </c>
      <c r="J196" s="18">
        <v>9296.41</v>
      </c>
      <c r="K196" s="18">
        <v>0</v>
      </c>
      <c r="L196" s="18">
        <v>1274.08</v>
      </c>
      <c r="M196" s="18">
        <v>353.94</v>
      </c>
      <c r="N196" s="18" t="s">
        <v>1063</v>
      </c>
      <c r="O196" s="18">
        <v>54695.195490493221</v>
      </c>
      <c r="P196" s="18">
        <v>128900372.30036201</v>
      </c>
      <c r="Q196" s="18" t="s">
        <v>1094</v>
      </c>
    </row>
    <row r="197" spans="1:17" x14ac:dyDescent="0.2">
      <c r="A197" s="18">
        <v>196</v>
      </c>
      <c r="B197" s="18">
        <v>196</v>
      </c>
      <c r="C197" s="18">
        <v>196</v>
      </c>
      <c r="D197" s="18">
        <v>100</v>
      </c>
      <c r="E197" s="18" t="s">
        <v>272</v>
      </c>
      <c r="F197" s="18" t="s">
        <v>274</v>
      </c>
      <c r="G197" s="18">
        <v>481.42</v>
      </c>
      <c r="H197" s="18">
        <v>109.45</v>
      </c>
      <c r="I197" s="18">
        <v>273.62</v>
      </c>
      <c r="J197" s="18">
        <v>2736.24</v>
      </c>
      <c r="K197" s="18">
        <v>0</v>
      </c>
      <c r="L197" s="18">
        <v>590.87</v>
      </c>
      <c r="M197" s="18">
        <v>164.14</v>
      </c>
      <c r="N197" s="18" t="s">
        <v>1063</v>
      </c>
      <c r="O197" s="18">
        <v>31522.966659218338</v>
      </c>
      <c r="P197" s="18">
        <v>33026352.452252321</v>
      </c>
      <c r="Q197" s="18" t="s">
        <v>1072</v>
      </c>
    </row>
    <row r="198" spans="1:17" x14ac:dyDescent="0.2">
      <c r="A198" s="18">
        <v>197</v>
      </c>
      <c r="B198" s="18">
        <v>197</v>
      </c>
      <c r="C198" s="18">
        <v>197</v>
      </c>
      <c r="D198" s="18">
        <v>101</v>
      </c>
      <c r="E198" s="18" t="s">
        <v>281</v>
      </c>
      <c r="F198" s="18" t="s">
        <v>283</v>
      </c>
      <c r="G198" s="18">
        <v>606.86</v>
      </c>
      <c r="H198" s="18">
        <v>376.79</v>
      </c>
      <c r="I198" s="18">
        <v>941.98</v>
      </c>
      <c r="J198" s="18">
        <v>9419.85</v>
      </c>
      <c r="K198" s="18">
        <v>0</v>
      </c>
      <c r="L198" s="18">
        <v>983.65</v>
      </c>
      <c r="M198" s="18">
        <v>273.26</v>
      </c>
      <c r="N198" s="18" t="s">
        <v>1063</v>
      </c>
      <c r="O198" s="18">
        <v>24571.223650437249</v>
      </c>
      <c r="P198" s="18">
        <v>30903730.766550928</v>
      </c>
      <c r="Q198" s="18" t="s">
        <v>1072</v>
      </c>
    </row>
    <row r="199" spans="1:17" x14ac:dyDescent="0.2">
      <c r="A199" s="18">
        <v>198</v>
      </c>
      <c r="B199" s="18">
        <v>198</v>
      </c>
      <c r="C199" s="18">
        <v>198</v>
      </c>
      <c r="D199" s="18">
        <v>102</v>
      </c>
      <c r="E199" s="18" t="s">
        <v>275</v>
      </c>
      <c r="F199" s="18" t="s">
        <v>277</v>
      </c>
      <c r="G199" s="18">
        <v>1031.96</v>
      </c>
      <c r="H199" s="18">
        <v>403.06</v>
      </c>
      <c r="I199" s="18">
        <v>1007.65</v>
      </c>
      <c r="J199" s="18">
        <v>10076.530000000001</v>
      </c>
      <c r="K199" s="18">
        <v>0</v>
      </c>
      <c r="L199" s="18">
        <v>1435.02</v>
      </c>
      <c r="M199" s="18">
        <v>398.65</v>
      </c>
      <c r="N199" s="18" t="s">
        <v>1063</v>
      </c>
      <c r="O199" s="18">
        <v>43218.830720092839</v>
      </c>
      <c r="P199" s="18">
        <v>67101470.195609018</v>
      </c>
      <c r="Q199" s="18" t="s">
        <v>1074</v>
      </c>
    </row>
    <row r="200" spans="1:17" x14ac:dyDescent="0.2">
      <c r="A200" s="18">
        <v>199</v>
      </c>
      <c r="B200" s="18">
        <v>199</v>
      </c>
      <c r="C200" s="18">
        <v>199</v>
      </c>
      <c r="D200" s="18">
        <v>103</v>
      </c>
      <c r="E200" s="18" t="s">
        <v>278</v>
      </c>
      <c r="F200" s="18" t="s">
        <v>280</v>
      </c>
      <c r="G200" s="18">
        <v>514.62</v>
      </c>
      <c r="H200" s="18">
        <v>396.48</v>
      </c>
      <c r="I200" s="18">
        <v>991.21</v>
      </c>
      <c r="J200" s="18">
        <v>9912.0499999999993</v>
      </c>
      <c r="K200" s="18">
        <v>0</v>
      </c>
      <c r="L200" s="18">
        <v>911.1</v>
      </c>
      <c r="M200" s="18">
        <v>253.1</v>
      </c>
      <c r="N200" s="18" t="s">
        <v>1063</v>
      </c>
      <c r="O200" s="18">
        <v>34539.364273550447</v>
      </c>
      <c r="P200" s="18">
        <v>37571649.686361812</v>
      </c>
      <c r="Q200" s="18" t="s">
        <v>1074</v>
      </c>
    </row>
    <row r="201" spans="1:17" x14ac:dyDescent="0.2">
      <c r="A201" s="18">
        <v>200</v>
      </c>
      <c r="B201" s="18">
        <v>200</v>
      </c>
      <c r="C201" s="18">
        <v>200</v>
      </c>
      <c r="D201" s="18">
        <v>105</v>
      </c>
      <c r="E201" s="18" t="s">
        <v>305</v>
      </c>
      <c r="F201" s="18" t="s">
        <v>307</v>
      </c>
      <c r="G201" s="18">
        <v>1088.1600000000001</v>
      </c>
      <c r="H201" s="18">
        <v>136.18</v>
      </c>
      <c r="I201" s="18">
        <v>340.44</v>
      </c>
      <c r="J201" s="18">
        <v>3404.44</v>
      </c>
      <c r="K201" s="18">
        <v>0</v>
      </c>
      <c r="L201" s="18">
        <v>1224.3399999999999</v>
      </c>
      <c r="M201" s="18">
        <v>340.12</v>
      </c>
      <c r="N201" s="18" t="s">
        <v>1063</v>
      </c>
      <c r="O201" s="18">
        <v>30492.873307473179</v>
      </c>
      <c r="P201" s="18">
        <v>46447341.490943886</v>
      </c>
      <c r="Q201" s="18" t="s">
        <v>1072</v>
      </c>
    </row>
    <row r="202" spans="1:17" x14ac:dyDescent="0.2">
      <c r="A202" s="18">
        <v>201</v>
      </c>
      <c r="B202" s="18">
        <v>201</v>
      </c>
      <c r="C202" s="18">
        <v>201</v>
      </c>
      <c r="D202" s="18">
        <v>106</v>
      </c>
      <c r="E202" s="18" t="s">
        <v>287</v>
      </c>
      <c r="F202" s="18" t="s">
        <v>289</v>
      </c>
      <c r="G202" s="18">
        <v>1120.97</v>
      </c>
      <c r="H202" s="18">
        <v>539.48</v>
      </c>
      <c r="I202" s="18">
        <v>1348.7</v>
      </c>
      <c r="J202" s="18">
        <v>13487.02</v>
      </c>
      <c r="K202" s="18">
        <v>0</v>
      </c>
      <c r="L202" s="18">
        <v>1660.45</v>
      </c>
      <c r="M202" s="18">
        <v>461.27</v>
      </c>
      <c r="N202" s="18" t="s">
        <v>1063</v>
      </c>
      <c r="O202" s="18">
        <v>38596.684413961637</v>
      </c>
      <c r="P202" s="18">
        <v>58976200.159288637</v>
      </c>
      <c r="Q202" s="18" t="s">
        <v>1074</v>
      </c>
    </row>
    <row r="203" spans="1:17" x14ac:dyDescent="0.2">
      <c r="A203" s="18">
        <v>202</v>
      </c>
      <c r="B203" s="18">
        <v>202</v>
      </c>
      <c r="C203" s="18">
        <v>202</v>
      </c>
      <c r="D203" s="18">
        <v>108</v>
      </c>
      <c r="E203" s="18" t="s">
        <v>290</v>
      </c>
      <c r="F203" s="18" t="s">
        <v>292</v>
      </c>
      <c r="G203" s="18">
        <v>783.92</v>
      </c>
      <c r="H203" s="18">
        <v>374.54</v>
      </c>
      <c r="I203" s="18">
        <v>936.36</v>
      </c>
      <c r="J203" s="18">
        <v>9363.57</v>
      </c>
      <c r="K203" s="18">
        <v>0</v>
      </c>
      <c r="L203" s="18">
        <v>1158.46</v>
      </c>
      <c r="M203" s="18">
        <v>321.82</v>
      </c>
      <c r="N203" s="18" t="s">
        <v>1063</v>
      </c>
      <c r="O203" s="18">
        <v>42185.603531171859</v>
      </c>
      <c r="P203" s="18">
        <v>58941586.21051912</v>
      </c>
      <c r="Q203" s="18" t="s">
        <v>1072</v>
      </c>
    </row>
    <row r="204" spans="1:17" x14ac:dyDescent="0.2">
      <c r="A204" s="18">
        <v>203</v>
      </c>
      <c r="B204" s="18">
        <v>203</v>
      </c>
      <c r="C204" s="18">
        <v>203</v>
      </c>
      <c r="D204" s="18">
        <v>109</v>
      </c>
      <c r="E204" s="18" t="s">
        <v>293</v>
      </c>
      <c r="F204" s="18" t="s">
        <v>295</v>
      </c>
      <c r="G204" s="18">
        <v>681.16</v>
      </c>
      <c r="H204" s="18">
        <v>983.39</v>
      </c>
      <c r="I204" s="18">
        <v>2458.48</v>
      </c>
      <c r="J204" s="18">
        <v>24584.83</v>
      </c>
      <c r="K204" s="18">
        <v>0</v>
      </c>
      <c r="L204" s="18">
        <v>1664.55</v>
      </c>
      <c r="M204" s="18">
        <v>462.41</v>
      </c>
      <c r="N204" s="18" t="s">
        <v>1063</v>
      </c>
      <c r="O204" s="18">
        <v>42342.648485666228</v>
      </c>
      <c r="P204" s="18">
        <v>78916733.374125943</v>
      </c>
      <c r="Q204" s="18" t="s">
        <v>1074</v>
      </c>
    </row>
    <row r="205" spans="1:17" x14ac:dyDescent="0.2">
      <c r="A205" s="18">
        <v>204</v>
      </c>
      <c r="B205" s="18">
        <v>204</v>
      </c>
      <c r="C205" s="18">
        <v>204</v>
      </c>
      <c r="D205" s="18">
        <v>110</v>
      </c>
      <c r="E205" s="18" t="s">
        <v>296</v>
      </c>
      <c r="F205" s="18" t="s">
        <v>298</v>
      </c>
      <c r="G205" s="18">
        <v>490.11</v>
      </c>
      <c r="H205" s="18">
        <v>475.48</v>
      </c>
      <c r="I205" s="18">
        <v>1188.71</v>
      </c>
      <c r="J205" s="18">
        <v>11887.11</v>
      </c>
      <c r="K205" s="18">
        <v>0</v>
      </c>
      <c r="L205" s="18">
        <v>965.59</v>
      </c>
      <c r="M205" s="18">
        <v>268.24</v>
      </c>
      <c r="N205" s="18" t="s">
        <v>1063</v>
      </c>
      <c r="O205" s="18">
        <v>36460.468749732048</v>
      </c>
      <c r="P205" s="18">
        <v>38223337.125132568</v>
      </c>
      <c r="Q205" s="18" t="s">
        <v>1074</v>
      </c>
    </row>
    <row r="206" spans="1:17" x14ac:dyDescent="0.2">
      <c r="A206" s="18">
        <v>205</v>
      </c>
      <c r="B206" s="18">
        <v>205</v>
      </c>
      <c r="C206" s="18">
        <v>205</v>
      </c>
      <c r="D206" s="18">
        <v>111</v>
      </c>
      <c r="E206" s="18" t="s">
        <v>299</v>
      </c>
      <c r="F206" s="18" t="s">
        <v>301</v>
      </c>
      <c r="G206" s="18">
        <v>314.11</v>
      </c>
      <c r="H206" s="18">
        <v>202.61</v>
      </c>
      <c r="I206" s="18">
        <v>506.54</v>
      </c>
      <c r="J206" s="18">
        <v>5065.3500000000004</v>
      </c>
      <c r="K206" s="18">
        <v>0</v>
      </c>
      <c r="L206" s="18">
        <v>516.72</v>
      </c>
      <c r="M206" s="18">
        <v>143.54</v>
      </c>
      <c r="N206" s="18" t="s">
        <v>1063</v>
      </c>
      <c r="O206" s="18">
        <v>23947.76092873708</v>
      </c>
      <c r="P206" s="18">
        <v>18517352.505141702</v>
      </c>
      <c r="Q206" s="18" t="s">
        <v>1071</v>
      </c>
    </row>
    <row r="207" spans="1:17" x14ac:dyDescent="0.2">
      <c r="A207" s="18">
        <v>206</v>
      </c>
      <c r="B207" s="18">
        <v>206</v>
      </c>
      <c r="C207" s="18">
        <v>206</v>
      </c>
      <c r="D207" s="18">
        <v>112</v>
      </c>
      <c r="E207" s="18" t="s">
        <v>302</v>
      </c>
      <c r="F207" s="18" t="s">
        <v>304</v>
      </c>
      <c r="G207" s="18">
        <v>582.54999999999995</v>
      </c>
      <c r="H207" s="18">
        <v>258.98</v>
      </c>
      <c r="I207" s="18">
        <v>647.45000000000005</v>
      </c>
      <c r="J207" s="18">
        <v>6474.55</v>
      </c>
      <c r="K207" s="18">
        <v>0</v>
      </c>
      <c r="L207" s="18">
        <v>841.53</v>
      </c>
      <c r="M207" s="18">
        <v>233.78</v>
      </c>
      <c r="N207" s="18" t="s">
        <v>1063</v>
      </c>
      <c r="O207" s="18">
        <v>34293.034725550999</v>
      </c>
      <c r="P207" s="18">
        <v>43735890.085161157</v>
      </c>
      <c r="Q207" s="18" t="s">
        <v>1071</v>
      </c>
    </row>
    <row r="208" spans="1:17" x14ac:dyDescent="0.2">
      <c r="A208" s="18">
        <v>207</v>
      </c>
      <c r="B208" s="18">
        <v>207</v>
      </c>
      <c r="C208" s="18">
        <v>207</v>
      </c>
      <c r="D208" s="18">
        <v>113</v>
      </c>
      <c r="E208" s="18" t="s">
        <v>317</v>
      </c>
      <c r="F208" s="18" t="s">
        <v>319</v>
      </c>
      <c r="G208" s="18">
        <v>617.53</v>
      </c>
      <c r="H208" s="18">
        <v>507.86</v>
      </c>
      <c r="I208" s="18">
        <v>1269.6400000000001</v>
      </c>
      <c r="J208" s="18">
        <v>12696.42</v>
      </c>
      <c r="K208" s="18">
        <v>0</v>
      </c>
      <c r="L208" s="18">
        <v>1125.3900000000001</v>
      </c>
      <c r="M208" s="18">
        <v>312.63</v>
      </c>
      <c r="N208" s="18" t="s">
        <v>1063</v>
      </c>
      <c r="O208" s="18">
        <v>36980.12511191237</v>
      </c>
      <c r="P208" s="18">
        <v>50453790.890691541</v>
      </c>
      <c r="Q208" s="18" t="s">
        <v>1074</v>
      </c>
    </row>
    <row r="209" spans="1:17" x14ac:dyDescent="0.2">
      <c r="A209" s="18">
        <v>208</v>
      </c>
      <c r="B209" s="18">
        <v>208</v>
      </c>
      <c r="C209" s="18">
        <v>208</v>
      </c>
      <c r="D209" s="18">
        <v>114</v>
      </c>
      <c r="E209" s="18" t="s">
        <v>320</v>
      </c>
      <c r="F209" s="18" t="s">
        <v>322</v>
      </c>
      <c r="G209" s="18">
        <v>649.92999999999995</v>
      </c>
      <c r="H209" s="18">
        <v>189.8</v>
      </c>
      <c r="I209" s="18">
        <v>474.5</v>
      </c>
      <c r="J209" s="18">
        <v>4745.05</v>
      </c>
      <c r="K209" s="18">
        <v>0</v>
      </c>
      <c r="L209" s="18">
        <v>839.73</v>
      </c>
      <c r="M209" s="18">
        <v>233.28</v>
      </c>
      <c r="N209" s="18" t="s">
        <v>1063</v>
      </c>
      <c r="O209" s="18">
        <v>25543.126747828381</v>
      </c>
      <c r="P209" s="18">
        <v>21619249.299088798</v>
      </c>
      <c r="Q209" s="18" t="s">
        <v>1074</v>
      </c>
    </row>
    <row r="210" spans="1:17" x14ac:dyDescent="0.2">
      <c r="A210" s="18">
        <v>209</v>
      </c>
      <c r="B210" s="18">
        <v>209</v>
      </c>
      <c r="C210" s="18">
        <v>209</v>
      </c>
      <c r="D210" s="18">
        <v>115</v>
      </c>
      <c r="E210" s="18" t="s">
        <v>326</v>
      </c>
      <c r="F210" s="18" t="s">
        <v>328</v>
      </c>
      <c r="G210" s="18">
        <v>1317.8</v>
      </c>
      <c r="H210" s="18">
        <v>25.46</v>
      </c>
      <c r="I210" s="18">
        <v>63.65</v>
      </c>
      <c r="J210" s="18">
        <v>636.54</v>
      </c>
      <c r="K210" s="18">
        <v>0</v>
      </c>
      <c r="L210" s="18">
        <v>1343.26</v>
      </c>
      <c r="M210" s="18">
        <v>373.16</v>
      </c>
      <c r="N210" s="18" t="s">
        <v>1063</v>
      </c>
      <c r="O210" s="18">
        <v>24038.96476702542</v>
      </c>
      <c r="P210" s="18">
        <v>25680014.459392808</v>
      </c>
      <c r="Q210" s="18" t="s">
        <v>1074</v>
      </c>
    </row>
    <row r="211" spans="1:17" x14ac:dyDescent="0.2">
      <c r="A211" s="18">
        <v>210</v>
      </c>
      <c r="B211" s="18">
        <v>210</v>
      </c>
      <c r="C211" s="18">
        <v>210</v>
      </c>
      <c r="D211" s="18">
        <v>116</v>
      </c>
      <c r="E211" s="18" t="s">
        <v>323</v>
      </c>
      <c r="F211" s="18" t="s">
        <v>325</v>
      </c>
      <c r="G211" s="18">
        <v>1216.58</v>
      </c>
      <c r="H211" s="18">
        <v>69.349999999999994</v>
      </c>
      <c r="I211" s="18">
        <v>173.38</v>
      </c>
      <c r="J211" s="18">
        <v>1733.75</v>
      </c>
      <c r="K211" s="18">
        <v>0</v>
      </c>
      <c r="L211" s="18">
        <v>1285.93</v>
      </c>
      <c r="M211" s="18">
        <v>357.23</v>
      </c>
      <c r="N211" s="18" t="s">
        <v>1063</v>
      </c>
      <c r="O211" s="18">
        <v>44553.499717469138</v>
      </c>
      <c r="P211" s="18">
        <v>48644833.150224254</v>
      </c>
      <c r="Q211" s="18" t="s">
        <v>1074</v>
      </c>
    </row>
    <row r="212" spans="1:17" x14ac:dyDescent="0.2">
      <c r="A212" s="18">
        <v>211</v>
      </c>
      <c r="B212" s="18">
        <v>211</v>
      </c>
      <c r="C212" s="18">
        <v>211</v>
      </c>
      <c r="D212" s="18">
        <v>117</v>
      </c>
      <c r="E212" s="18" t="s">
        <v>347</v>
      </c>
      <c r="F212" s="18" t="s">
        <v>349</v>
      </c>
      <c r="G212" s="18">
        <v>247.76</v>
      </c>
      <c r="H212" s="18">
        <v>39.53</v>
      </c>
      <c r="I212" s="18">
        <v>98.82</v>
      </c>
      <c r="J212" s="18">
        <v>988.22</v>
      </c>
      <c r="K212" s="18">
        <v>0</v>
      </c>
      <c r="L212" s="18">
        <v>287.29000000000002</v>
      </c>
      <c r="M212" s="18">
        <v>79.81</v>
      </c>
      <c r="N212" s="18" t="s">
        <v>1063</v>
      </c>
      <c r="O212" s="18">
        <v>20844.057476629991</v>
      </c>
      <c r="P212" s="18">
        <v>9986970.9507401232</v>
      </c>
      <c r="Q212" s="18" t="s">
        <v>1076</v>
      </c>
    </row>
    <row r="213" spans="1:17" x14ac:dyDescent="0.2">
      <c r="A213" s="18">
        <v>212</v>
      </c>
      <c r="B213" s="18">
        <v>212</v>
      </c>
      <c r="C213" s="18">
        <v>212</v>
      </c>
      <c r="D213" s="18">
        <v>118</v>
      </c>
      <c r="E213" s="18" t="s">
        <v>329</v>
      </c>
      <c r="F213" s="18" t="s">
        <v>331</v>
      </c>
      <c r="G213" s="18">
        <v>1156.69</v>
      </c>
      <c r="H213" s="18">
        <v>47.4</v>
      </c>
      <c r="I213" s="18">
        <v>118.5</v>
      </c>
      <c r="J213" s="18">
        <v>1185.04</v>
      </c>
      <c r="K213" s="18">
        <v>140.61000000000001</v>
      </c>
      <c r="L213" s="18">
        <v>1344.7</v>
      </c>
      <c r="M213" s="18">
        <v>373.56</v>
      </c>
      <c r="N213" s="18" t="s">
        <v>1063</v>
      </c>
      <c r="O213" s="18">
        <v>32912.543989639227</v>
      </c>
      <c r="P213" s="18">
        <v>32237390.39493417</v>
      </c>
      <c r="Q213" s="18" t="s">
        <v>1076</v>
      </c>
    </row>
    <row r="214" spans="1:17" x14ac:dyDescent="0.2">
      <c r="A214" s="18">
        <v>213</v>
      </c>
      <c r="B214" s="18">
        <v>213</v>
      </c>
      <c r="C214" s="18">
        <v>213</v>
      </c>
      <c r="D214" s="18">
        <v>120</v>
      </c>
      <c r="E214" s="18" t="s">
        <v>335</v>
      </c>
      <c r="F214" s="18" t="s">
        <v>337</v>
      </c>
      <c r="G214" s="18">
        <v>1410.81</v>
      </c>
      <c r="H214" s="18">
        <v>202.07</v>
      </c>
      <c r="I214" s="18">
        <v>505.17</v>
      </c>
      <c r="J214" s="18">
        <v>5051.74</v>
      </c>
      <c r="K214" s="18">
        <v>0.01</v>
      </c>
      <c r="L214" s="18">
        <v>1612.89</v>
      </c>
      <c r="M214" s="18">
        <v>448.06</v>
      </c>
      <c r="N214" s="18" t="s">
        <v>1063</v>
      </c>
      <c r="O214" s="18">
        <v>31719.885398785918</v>
      </c>
      <c r="P214" s="18">
        <v>44046174.048139103</v>
      </c>
      <c r="Q214" s="18" t="s">
        <v>1076</v>
      </c>
    </row>
    <row r="215" spans="1:17" x14ac:dyDescent="0.2">
      <c r="A215" s="18">
        <v>214</v>
      </c>
      <c r="B215" s="18">
        <v>214</v>
      </c>
      <c r="C215" s="18">
        <v>214</v>
      </c>
      <c r="D215" s="18">
        <v>122</v>
      </c>
      <c r="E215" s="18" t="s">
        <v>1102</v>
      </c>
      <c r="F215" s="18" t="s">
        <v>1103</v>
      </c>
      <c r="G215" s="18">
        <v>494.99</v>
      </c>
      <c r="H215" s="18">
        <v>990.23</v>
      </c>
      <c r="I215" s="18">
        <v>2475.56</v>
      </c>
      <c r="J215" s="18">
        <v>24755.63</v>
      </c>
      <c r="K215" s="18">
        <v>0</v>
      </c>
      <c r="L215" s="18">
        <v>1485.22</v>
      </c>
      <c r="M215" s="18">
        <v>412.59</v>
      </c>
      <c r="N215" s="18" t="s">
        <v>1063</v>
      </c>
      <c r="O215" s="18">
        <v>38548.506913100908</v>
      </c>
      <c r="P215" s="18">
        <v>72081222.810501561</v>
      </c>
      <c r="Q215" s="18" t="s">
        <v>1076</v>
      </c>
    </row>
    <row r="216" spans="1:17" x14ac:dyDescent="0.2">
      <c r="A216" s="18">
        <v>215</v>
      </c>
      <c r="B216" s="18">
        <v>215</v>
      </c>
      <c r="C216" s="18">
        <v>215</v>
      </c>
      <c r="D216" s="18">
        <v>123</v>
      </c>
      <c r="E216" s="18" t="s">
        <v>341</v>
      </c>
      <c r="F216" s="18" t="s">
        <v>343</v>
      </c>
      <c r="G216" s="18">
        <v>907.93</v>
      </c>
      <c r="H216" s="18">
        <v>542.96</v>
      </c>
      <c r="I216" s="18">
        <v>1357.39</v>
      </c>
      <c r="J216" s="18">
        <v>13573.92</v>
      </c>
      <c r="K216" s="18">
        <v>0</v>
      </c>
      <c r="L216" s="18">
        <v>1450.89</v>
      </c>
      <c r="M216" s="18">
        <v>403.06</v>
      </c>
      <c r="N216" s="18" t="s">
        <v>1063</v>
      </c>
      <c r="O216" s="18">
        <v>52867.837214396772</v>
      </c>
      <c r="P216" s="18">
        <v>99417375.299285159</v>
      </c>
      <c r="Q216" s="18" t="s">
        <v>1075</v>
      </c>
    </row>
    <row r="217" spans="1:17" x14ac:dyDescent="0.2">
      <c r="A217" s="18">
        <v>216</v>
      </c>
      <c r="B217" s="18">
        <v>216</v>
      </c>
      <c r="C217" s="18">
        <v>216</v>
      </c>
      <c r="D217" s="18">
        <v>124</v>
      </c>
      <c r="E217" s="18" t="s">
        <v>344</v>
      </c>
      <c r="F217" s="18" t="s">
        <v>346</v>
      </c>
      <c r="G217" s="18">
        <v>965.32</v>
      </c>
      <c r="H217" s="18">
        <v>35.409999999999997</v>
      </c>
      <c r="I217" s="18">
        <v>88.52</v>
      </c>
      <c r="J217" s="18">
        <v>885.23</v>
      </c>
      <c r="K217" s="18">
        <v>0</v>
      </c>
      <c r="L217" s="18">
        <v>1000.73</v>
      </c>
      <c r="M217" s="18">
        <v>278</v>
      </c>
      <c r="N217" s="18" t="s">
        <v>1063</v>
      </c>
      <c r="O217" s="18">
        <v>25849.435350051819</v>
      </c>
      <c r="P217" s="18">
        <v>18827058.538789108</v>
      </c>
      <c r="Q217" s="18" t="s">
        <v>1076</v>
      </c>
    </row>
    <row r="218" spans="1:17" x14ac:dyDescent="0.2">
      <c r="A218" s="18">
        <v>217</v>
      </c>
      <c r="B218" s="18">
        <v>217</v>
      </c>
      <c r="C218" s="18">
        <v>217</v>
      </c>
      <c r="D218" s="18">
        <v>125</v>
      </c>
      <c r="E218" s="18" t="s">
        <v>350</v>
      </c>
      <c r="F218" s="18" t="s">
        <v>352</v>
      </c>
      <c r="G218" s="18">
        <v>486.74</v>
      </c>
      <c r="H218" s="18">
        <v>52.46</v>
      </c>
      <c r="I218" s="18">
        <v>131.16</v>
      </c>
      <c r="J218" s="18">
        <v>1311.59</v>
      </c>
      <c r="K218" s="18">
        <v>0</v>
      </c>
      <c r="L218" s="18">
        <v>539.20000000000005</v>
      </c>
      <c r="M218" s="18">
        <v>149.79</v>
      </c>
      <c r="N218" s="18" t="s">
        <v>1063</v>
      </c>
      <c r="O218" s="18">
        <v>43226.949754424932</v>
      </c>
      <c r="P218" s="18">
        <v>40424309.442319714</v>
      </c>
      <c r="Q218" s="18" t="s">
        <v>1076</v>
      </c>
    </row>
    <row r="219" spans="1:17" x14ac:dyDescent="0.2">
      <c r="A219" s="18">
        <v>218</v>
      </c>
      <c r="B219" s="18">
        <v>218</v>
      </c>
      <c r="C219" s="18">
        <v>218</v>
      </c>
      <c r="D219" s="18">
        <v>126</v>
      </c>
      <c r="E219" s="18" t="s">
        <v>353</v>
      </c>
      <c r="F219" s="18" t="s">
        <v>355</v>
      </c>
      <c r="G219" s="18">
        <v>802.24</v>
      </c>
      <c r="H219" s="18">
        <v>309.47000000000003</v>
      </c>
      <c r="I219" s="18">
        <v>773.69</v>
      </c>
      <c r="J219" s="18">
        <v>7736.87</v>
      </c>
      <c r="K219" s="18">
        <v>58.72</v>
      </c>
      <c r="L219" s="18">
        <v>1170.43</v>
      </c>
      <c r="M219" s="18">
        <v>325.14999999999998</v>
      </c>
      <c r="N219" s="18" t="s">
        <v>1063</v>
      </c>
      <c r="O219" s="18">
        <v>43536.749298525989</v>
      </c>
      <c r="P219" s="18">
        <v>55162445.011093661</v>
      </c>
      <c r="Q219" s="18" t="s">
        <v>1075</v>
      </c>
    </row>
    <row r="220" spans="1:17" x14ac:dyDescent="0.2">
      <c r="A220" s="18">
        <v>219</v>
      </c>
      <c r="B220" s="18">
        <v>219</v>
      </c>
      <c r="C220" s="18">
        <v>219</v>
      </c>
      <c r="D220" s="18">
        <v>127</v>
      </c>
      <c r="E220" s="18" t="s">
        <v>359</v>
      </c>
      <c r="F220" s="18" t="s">
        <v>361</v>
      </c>
      <c r="G220" s="18">
        <v>873.12</v>
      </c>
      <c r="H220" s="18">
        <v>674.24</v>
      </c>
      <c r="I220" s="18">
        <v>1685.6</v>
      </c>
      <c r="J220" s="18">
        <v>16856</v>
      </c>
      <c r="K220" s="18">
        <v>0</v>
      </c>
      <c r="L220" s="18">
        <v>1547.36</v>
      </c>
      <c r="M220" s="18">
        <v>429.86</v>
      </c>
      <c r="N220" s="18" t="s">
        <v>1063</v>
      </c>
      <c r="O220" s="18">
        <v>50048.368110674797</v>
      </c>
      <c r="P220" s="18">
        <v>57471560.749636173</v>
      </c>
      <c r="Q220" s="18" t="s">
        <v>1076</v>
      </c>
    </row>
    <row r="221" spans="1:17" x14ac:dyDescent="0.2">
      <c r="A221" s="18">
        <v>220</v>
      </c>
      <c r="B221" s="18">
        <v>220</v>
      </c>
      <c r="C221" s="18">
        <v>220</v>
      </c>
      <c r="D221" s="18">
        <v>128</v>
      </c>
      <c r="E221" s="18" t="s">
        <v>365</v>
      </c>
      <c r="F221" s="18" t="s">
        <v>367</v>
      </c>
      <c r="G221" s="18">
        <v>2148.7199999999998</v>
      </c>
      <c r="H221" s="18">
        <v>44.31</v>
      </c>
      <c r="I221" s="18">
        <v>110.77</v>
      </c>
      <c r="J221" s="18">
        <v>1107.73</v>
      </c>
      <c r="K221" s="18">
        <v>0</v>
      </c>
      <c r="L221" s="18">
        <v>2193.0300000000002</v>
      </c>
      <c r="M221" s="18">
        <v>609.22</v>
      </c>
      <c r="N221" s="18" t="s">
        <v>1063</v>
      </c>
      <c r="O221" s="18">
        <v>30284.37519834458</v>
      </c>
      <c r="P221" s="18">
        <v>32094744.548561409</v>
      </c>
      <c r="Q221" s="18" t="s">
        <v>1076</v>
      </c>
    </row>
    <row r="222" spans="1:17" x14ac:dyDescent="0.2">
      <c r="A222" s="18">
        <v>221</v>
      </c>
      <c r="B222" s="18">
        <v>221</v>
      </c>
      <c r="C222" s="18">
        <v>221</v>
      </c>
      <c r="D222" s="18">
        <v>130</v>
      </c>
      <c r="E222" s="18" t="s">
        <v>371</v>
      </c>
      <c r="F222" s="18" t="s">
        <v>373</v>
      </c>
      <c r="G222" s="18">
        <v>714.54</v>
      </c>
      <c r="H222" s="18">
        <v>56.58</v>
      </c>
      <c r="I222" s="18">
        <v>141.44999999999999</v>
      </c>
      <c r="J222" s="18">
        <v>1414.53</v>
      </c>
      <c r="K222" s="18">
        <v>0</v>
      </c>
      <c r="L222" s="18">
        <v>771.12</v>
      </c>
      <c r="M222" s="18">
        <v>214.22</v>
      </c>
      <c r="N222" s="18" t="s">
        <v>1063</v>
      </c>
      <c r="O222" s="18">
        <v>29144.88699592539</v>
      </c>
      <c r="P222" s="18">
        <v>27855743.67805922</v>
      </c>
      <c r="Q222" s="18" t="s">
        <v>1076</v>
      </c>
    </row>
    <row r="223" spans="1:17" x14ac:dyDescent="0.2">
      <c r="A223" s="18">
        <v>222</v>
      </c>
      <c r="B223" s="18">
        <v>222</v>
      </c>
      <c r="C223" s="18">
        <v>222</v>
      </c>
      <c r="D223" s="18">
        <v>131</v>
      </c>
      <c r="E223" s="18" t="s">
        <v>1104</v>
      </c>
      <c r="F223" s="18" t="s">
        <v>1105</v>
      </c>
      <c r="G223" s="18">
        <v>1338</v>
      </c>
      <c r="H223" s="18">
        <v>245.16</v>
      </c>
      <c r="I223" s="18">
        <v>612.89</v>
      </c>
      <c r="J223" s="18">
        <v>6128.88</v>
      </c>
      <c r="K223" s="18">
        <v>0</v>
      </c>
      <c r="L223" s="18">
        <v>1583.16</v>
      </c>
      <c r="M223" s="18">
        <v>439.8</v>
      </c>
      <c r="N223" s="18" t="s">
        <v>1063</v>
      </c>
      <c r="O223" s="18">
        <v>34657.930282946429</v>
      </c>
      <c r="P223" s="18">
        <v>39965768.492542163</v>
      </c>
      <c r="Q223" s="18" t="s">
        <v>1075</v>
      </c>
    </row>
    <row r="224" spans="1:17" x14ac:dyDescent="0.2">
      <c r="A224" s="18">
        <v>223</v>
      </c>
      <c r="B224" s="18">
        <v>223</v>
      </c>
      <c r="C224" s="18">
        <v>223</v>
      </c>
      <c r="D224" s="18">
        <v>132</v>
      </c>
      <c r="E224" s="18" t="s">
        <v>386</v>
      </c>
      <c r="F224" s="18" t="s">
        <v>388</v>
      </c>
      <c r="G224" s="18">
        <v>1398.29</v>
      </c>
      <c r="H224" s="18">
        <v>20.54</v>
      </c>
      <c r="I224" s="18">
        <v>51.35</v>
      </c>
      <c r="J224" s="18">
        <v>513.51</v>
      </c>
      <c r="K224" s="18">
        <v>0</v>
      </c>
      <c r="L224" s="18">
        <v>1418.83</v>
      </c>
      <c r="M224" s="18">
        <v>394.15</v>
      </c>
      <c r="N224" s="18" t="s">
        <v>1063</v>
      </c>
      <c r="O224" s="18">
        <v>26263.92769664439</v>
      </c>
      <c r="P224" s="18">
        <v>21079978.427152481</v>
      </c>
      <c r="Q224" s="18" t="s">
        <v>1075</v>
      </c>
    </row>
    <row r="225" spans="1:17" x14ac:dyDescent="0.2">
      <c r="A225" s="18">
        <v>224</v>
      </c>
      <c r="B225" s="18">
        <v>224</v>
      </c>
      <c r="C225" s="18">
        <v>224</v>
      </c>
      <c r="D225" s="18">
        <v>133</v>
      </c>
      <c r="E225" s="18" t="s">
        <v>377</v>
      </c>
      <c r="F225" s="18" t="s">
        <v>379</v>
      </c>
      <c r="G225" s="18">
        <v>509.68</v>
      </c>
      <c r="H225" s="18">
        <v>136.03</v>
      </c>
      <c r="I225" s="18">
        <v>340.08</v>
      </c>
      <c r="J225" s="18">
        <v>3400.78</v>
      </c>
      <c r="K225" s="18">
        <v>0</v>
      </c>
      <c r="L225" s="18">
        <v>645.71</v>
      </c>
      <c r="M225" s="18">
        <v>179.38</v>
      </c>
      <c r="N225" s="18" t="s">
        <v>1063</v>
      </c>
      <c r="O225" s="18">
        <v>20440.712591446529</v>
      </c>
      <c r="P225" s="18">
        <v>18990277.928257018</v>
      </c>
      <c r="Q225" s="18" t="s">
        <v>1075</v>
      </c>
    </row>
    <row r="226" spans="1:17" x14ac:dyDescent="0.2">
      <c r="A226" s="18">
        <v>225</v>
      </c>
      <c r="B226" s="18">
        <v>225</v>
      </c>
      <c r="C226" s="18">
        <v>225</v>
      </c>
      <c r="D226" s="18">
        <v>135</v>
      </c>
      <c r="E226" s="18" t="s">
        <v>383</v>
      </c>
      <c r="F226" s="18" t="s">
        <v>385</v>
      </c>
      <c r="G226" s="18">
        <v>1459.23</v>
      </c>
      <c r="H226" s="18">
        <v>72.67</v>
      </c>
      <c r="I226" s="18">
        <v>181.67</v>
      </c>
      <c r="J226" s="18">
        <v>1816.66</v>
      </c>
      <c r="K226" s="18">
        <v>0</v>
      </c>
      <c r="L226" s="18">
        <v>1531.9</v>
      </c>
      <c r="M226" s="18">
        <v>425.56</v>
      </c>
      <c r="N226" s="18" t="s">
        <v>1063</v>
      </c>
      <c r="O226" s="18">
        <v>44835.665804493372</v>
      </c>
      <c r="P226" s="18">
        <v>46450221.673191741</v>
      </c>
      <c r="Q226" s="18" t="s">
        <v>1076</v>
      </c>
    </row>
    <row r="227" spans="1:17" x14ac:dyDescent="0.2">
      <c r="A227" s="18">
        <v>226</v>
      </c>
      <c r="B227" s="18">
        <v>226</v>
      </c>
      <c r="C227" s="18">
        <v>226</v>
      </c>
      <c r="D227" s="18">
        <v>137</v>
      </c>
      <c r="E227" s="18" t="s">
        <v>410</v>
      </c>
      <c r="F227" s="18" t="s">
        <v>412</v>
      </c>
      <c r="G227" s="18">
        <v>1253.01</v>
      </c>
      <c r="H227" s="18">
        <v>27.8</v>
      </c>
      <c r="I227" s="18">
        <v>69.5</v>
      </c>
      <c r="J227" s="18">
        <v>695.03</v>
      </c>
      <c r="K227" s="18">
        <v>0</v>
      </c>
      <c r="L227" s="18">
        <v>1280.81</v>
      </c>
      <c r="M227" s="18">
        <v>355.81</v>
      </c>
      <c r="N227" s="18" t="s">
        <v>1063</v>
      </c>
      <c r="O227" s="18">
        <v>23663.468685171421</v>
      </c>
      <c r="P227" s="18">
        <v>24562555.40501697</v>
      </c>
      <c r="Q227" s="18" t="s">
        <v>1076</v>
      </c>
    </row>
    <row r="228" spans="1:17" x14ac:dyDescent="0.2">
      <c r="A228" s="18">
        <v>227</v>
      </c>
      <c r="B228" s="18">
        <v>227</v>
      </c>
      <c r="C228" s="18">
        <v>227</v>
      </c>
      <c r="D228" s="18">
        <v>158</v>
      </c>
      <c r="E228" s="18" t="s">
        <v>446</v>
      </c>
      <c r="F228" s="18" t="s">
        <v>448</v>
      </c>
      <c r="G228" s="18">
        <v>975.48</v>
      </c>
      <c r="H228" s="18">
        <v>0.2</v>
      </c>
      <c r="I228" s="18">
        <v>0.49</v>
      </c>
      <c r="J228" s="18">
        <v>4.93</v>
      </c>
      <c r="K228" s="18">
        <v>0</v>
      </c>
      <c r="L228" s="18">
        <v>975.68</v>
      </c>
      <c r="M228" s="18">
        <v>271.04000000000002</v>
      </c>
      <c r="N228" s="18" t="s">
        <v>1063</v>
      </c>
      <c r="O228" s="18">
        <v>24954.427449189661</v>
      </c>
      <c r="P228" s="18">
        <v>15421683.73253344</v>
      </c>
      <c r="Q228" s="18" t="s">
        <v>1077</v>
      </c>
    </row>
    <row r="229" spans="1:17" x14ac:dyDescent="0.2">
      <c r="A229" s="18">
        <v>228</v>
      </c>
      <c r="B229" s="18">
        <v>228</v>
      </c>
      <c r="C229" s="18">
        <v>228</v>
      </c>
      <c r="D229" s="18">
        <v>138</v>
      </c>
      <c r="E229" s="18" t="s">
        <v>392</v>
      </c>
      <c r="F229" s="18" t="s">
        <v>394</v>
      </c>
      <c r="G229" s="18">
        <v>256.51</v>
      </c>
      <c r="H229" s="18">
        <v>226.67</v>
      </c>
      <c r="I229" s="18">
        <v>566.66999999999996</v>
      </c>
      <c r="J229" s="18">
        <v>5666.72</v>
      </c>
      <c r="K229" s="18">
        <v>0</v>
      </c>
      <c r="L229" s="18">
        <v>483.18</v>
      </c>
      <c r="M229" s="18">
        <v>134.22999999999999</v>
      </c>
      <c r="N229" s="18" t="s">
        <v>1063</v>
      </c>
      <c r="O229" s="18">
        <v>22419.132320798901</v>
      </c>
      <c r="P229" s="18">
        <v>26495033.955549121</v>
      </c>
      <c r="Q229" s="18" t="s">
        <v>1076</v>
      </c>
    </row>
    <row r="230" spans="1:17" x14ac:dyDescent="0.2">
      <c r="A230" s="18">
        <v>229</v>
      </c>
      <c r="B230" s="18">
        <v>229</v>
      </c>
      <c r="C230" s="18">
        <v>229</v>
      </c>
      <c r="D230" s="18">
        <v>140</v>
      </c>
      <c r="E230" s="18" t="s">
        <v>1106</v>
      </c>
      <c r="F230" s="18" t="s">
        <v>1107</v>
      </c>
      <c r="G230" s="18">
        <v>724</v>
      </c>
      <c r="H230" s="18">
        <v>166.23</v>
      </c>
      <c r="I230" s="18">
        <v>415.56</v>
      </c>
      <c r="J230" s="18">
        <v>4155.6499999999996</v>
      </c>
      <c r="K230" s="18">
        <v>11.33</v>
      </c>
      <c r="L230" s="18">
        <v>901.56</v>
      </c>
      <c r="M230" s="18">
        <v>250.45</v>
      </c>
      <c r="N230" s="18" t="s">
        <v>1063</v>
      </c>
      <c r="O230" s="18">
        <v>30291.234201717951</v>
      </c>
      <c r="P230" s="18">
        <v>26994397.213095412</v>
      </c>
      <c r="Q230" s="18" t="s">
        <v>1075</v>
      </c>
    </row>
    <row r="231" spans="1:17" x14ac:dyDescent="0.2">
      <c r="A231" s="18">
        <v>230</v>
      </c>
      <c r="B231" s="18">
        <v>230</v>
      </c>
      <c r="C231" s="18">
        <v>230</v>
      </c>
      <c r="D231" s="18">
        <v>142</v>
      </c>
      <c r="E231" s="18" t="s">
        <v>398</v>
      </c>
      <c r="F231" s="18" t="s">
        <v>400</v>
      </c>
      <c r="G231" s="18">
        <v>1738.98</v>
      </c>
      <c r="H231" s="18">
        <v>1381.19</v>
      </c>
      <c r="I231" s="18">
        <v>3452.97</v>
      </c>
      <c r="J231" s="18">
        <v>34529.71</v>
      </c>
      <c r="K231" s="18">
        <v>0</v>
      </c>
      <c r="L231" s="18">
        <v>3120.17</v>
      </c>
      <c r="M231" s="18">
        <v>866.78</v>
      </c>
      <c r="N231" s="18" t="s">
        <v>1063</v>
      </c>
      <c r="O231" s="18">
        <v>63998.499199799939</v>
      </c>
      <c r="P231" s="18">
        <v>124721298.83240481</v>
      </c>
      <c r="Q231" s="18" t="s">
        <v>1075</v>
      </c>
    </row>
    <row r="232" spans="1:17" x14ac:dyDescent="0.2">
      <c r="A232" s="18">
        <v>231</v>
      </c>
      <c r="B232" s="18">
        <v>231</v>
      </c>
      <c r="C232" s="18">
        <v>231</v>
      </c>
      <c r="D232" s="18">
        <v>143</v>
      </c>
      <c r="E232" s="18" t="s">
        <v>401</v>
      </c>
      <c r="F232" s="18" t="s">
        <v>403</v>
      </c>
      <c r="G232" s="18">
        <v>204.21</v>
      </c>
      <c r="H232" s="18">
        <v>77.64</v>
      </c>
      <c r="I232" s="18">
        <v>194.11</v>
      </c>
      <c r="J232" s="18">
        <v>1941.06</v>
      </c>
      <c r="K232" s="18">
        <v>0</v>
      </c>
      <c r="L232" s="18">
        <v>281.85000000000002</v>
      </c>
      <c r="M232" s="18">
        <v>78.3</v>
      </c>
      <c r="N232" s="18" t="s">
        <v>1063</v>
      </c>
      <c r="O232" s="18">
        <v>18698.540706338488</v>
      </c>
      <c r="P232" s="18">
        <v>16127327.75880632</v>
      </c>
      <c r="Q232" s="18" t="s">
        <v>1076</v>
      </c>
    </row>
    <row r="233" spans="1:17" x14ac:dyDescent="0.2">
      <c r="A233" s="18">
        <v>232</v>
      </c>
      <c r="B233" s="18">
        <v>232</v>
      </c>
      <c r="C233" s="18">
        <v>232</v>
      </c>
      <c r="D233" s="18">
        <v>144</v>
      </c>
      <c r="E233" s="18" t="s">
        <v>434</v>
      </c>
      <c r="F233" s="18" t="s">
        <v>436</v>
      </c>
      <c r="G233" s="18">
        <v>442.29</v>
      </c>
      <c r="H233" s="18">
        <v>41.29</v>
      </c>
      <c r="I233" s="18">
        <v>103.24</v>
      </c>
      <c r="J233" s="18">
        <v>1032.3599999999999</v>
      </c>
      <c r="K233" s="18">
        <v>0</v>
      </c>
      <c r="L233" s="18">
        <v>483.58</v>
      </c>
      <c r="M233" s="18">
        <v>134.34</v>
      </c>
      <c r="N233" s="18" t="s">
        <v>1063</v>
      </c>
      <c r="O233" s="18">
        <v>17064.7164095763</v>
      </c>
      <c r="P233" s="18">
        <v>9960219.6985473782</v>
      </c>
      <c r="Q233" s="18" t="s">
        <v>1101</v>
      </c>
    </row>
    <row r="234" spans="1:17" x14ac:dyDescent="0.2">
      <c r="A234" s="18">
        <v>233</v>
      </c>
      <c r="B234" s="18">
        <v>233</v>
      </c>
      <c r="C234" s="18">
        <v>233</v>
      </c>
      <c r="D234" s="18">
        <v>145</v>
      </c>
      <c r="E234" s="18" t="s">
        <v>404</v>
      </c>
      <c r="F234" s="18" t="s">
        <v>406</v>
      </c>
      <c r="G234" s="18">
        <v>494.19</v>
      </c>
      <c r="H234" s="18">
        <v>564.79999999999995</v>
      </c>
      <c r="I234" s="18">
        <v>1412</v>
      </c>
      <c r="J234" s="18">
        <v>14119.96</v>
      </c>
      <c r="K234" s="18">
        <v>0</v>
      </c>
      <c r="L234" s="18">
        <v>1058.99</v>
      </c>
      <c r="M234" s="18">
        <v>294.19</v>
      </c>
      <c r="N234" s="18" t="s">
        <v>1063</v>
      </c>
      <c r="O234" s="18">
        <v>32472.06494615689</v>
      </c>
      <c r="P234" s="18">
        <v>41980065.412236668</v>
      </c>
      <c r="Q234" s="18" t="s">
        <v>1075</v>
      </c>
    </row>
    <row r="235" spans="1:17" x14ac:dyDescent="0.2">
      <c r="A235" s="18">
        <v>234</v>
      </c>
      <c r="B235" s="18">
        <v>234</v>
      </c>
      <c r="C235" s="18">
        <v>234</v>
      </c>
      <c r="D235" s="18">
        <v>147</v>
      </c>
      <c r="E235" s="18" t="s">
        <v>413</v>
      </c>
      <c r="F235" s="18" t="s">
        <v>415</v>
      </c>
      <c r="G235" s="18">
        <v>1974.27</v>
      </c>
      <c r="H235" s="18">
        <v>1985.04</v>
      </c>
      <c r="I235" s="18">
        <v>4962.6000000000004</v>
      </c>
      <c r="J235" s="18">
        <v>49625.99</v>
      </c>
      <c r="K235" s="18">
        <v>0</v>
      </c>
      <c r="L235" s="18">
        <v>3959.31</v>
      </c>
      <c r="M235" s="18">
        <v>1099.9000000000001</v>
      </c>
      <c r="N235" s="18" t="s">
        <v>1063</v>
      </c>
      <c r="O235" s="18">
        <v>65472.50914460871</v>
      </c>
      <c r="P235" s="18">
        <v>172233235.1632838</v>
      </c>
      <c r="Q235" s="18" t="s">
        <v>1075</v>
      </c>
    </row>
    <row r="236" spans="1:17" x14ac:dyDescent="0.2">
      <c r="A236" s="18">
        <v>235</v>
      </c>
      <c r="B236" s="18">
        <v>235</v>
      </c>
      <c r="C236" s="18">
        <v>235</v>
      </c>
      <c r="D236" s="18">
        <v>148</v>
      </c>
      <c r="E236" s="18" t="s">
        <v>419</v>
      </c>
      <c r="F236" s="18" t="s">
        <v>421</v>
      </c>
      <c r="G236" s="18">
        <v>309.89</v>
      </c>
      <c r="H236" s="18">
        <v>211.7</v>
      </c>
      <c r="I236" s="18">
        <v>529.24</v>
      </c>
      <c r="J236" s="18">
        <v>5292.44</v>
      </c>
      <c r="K236" s="18">
        <v>22.58</v>
      </c>
      <c r="L236" s="18">
        <v>544.16999999999996</v>
      </c>
      <c r="M236" s="18">
        <v>151.16999999999999</v>
      </c>
      <c r="N236" s="18" t="s">
        <v>1063</v>
      </c>
      <c r="O236" s="18">
        <v>24456.706491824902</v>
      </c>
      <c r="P236" s="18">
        <v>22307484.748205408</v>
      </c>
      <c r="Q236" s="18" t="s">
        <v>1075</v>
      </c>
    </row>
    <row r="237" spans="1:17" x14ac:dyDescent="0.2">
      <c r="A237" s="18">
        <v>236</v>
      </c>
      <c r="B237" s="18">
        <v>236</v>
      </c>
      <c r="C237" s="18">
        <v>236</v>
      </c>
      <c r="D237" s="18">
        <v>149</v>
      </c>
      <c r="E237" s="18" t="s">
        <v>422</v>
      </c>
      <c r="F237" s="18" t="s">
        <v>424</v>
      </c>
      <c r="G237" s="18">
        <v>762.22</v>
      </c>
      <c r="H237" s="18">
        <v>87.49</v>
      </c>
      <c r="I237" s="18">
        <v>218.72</v>
      </c>
      <c r="J237" s="18">
        <v>2187.2199999999998</v>
      </c>
      <c r="K237" s="18">
        <v>0</v>
      </c>
      <c r="L237" s="18">
        <v>849.71</v>
      </c>
      <c r="M237" s="18">
        <v>236.05</v>
      </c>
      <c r="N237" s="18" t="s">
        <v>1063</v>
      </c>
      <c r="O237" s="18">
        <v>24048.163275371811</v>
      </c>
      <c r="P237" s="18">
        <v>19467071.51694211</v>
      </c>
      <c r="Q237" s="18" t="s">
        <v>1076</v>
      </c>
    </row>
    <row r="238" spans="1:17" x14ac:dyDescent="0.2">
      <c r="A238" s="18">
        <v>237</v>
      </c>
      <c r="B238" s="18">
        <v>237</v>
      </c>
      <c r="C238" s="18">
        <v>237</v>
      </c>
      <c r="D238" s="18">
        <v>150</v>
      </c>
      <c r="E238" s="18" t="s">
        <v>440</v>
      </c>
      <c r="F238" s="18" t="s">
        <v>442</v>
      </c>
      <c r="G238" s="18">
        <v>970.69</v>
      </c>
      <c r="H238" s="18">
        <v>19.059999999999999</v>
      </c>
      <c r="I238" s="18">
        <v>47.66</v>
      </c>
      <c r="J238" s="18">
        <v>476.61</v>
      </c>
      <c r="K238" s="18">
        <v>0</v>
      </c>
      <c r="L238" s="18">
        <v>989.75</v>
      </c>
      <c r="M238" s="18">
        <v>274.95</v>
      </c>
      <c r="N238" s="18" t="s">
        <v>1063</v>
      </c>
      <c r="O238" s="18">
        <v>19865.600603575011</v>
      </c>
      <c r="P238" s="18">
        <v>21718294.59823389</v>
      </c>
      <c r="Q238" s="18" t="s">
        <v>1077</v>
      </c>
    </row>
    <row r="239" spans="1:17" x14ac:dyDescent="0.2">
      <c r="A239" s="18">
        <v>238</v>
      </c>
      <c r="B239" s="18">
        <v>238</v>
      </c>
      <c r="C239" s="18">
        <v>238</v>
      </c>
      <c r="D239" s="18">
        <v>151</v>
      </c>
      <c r="E239" s="18" t="s">
        <v>425</v>
      </c>
      <c r="F239" s="18" t="s">
        <v>427</v>
      </c>
      <c r="G239" s="18">
        <v>1591.28</v>
      </c>
      <c r="H239" s="18">
        <v>40.26</v>
      </c>
      <c r="I239" s="18">
        <v>100.64</v>
      </c>
      <c r="J239" s="18">
        <v>1006.4</v>
      </c>
      <c r="K239" s="18">
        <v>20.440000000000001</v>
      </c>
      <c r="L239" s="18">
        <v>1651.98</v>
      </c>
      <c r="M239" s="18">
        <v>458.92</v>
      </c>
      <c r="N239" s="18" t="s">
        <v>1063</v>
      </c>
      <c r="O239" s="18">
        <v>52270.255737779204</v>
      </c>
      <c r="P239" s="18">
        <v>49311245.981270067</v>
      </c>
      <c r="Q239" s="18" t="s">
        <v>1076</v>
      </c>
    </row>
    <row r="240" spans="1:17" x14ac:dyDescent="0.2">
      <c r="A240" s="18">
        <v>239</v>
      </c>
      <c r="B240" s="18">
        <v>239</v>
      </c>
      <c r="C240" s="18">
        <v>239</v>
      </c>
      <c r="D240" s="18">
        <v>152</v>
      </c>
      <c r="E240" s="18" t="s">
        <v>443</v>
      </c>
      <c r="F240" s="18" t="s">
        <v>445</v>
      </c>
      <c r="G240" s="18">
        <v>817.46</v>
      </c>
      <c r="H240" s="18">
        <v>726.72</v>
      </c>
      <c r="I240" s="18">
        <v>1816.8</v>
      </c>
      <c r="J240" s="18">
        <v>18168.04</v>
      </c>
      <c r="K240" s="18">
        <v>0</v>
      </c>
      <c r="L240" s="18">
        <v>1544.18</v>
      </c>
      <c r="M240" s="18">
        <v>428.97</v>
      </c>
      <c r="N240" s="18" t="s">
        <v>1063</v>
      </c>
      <c r="O240" s="18">
        <v>37512.42471276498</v>
      </c>
      <c r="P240" s="18">
        <v>59429302.756394267</v>
      </c>
      <c r="Q240" s="18" t="s">
        <v>1075</v>
      </c>
    </row>
    <row r="241" spans="1:17" x14ac:dyDescent="0.2">
      <c r="A241" s="18">
        <v>240</v>
      </c>
      <c r="B241" s="18">
        <v>240</v>
      </c>
      <c r="C241" s="18">
        <v>240</v>
      </c>
      <c r="D241" s="18">
        <v>153</v>
      </c>
      <c r="E241" s="18" t="s">
        <v>1108</v>
      </c>
      <c r="F241" s="18" t="s">
        <v>1109</v>
      </c>
      <c r="G241" s="18">
        <v>425.23</v>
      </c>
      <c r="H241" s="18">
        <v>241.37</v>
      </c>
      <c r="I241" s="18">
        <v>603.42999999999995</v>
      </c>
      <c r="J241" s="18">
        <v>6034.31</v>
      </c>
      <c r="K241" s="18">
        <v>0</v>
      </c>
      <c r="L241" s="18">
        <v>666.6</v>
      </c>
      <c r="M241" s="18">
        <v>185.18</v>
      </c>
      <c r="N241" s="18" t="s">
        <v>1063</v>
      </c>
      <c r="O241" s="18">
        <v>26779.93107451715</v>
      </c>
      <c r="P241" s="18">
        <v>24199569.36903464</v>
      </c>
      <c r="Q241" s="18" t="s">
        <v>1076</v>
      </c>
    </row>
    <row r="242" spans="1:17" x14ac:dyDescent="0.2">
      <c r="A242" s="18">
        <v>241</v>
      </c>
      <c r="B242" s="18">
        <v>241</v>
      </c>
      <c r="C242" s="18">
        <v>241</v>
      </c>
      <c r="D242" s="18">
        <v>155</v>
      </c>
      <c r="E242" s="18" t="s">
        <v>431</v>
      </c>
      <c r="F242" s="18" t="s">
        <v>433</v>
      </c>
      <c r="G242" s="18">
        <v>2916.93</v>
      </c>
      <c r="H242" s="18">
        <v>467.02</v>
      </c>
      <c r="I242" s="18">
        <v>1167.56</v>
      </c>
      <c r="J242" s="18">
        <v>11675.56</v>
      </c>
      <c r="K242" s="18">
        <v>0</v>
      </c>
      <c r="L242" s="18">
        <v>3383.95</v>
      </c>
      <c r="M242" s="18">
        <v>940.06</v>
      </c>
      <c r="N242" s="18" t="s">
        <v>1063</v>
      </c>
      <c r="O242" s="18">
        <v>41959.456724073061</v>
      </c>
      <c r="P242" s="18">
        <v>83044149.472529724</v>
      </c>
      <c r="Q242" s="18" t="s">
        <v>1076</v>
      </c>
    </row>
    <row r="243" spans="1:17" x14ac:dyDescent="0.2">
      <c r="A243" s="18">
        <v>242</v>
      </c>
      <c r="B243" s="18">
        <v>242</v>
      </c>
      <c r="C243" s="18">
        <v>242</v>
      </c>
      <c r="D243" s="18">
        <v>156</v>
      </c>
      <c r="E243" s="18" t="s">
        <v>437</v>
      </c>
      <c r="F243" s="18" t="s">
        <v>439</v>
      </c>
      <c r="G243" s="18">
        <v>2588.79</v>
      </c>
      <c r="H243" s="18">
        <v>1163.47</v>
      </c>
      <c r="I243" s="18">
        <v>2908.68</v>
      </c>
      <c r="J243" s="18">
        <v>29086.84</v>
      </c>
      <c r="K243" s="18">
        <v>12.06</v>
      </c>
      <c r="L243" s="18">
        <v>3764.32</v>
      </c>
      <c r="M243" s="18">
        <v>1045.73</v>
      </c>
      <c r="N243" s="18" t="s">
        <v>1063</v>
      </c>
      <c r="O243" s="18">
        <v>57995.75389665542</v>
      </c>
      <c r="P243" s="18">
        <v>132489072.5926715</v>
      </c>
      <c r="Q243" s="18" t="s">
        <v>1078</v>
      </c>
    </row>
    <row r="244" spans="1:17" x14ac:dyDescent="0.2">
      <c r="A244" s="18">
        <v>243</v>
      </c>
      <c r="B244" s="18">
        <v>243</v>
      </c>
      <c r="C244" s="18">
        <v>243</v>
      </c>
      <c r="D244" s="18">
        <v>157</v>
      </c>
      <c r="E244" s="18" t="s">
        <v>1110</v>
      </c>
      <c r="F244" s="18" t="s">
        <v>1111</v>
      </c>
      <c r="G244" s="18">
        <v>409.38</v>
      </c>
      <c r="H244" s="18">
        <v>237.09</v>
      </c>
      <c r="I244" s="18">
        <v>592.73</v>
      </c>
      <c r="J244" s="18">
        <v>5927.33</v>
      </c>
      <c r="K244" s="18">
        <v>0</v>
      </c>
      <c r="L244" s="18">
        <v>646.47</v>
      </c>
      <c r="M244" s="18">
        <v>179.59</v>
      </c>
      <c r="N244" s="18" t="s">
        <v>1063</v>
      </c>
      <c r="O244" s="18">
        <v>27731.02067811165</v>
      </c>
      <c r="P244" s="18">
        <v>31118702.78151577</v>
      </c>
      <c r="Q244" s="18" t="s">
        <v>1077</v>
      </c>
    </row>
    <row r="245" spans="1:17" x14ac:dyDescent="0.2">
      <c r="A245" s="18">
        <v>244</v>
      </c>
      <c r="B245" s="18">
        <v>244</v>
      </c>
      <c r="C245" s="18">
        <v>244</v>
      </c>
      <c r="D245" s="18">
        <v>185</v>
      </c>
      <c r="E245" s="18" t="s">
        <v>524</v>
      </c>
      <c r="F245" s="18" t="s">
        <v>526</v>
      </c>
      <c r="G245" s="18">
        <v>520.5</v>
      </c>
      <c r="H245" s="18">
        <v>126.69</v>
      </c>
      <c r="I245" s="18">
        <v>316.73</v>
      </c>
      <c r="J245" s="18">
        <v>3167.32</v>
      </c>
      <c r="K245" s="18">
        <v>0</v>
      </c>
      <c r="L245" s="18">
        <v>647.19000000000005</v>
      </c>
      <c r="M245" s="18">
        <v>179.79</v>
      </c>
      <c r="N245" s="18" t="s">
        <v>1063</v>
      </c>
      <c r="O245" s="18">
        <v>21740.75642350128</v>
      </c>
      <c r="P245" s="18">
        <v>23747282.75918518</v>
      </c>
      <c r="Q245" s="18" t="s">
        <v>1077</v>
      </c>
    </row>
    <row r="246" spans="1:17" x14ac:dyDescent="0.2">
      <c r="A246" s="18">
        <v>245</v>
      </c>
      <c r="B246" s="18">
        <v>245</v>
      </c>
      <c r="C246" s="18">
        <v>245</v>
      </c>
      <c r="D246" s="18">
        <v>159</v>
      </c>
      <c r="E246" s="18" t="s">
        <v>464</v>
      </c>
      <c r="F246" s="18" t="s">
        <v>466</v>
      </c>
      <c r="G246" s="18">
        <v>446.48</v>
      </c>
      <c r="H246" s="18">
        <v>144.91</v>
      </c>
      <c r="I246" s="18">
        <v>362.27</v>
      </c>
      <c r="J246" s="18">
        <v>3622.71</v>
      </c>
      <c r="K246" s="18">
        <v>0</v>
      </c>
      <c r="L246" s="18">
        <v>591.39</v>
      </c>
      <c r="M246" s="18">
        <v>164.29</v>
      </c>
      <c r="N246" s="18" t="s">
        <v>1063</v>
      </c>
      <c r="O246" s="18">
        <v>25248.669533904042</v>
      </c>
      <c r="P246" s="18">
        <v>19352729.53251392</v>
      </c>
      <c r="Q246" s="18" t="s">
        <v>1101</v>
      </c>
    </row>
    <row r="247" spans="1:17" x14ac:dyDescent="0.2">
      <c r="A247" s="18">
        <v>246</v>
      </c>
      <c r="B247" s="18">
        <v>246</v>
      </c>
      <c r="C247" s="18">
        <v>246</v>
      </c>
      <c r="D247" s="18">
        <v>177</v>
      </c>
      <c r="E247" s="18" t="s">
        <v>497</v>
      </c>
      <c r="F247" s="18" t="s">
        <v>499</v>
      </c>
      <c r="G247" s="18">
        <v>1157.03</v>
      </c>
      <c r="H247" s="18">
        <v>266.07</v>
      </c>
      <c r="I247" s="18">
        <v>665.19</v>
      </c>
      <c r="J247" s="18">
        <v>6651.85</v>
      </c>
      <c r="K247" s="18">
        <v>0</v>
      </c>
      <c r="L247" s="18">
        <v>1423.1</v>
      </c>
      <c r="M247" s="18">
        <v>395.34</v>
      </c>
      <c r="N247" s="18" t="s">
        <v>1063</v>
      </c>
      <c r="O247" s="18">
        <v>38127.452235285607</v>
      </c>
      <c r="P247" s="18">
        <v>59582998.744777367</v>
      </c>
      <c r="Q247" s="18" t="s">
        <v>1078</v>
      </c>
    </row>
    <row r="248" spans="1:17" x14ac:dyDescent="0.2">
      <c r="A248" s="18">
        <v>247</v>
      </c>
      <c r="B248" s="18">
        <v>247</v>
      </c>
      <c r="C248" s="18">
        <v>247</v>
      </c>
      <c r="D248" s="18">
        <v>160</v>
      </c>
      <c r="E248" s="18" t="s">
        <v>449</v>
      </c>
      <c r="F248" s="18" t="s">
        <v>451</v>
      </c>
      <c r="G248" s="18">
        <v>1374.12</v>
      </c>
      <c r="H248" s="18">
        <v>16.47</v>
      </c>
      <c r="I248" s="18">
        <v>41.18</v>
      </c>
      <c r="J248" s="18">
        <v>411.78</v>
      </c>
      <c r="K248" s="18">
        <v>0</v>
      </c>
      <c r="L248" s="18">
        <v>1390.59</v>
      </c>
      <c r="M248" s="18">
        <v>386.31</v>
      </c>
      <c r="N248" s="18" t="s">
        <v>1063</v>
      </c>
      <c r="O248" s="18">
        <v>28638.081943364421</v>
      </c>
      <c r="P248" s="18">
        <v>24077932.21147047</v>
      </c>
      <c r="Q248" s="18" t="s">
        <v>1077</v>
      </c>
    </row>
    <row r="249" spans="1:17" x14ac:dyDescent="0.2">
      <c r="A249" s="18">
        <v>248</v>
      </c>
      <c r="B249" s="18">
        <v>248</v>
      </c>
      <c r="C249" s="18">
        <v>248</v>
      </c>
      <c r="D249" s="18">
        <v>161</v>
      </c>
      <c r="E249" s="18" t="s">
        <v>473</v>
      </c>
      <c r="F249" s="18" t="s">
        <v>475</v>
      </c>
      <c r="G249" s="18">
        <v>558</v>
      </c>
      <c r="H249" s="18">
        <v>89.56</v>
      </c>
      <c r="I249" s="18">
        <v>223.89</v>
      </c>
      <c r="J249" s="18">
        <v>2238.91</v>
      </c>
      <c r="K249" s="18">
        <v>0</v>
      </c>
      <c r="L249" s="18">
        <v>647.55999999999995</v>
      </c>
      <c r="M249" s="18">
        <v>179.89</v>
      </c>
      <c r="N249" s="18" t="s">
        <v>1063</v>
      </c>
      <c r="O249" s="18">
        <v>15403.37296162148</v>
      </c>
      <c r="P249" s="18">
        <v>13476630.52471884</v>
      </c>
      <c r="Q249" s="18" t="s">
        <v>1078</v>
      </c>
    </row>
    <row r="250" spans="1:17" x14ac:dyDescent="0.2">
      <c r="A250" s="18">
        <v>249</v>
      </c>
      <c r="B250" s="18">
        <v>249</v>
      </c>
      <c r="C250" s="18">
        <v>249</v>
      </c>
      <c r="D250" s="18">
        <v>162</v>
      </c>
      <c r="E250" s="18" t="s">
        <v>452</v>
      </c>
      <c r="F250" s="18" t="s">
        <v>454</v>
      </c>
      <c r="G250" s="18">
        <v>2091.56</v>
      </c>
      <c r="H250" s="18">
        <v>361.17</v>
      </c>
      <c r="I250" s="18">
        <v>902.93</v>
      </c>
      <c r="J250" s="18">
        <v>9029.35</v>
      </c>
      <c r="K250" s="18">
        <v>0</v>
      </c>
      <c r="L250" s="18">
        <v>2452.73</v>
      </c>
      <c r="M250" s="18">
        <v>681.37</v>
      </c>
      <c r="N250" s="18" t="s">
        <v>1063</v>
      </c>
      <c r="O250" s="18">
        <v>51693.853895103894</v>
      </c>
      <c r="P250" s="18">
        <v>98588751.698698133</v>
      </c>
      <c r="Q250" s="18" t="s">
        <v>1101</v>
      </c>
    </row>
    <row r="251" spans="1:17" x14ac:dyDescent="0.2">
      <c r="A251" s="18">
        <v>250</v>
      </c>
      <c r="B251" s="18">
        <v>250</v>
      </c>
      <c r="C251" s="18">
        <v>250</v>
      </c>
      <c r="D251" s="18">
        <v>163</v>
      </c>
      <c r="E251" s="18" t="s">
        <v>455</v>
      </c>
      <c r="F251" s="18" t="s">
        <v>457</v>
      </c>
      <c r="G251" s="18">
        <v>779.15</v>
      </c>
      <c r="H251" s="18">
        <v>92.35</v>
      </c>
      <c r="I251" s="18">
        <v>230.86</v>
      </c>
      <c r="J251" s="18">
        <v>2308.63</v>
      </c>
      <c r="K251" s="18">
        <v>0</v>
      </c>
      <c r="L251" s="18">
        <v>871.5</v>
      </c>
      <c r="M251" s="18">
        <v>242.1</v>
      </c>
      <c r="N251" s="18" t="s">
        <v>1063</v>
      </c>
      <c r="O251" s="18">
        <v>23870.480324899421</v>
      </c>
      <c r="P251" s="18">
        <v>21989389.093113258</v>
      </c>
      <c r="Q251" s="18" t="s">
        <v>1090</v>
      </c>
    </row>
    <row r="252" spans="1:17" x14ac:dyDescent="0.2">
      <c r="A252" s="18">
        <v>251</v>
      </c>
      <c r="B252" s="18">
        <v>251</v>
      </c>
      <c r="C252" s="18">
        <v>251</v>
      </c>
      <c r="D252" s="18">
        <v>164</v>
      </c>
      <c r="E252" s="18" t="s">
        <v>458</v>
      </c>
      <c r="F252" s="18" t="s">
        <v>460</v>
      </c>
      <c r="G252" s="18">
        <v>1103.94</v>
      </c>
      <c r="H252" s="18">
        <v>28.74</v>
      </c>
      <c r="I252" s="18">
        <v>71.86</v>
      </c>
      <c r="J252" s="18">
        <v>718.58</v>
      </c>
      <c r="K252" s="18">
        <v>0</v>
      </c>
      <c r="L252" s="18">
        <v>1132.68</v>
      </c>
      <c r="M252" s="18">
        <v>314.66000000000003</v>
      </c>
      <c r="N252" s="18" t="s">
        <v>1063</v>
      </c>
      <c r="O252" s="18">
        <v>23253.760955438909</v>
      </c>
      <c r="P252" s="18">
        <v>18103140.196811128</v>
      </c>
      <c r="Q252" s="18" t="s">
        <v>1087</v>
      </c>
    </row>
    <row r="253" spans="1:17" x14ac:dyDescent="0.2">
      <c r="A253" s="18">
        <v>252</v>
      </c>
      <c r="B253" s="18">
        <v>252</v>
      </c>
      <c r="C253" s="18">
        <v>252</v>
      </c>
      <c r="D253" s="18">
        <v>166</v>
      </c>
      <c r="E253" s="18" t="s">
        <v>479</v>
      </c>
      <c r="F253" s="18" t="s">
        <v>481</v>
      </c>
      <c r="G253" s="18">
        <v>537.29</v>
      </c>
      <c r="H253" s="18">
        <v>2.0499999999999998</v>
      </c>
      <c r="I253" s="18">
        <v>5.13</v>
      </c>
      <c r="J253" s="18">
        <v>51.31</v>
      </c>
      <c r="K253" s="18">
        <v>0</v>
      </c>
      <c r="L253" s="18">
        <v>539.34</v>
      </c>
      <c r="M253" s="18">
        <v>149.83000000000001</v>
      </c>
      <c r="N253" s="18" t="s">
        <v>1063</v>
      </c>
      <c r="O253" s="18">
        <v>16365.445035995501</v>
      </c>
      <c r="P253" s="18">
        <v>8929525.1924871057</v>
      </c>
      <c r="Q253" s="18" t="s">
        <v>1077</v>
      </c>
    </row>
    <row r="254" spans="1:17" x14ac:dyDescent="0.2">
      <c r="A254" s="18">
        <v>253</v>
      </c>
      <c r="B254" s="18">
        <v>253</v>
      </c>
      <c r="C254" s="18">
        <v>253</v>
      </c>
      <c r="D254" s="18">
        <v>167</v>
      </c>
      <c r="E254" s="18" t="s">
        <v>1112</v>
      </c>
      <c r="F254" s="18" t="s">
        <v>1113</v>
      </c>
      <c r="G254" s="18">
        <v>794.17</v>
      </c>
      <c r="H254" s="18">
        <v>393.14</v>
      </c>
      <c r="I254" s="18">
        <v>982.85</v>
      </c>
      <c r="J254" s="18">
        <v>9828.49</v>
      </c>
      <c r="K254" s="18">
        <v>0</v>
      </c>
      <c r="L254" s="18">
        <v>1187.31</v>
      </c>
      <c r="M254" s="18">
        <v>329.83</v>
      </c>
      <c r="N254" s="18" t="s">
        <v>1063</v>
      </c>
      <c r="O254" s="18">
        <v>38766.984400329253</v>
      </c>
      <c r="P254" s="18">
        <v>42286223.008253828</v>
      </c>
      <c r="Q254" s="18" t="s">
        <v>1077</v>
      </c>
    </row>
    <row r="255" spans="1:17" x14ac:dyDescent="0.2">
      <c r="A255" s="18">
        <v>254</v>
      </c>
      <c r="B255" s="18">
        <v>254</v>
      </c>
      <c r="C255" s="18">
        <v>254</v>
      </c>
      <c r="D255" s="18">
        <v>168</v>
      </c>
      <c r="E255" s="18" t="s">
        <v>491</v>
      </c>
      <c r="F255" s="18" t="s">
        <v>493</v>
      </c>
      <c r="G255" s="18">
        <v>463.26</v>
      </c>
      <c r="H255" s="18">
        <v>14.91</v>
      </c>
      <c r="I255" s="18">
        <v>37.28</v>
      </c>
      <c r="J255" s="18">
        <v>372.76</v>
      </c>
      <c r="K255" s="18">
        <v>0</v>
      </c>
      <c r="L255" s="18">
        <v>478.17</v>
      </c>
      <c r="M255" s="18">
        <v>132.84</v>
      </c>
      <c r="N255" s="18" t="s">
        <v>1063</v>
      </c>
      <c r="O255" s="18">
        <v>15789.77520084706</v>
      </c>
      <c r="P255" s="18">
        <v>10110377.66900936</v>
      </c>
      <c r="Q255" s="18" t="s">
        <v>1077</v>
      </c>
    </row>
    <row r="256" spans="1:17" x14ac:dyDescent="0.2">
      <c r="A256" s="18">
        <v>255</v>
      </c>
      <c r="B256" s="18">
        <v>255</v>
      </c>
      <c r="C256" s="18">
        <v>255</v>
      </c>
      <c r="D256" s="18">
        <v>170</v>
      </c>
      <c r="E256" s="18" t="s">
        <v>467</v>
      </c>
      <c r="F256" s="18" t="s">
        <v>469</v>
      </c>
      <c r="G256" s="18">
        <v>483.25</v>
      </c>
      <c r="H256" s="18">
        <v>11.06</v>
      </c>
      <c r="I256" s="18">
        <v>27.64</v>
      </c>
      <c r="J256" s="18">
        <v>276.39</v>
      </c>
      <c r="K256" s="18">
        <v>0</v>
      </c>
      <c r="L256" s="18">
        <v>494.31</v>
      </c>
      <c r="M256" s="18">
        <v>137.32</v>
      </c>
      <c r="N256" s="18" t="s">
        <v>1063</v>
      </c>
      <c r="O256" s="18">
        <v>18548.705498803189</v>
      </c>
      <c r="P256" s="18">
        <v>11992050.03887553</v>
      </c>
      <c r="Q256" s="18" t="s">
        <v>1101</v>
      </c>
    </row>
    <row r="257" spans="1:17" x14ac:dyDescent="0.2">
      <c r="A257" s="18">
        <v>256</v>
      </c>
      <c r="B257" s="18">
        <v>256</v>
      </c>
      <c r="C257" s="18">
        <v>256</v>
      </c>
      <c r="D257" s="18">
        <v>171</v>
      </c>
      <c r="E257" s="18" t="s">
        <v>470</v>
      </c>
      <c r="F257" s="18" t="s">
        <v>472</v>
      </c>
      <c r="G257" s="18">
        <v>502.32</v>
      </c>
      <c r="H257" s="18">
        <v>85.26</v>
      </c>
      <c r="I257" s="18">
        <v>213.15</v>
      </c>
      <c r="J257" s="18">
        <v>2131.5300000000002</v>
      </c>
      <c r="K257" s="18">
        <v>0</v>
      </c>
      <c r="L257" s="18">
        <v>587.58000000000004</v>
      </c>
      <c r="M257" s="18">
        <v>163.22999999999999</v>
      </c>
      <c r="N257" s="18" t="s">
        <v>1063</v>
      </c>
      <c r="O257" s="18">
        <v>16635.9695223118</v>
      </c>
      <c r="P257" s="18">
        <v>15606717.62178663</v>
      </c>
      <c r="Q257" s="18" t="s">
        <v>1075</v>
      </c>
    </row>
    <row r="258" spans="1:17" x14ac:dyDescent="0.2">
      <c r="A258" s="18">
        <v>257</v>
      </c>
      <c r="B258" s="18">
        <v>257</v>
      </c>
      <c r="C258" s="18">
        <v>257</v>
      </c>
      <c r="D258" s="18">
        <v>172</v>
      </c>
      <c r="E258" s="18" t="s">
        <v>476</v>
      </c>
      <c r="F258" s="18" t="s">
        <v>478</v>
      </c>
      <c r="G258" s="18">
        <v>1253.29</v>
      </c>
      <c r="H258" s="18">
        <v>42.31</v>
      </c>
      <c r="I258" s="18">
        <v>105.76</v>
      </c>
      <c r="J258" s="18">
        <v>1057.6300000000001</v>
      </c>
      <c r="K258" s="18">
        <v>9.49</v>
      </c>
      <c r="L258" s="18">
        <v>1305.0899999999999</v>
      </c>
      <c r="M258" s="18">
        <v>362.55</v>
      </c>
      <c r="N258" s="18" t="s">
        <v>1063</v>
      </c>
      <c r="O258" s="18">
        <v>26936.166544601259</v>
      </c>
      <c r="P258" s="18">
        <v>26107523.825622141</v>
      </c>
      <c r="Q258" s="18" t="s">
        <v>1078</v>
      </c>
    </row>
    <row r="259" spans="1:17" x14ac:dyDescent="0.2">
      <c r="A259" s="18">
        <v>258</v>
      </c>
      <c r="B259" s="18">
        <v>258</v>
      </c>
      <c r="C259" s="18">
        <v>258</v>
      </c>
      <c r="D259" s="18">
        <v>173</v>
      </c>
      <c r="E259" s="18" t="s">
        <v>482</v>
      </c>
      <c r="F259" s="18" t="s">
        <v>484</v>
      </c>
      <c r="G259" s="18">
        <v>1557.06</v>
      </c>
      <c r="H259" s="18">
        <v>29.49</v>
      </c>
      <c r="I259" s="18">
        <v>73.739999999999995</v>
      </c>
      <c r="J259" s="18">
        <v>737.36</v>
      </c>
      <c r="K259" s="18">
        <v>0</v>
      </c>
      <c r="L259" s="18">
        <v>1586.55</v>
      </c>
      <c r="M259" s="18">
        <v>440.74</v>
      </c>
      <c r="N259" s="18" t="s">
        <v>1063</v>
      </c>
      <c r="O259" s="18">
        <v>25233.84131217275</v>
      </c>
      <c r="P259" s="18">
        <v>23169096.728333581</v>
      </c>
      <c r="Q259" s="18" t="s">
        <v>1078</v>
      </c>
    </row>
    <row r="260" spans="1:17" x14ac:dyDescent="0.2">
      <c r="A260" s="18">
        <v>259</v>
      </c>
      <c r="B260" s="18">
        <v>259</v>
      </c>
      <c r="C260" s="18">
        <v>259</v>
      </c>
      <c r="D260" s="18">
        <v>174</v>
      </c>
      <c r="E260" s="18" t="s">
        <v>506</v>
      </c>
      <c r="F260" s="18" t="s">
        <v>508</v>
      </c>
      <c r="G260" s="18">
        <v>557.83000000000004</v>
      </c>
      <c r="H260" s="18">
        <v>16.55</v>
      </c>
      <c r="I260" s="18">
        <v>41.37</v>
      </c>
      <c r="J260" s="18">
        <v>413.73</v>
      </c>
      <c r="K260" s="18">
        <v>0</v>
      </c>
      <c r="L260" s="18">
        <v>574.38</v>
      </c>
      <c r="M260" s="18">
        <v>159.56</v>
      </c>
      <c r="N260" s="18" t="s">
        <v>1063</v>
      </c>
      <c r="O260" s="18">
        <v>14935.014962566151</v>
      </c>
      <c r="P260" s="18">
        <v>10769938.432464991</v>
      </c>
      <c r="Q260" s="18" t="s">
        <v>1101</v>
      </c>
    </row>
    <row r="261" spans="1:17" x14ac:dyDescent="0.2">
      <c r="A261" s="18">
        <v>260</v>
      </c>
      <c r="B261" s="18">
        <v>260</v>
      </c>
      <c r="C261" s="18">
        <v>260</v>
      </c>
      <c r="D261" s="18">
        <v>175</v>
      </c>
      <c r="E261" s="18" t="s">
        <v>485</v>
      </c>
      <c r="F261" s="18" t="s">
        <v>487</v>
      </c>
      <c r="G261" s="18">
        <v>451.34</v>
      </c>
      <c r="H261" s="18">
        <v>76.53</v>
      </c>
      <c r="I261" s="18">
        <v>191.32</v>
      </c>
      <c r="J261" s="18">
        <v>1913.23</v>
      </c>
      <c r="K261" s="18">
        <v>0</v>
      </c>
      <c r="L261" s="18">
        <v>527.87</v>
      </c>
      <c r="M261" s="18">
        <v>146.63999999999999</v>
      </c>
      <c r="N261" s="18" t="s">
        <v>1063</v>
      </c>
      <c r="O261" s="18">
        <v>16411.402442918708</v>
      </c>
      <c r="P261" s="18">
        <v>12292606.183881201</v>
      </c>
      <c r="Q261" s="18" t="s">
        <v>1078</v>
      </c>
    </row>
    <row r="262" spans="1:17" x14ac:dyDescent="0.2">
      <c r="A262" s="18">
        <v>261</v>
      </c>
      <c r="B262" s="18">
        <v>261</v>
      </c>
      <c r="C262" s="18">
        <v>261</v>
      </c>
      <c r="D262" s="18">
        <v>176</v>
      </c>
      <c r="E262" s="18" t="s">
        <v>488</v>
      </c>
      <c r="F262" s="18" t="s">
        <v>490</v>
      </c>
      <c r="G262" s="18">
        <v>549.89</v>
      </c>
      <c r="H262" s="18">
        <v>111.85</v>
      </c>
      <c r="I262" s="18">
        <v>279.62</v>
      </c>
      <c r="J262" s="18">
        <v>2796.25</v>
      </c>
      <c r="K262" s="18">
        <v>0</v>
      </c>
      <c r="L262" s="18">
        <v>661.74</v>
      </c>
      <c r="M262" s="18">
        <v>183.83</v>
      </c>
      <c r="N262" s="18" t="s">
        <v>1063</v>
      </c>
      <c r="O262" s="18">
        <v>19162.298296116842</v>
      </c>
      <c r="P262" s="18">
        <v>16112139.607846839</v>
      </c>
      <c r="Q262" s="18" t="s">
        <v>1078</v>
      </c>
    </row>
    <row r="263" spans="1:17" x14ac:dyDescent="0.2">
      <c r="A263" s="18">
        <v>262</v>
      </c>
      <c r="B263" s="18">
        <v>262</v>
      </c>
      <c r="C263" s="18">
        <v>262</v>
      </c>
      <c r="D263" s="18">
        <v>179</v>
      </c>
      <c r="E263" s="18" t="s">
        <v>500</v>
      </c>
      <c r="F263" s="18" t="s">
        <v>502</v>
      </c>
      <c r="G263" s="18">
        <v>392.16</v>
      </c>
      <c r="H263" s="18">
        <v>7.52</v>
      </c>
      <c r="I263" s="18">
        <v>18.79</v>
      </c>
      <c r="J263" s="18">
        <v>187.94</v>
      </c>
      <c r="K263" s="18">
        <v>0</v>
      </c>
      <c r="L263" s="18">
        <v>399.68</v>
      </c>
      <c r="M263" s="18">
        <v>111.03</v>
      </c>
      <c r="N263" s="18" t="s">
        <v>1063</v>
      </c>
      <c r="O263" s="18">
        <v>19178.991300335019</v>
      </c>
      <c r="P263" s="18">
        <v>7961122.5260737883</v>
      </c>
      <c r="Q263" s="18" t="s">
        <v>1078</v>
      </c>
    </row>
    <row r="264" spans="1:17" x14ac:dyDescent="0.2">
      <c r="A264" s="18">
        <v>263</v>
      </c>
      <c r="B264" s="18">
        <v>263</v>
      </c>
      <c r="C264" s="18">
        <v>263</v>
      </c>
      <c r="D264" s="18">
        <v>180</v>
      </c>
      <c r="E264" s="18" t="s">
        <v>503</v>
      </c>
      <c r="F264" s="18" t="s">
        <v>505</v>
      </c>
      <c r="G264" s="18">
        <v>400.4</v>
      </c>
      <c r="H264" s="18">
        <v>523.41</v>
      </c>
      <c r="I264" s="18">
        <v>1308.52</v>
      </c>
      <c r="J264" s="18">
        <v>13085.23</v>
      </c>
      <c r="K264" s="18">
        <v>0</v>
      </c>
      <c r="L264" s="18">
        <v>923.81</v>
      </c>
      <c r="M264" s="18">
        <v>256.63</v>
      </c>
      <c r="N264" s="18" t="s">
        <v>1063</v>
      </c>
      <c r="O264" s="18">
        <v>35781.29799240984</v>
      </c>
      <c r="P264" s="18">
        <v>40163357.992994957</v>
      </c>
      <c r="Q264" s="18" t="s">
        <v>1074</v>
      </c>
    </row>
    <row r="265" spans="1:17" x14ac:dyDescent="0.2">
      <c r="A265" s="18">
        <v>264</v>
      </c>
      <c r="B265" s="18">
        <v>264</v>
      </c>
      <c r="C265" s="18">
        <v>264</v>
      </c>
      <c r="D265" s="18">
        <v>181</v>
      </c>
      <c r="E265" s="18" t="s">
        <v>509</v>
      </c>
      <c r="F265" s="18" t="s">
        <v>511</v>
      </c>
      <c r="G265" s="18">
        <v>919.67</v>
      </c>
      <c r="H265" s="18">
        <v>61.08</v>
      </c>
      <c r="I265" s="18">
        <v>152.69</v>
      </c>
      <c r="J265" s="18">
        <v>1526.88</v>
      </c>
      <c r="K265" s="18">
        <v>0</v>
      </c>
      <c r="L265" s="18">
        <v>980.75</v>
      </c>
      <c r="M265" s="18">
        <v>272.45</v>
      </c>
      <c r="N265" s="18" t="s">
        <v>1063</v>
      </c>
      <c r="O265" s="18">
        <v>22829.164918142858</v>
      </c>
      <c r="P265" s="18">
        <v>25096537.257244419</v>
      </c>
      <c r="Q265" s="18" t="s">
        <v>1077</v>
      </c>
    </row>
    <row r="266" spans="1:17" x14ac:dyDescent="0.2">
      <c r="A266" s="18">
        <v>265</v>
      </c>
      <c r="B266" s="18">
        <v>265</v>
      </c>
      <c r="C266" s="18">
        <v>265</v>
      </c>
      <c r="D266" s="18">
        <v>189</v>
      </c>
      <c r="E266" s="18" t="s">
        <v>533</v>
      </c>
      <c r="F266" s="18" t="s">
        <v>535</v>
      </c>
      <c r="G266" s="18">
        <v>786.86</v>
      </c>
      <c r="H266" s="18">
        <v>180.82</v>
      </c>
      <c r="I266" s="18">
        <v>452.06</v>
      </c>
      <c r="J266" s="18">
        <v>4520.5600000000004</v>
      </c>
      <c r="K266" s="18">
        <v>0</v>
      </c>
      <c r="L266" s="18">
        <v>967.68</v>
      </c>
      <c r="M266" s="18">
        <v>268.82</v>
      </c>
      <c r="N266" s="18" t="s">
        <v>1063</v>
      </c>
      <c r="O266" s="18">
        <v>29972.829873462091</v>
      </c>
      <c r="P266" s="18">
        <v>29385500.421256479</v>
      </c>
      <c r="Q266" s="18" t="s">
        <v>1087</v>
      </c>
    </row>
    <row r="267" spans="1:17" x14ac:dyDescent="0.2">
      <c r="A267" s="18">
        <v>266</v>
      </c>
      <c r="B267" s="18">
        <v>266</v>
      </c>
      <c r="C267" s="18">
        <v>266</v>
      </c>
      <c r="D267" s="18">
        <v>190</v>
      </c>
      <c r="E267" s="18" t="s">
        <v>548</v>
      </c>
      <c r="F267" s="18" t="s">
        <v>550</v>
      </c>
      <c r="G267" s="18">
        <v>944.42</v>
      </c>
      <c r="H267" s="18">
        <v>61.24</v>
      </c>
      <c r="I267" s="18">
        <v>153.09</v>
      </c>
      <c r="J267" s="18">
        <v>1530.95</v>
      </c>
      <c r="K267" s="18">
        <v>0</v>
      </c>
      <c r="L267" s="18">
        <v>1005.66</v>
      </c>
      <c r="M267" s="18">
        <v>279.37</v>
      </c>
      <c r="N267" s="18" t="s">
        <v>1063</v>
      </c>
      <c r="O267" s="18">
        <v>21361.388741540221</v>
      </c>
      <c r="P267" s="18">
        <v>22771121.839611121</v>
      </c>
      <c r="Q267" s="18" t="s">
        <v>1101</v>
      </c>
    </row>
    <row r="268" spans="1:17" x14ac:dyDescent="0.2">
      <c r="A268" s="18">
        <v>267</v>
      </c>
      <c r="B268" s="18">
        <v>267</v>
      </c>
      <c r="C268" s="18">
        <v>267</v>
      </c>
      <c r="D268" s="18">
        <v>191</v>
      </c>
      <c r="E268" s="18" t="s">
        <v>536</v>
      </c>
      <c r="F268" s="18" t="s">
        <v>538</v>
      </c>
      <c r="G268" s="18">
        <v>462.17</v>
      </c>
      <c r="H268" s="18">
        <v>139.76</v>
      </c>
      <c r="I268" s="18">
        <v>349.41</v>
      </c>
      <c r="J268" s="18">
        <v>3494.08</v>
      </c>
      <c r="K268" s="18">
        <v>0</v>
      </c>
      <c r="L268" s="18">
        <v>601.92999999999995</v>
      </c>
      <c r="M268" s="18">
        <v>167.22</v>
      </c>
      <c r="N268" s="18" t="s">
        <v>1063</v>
      </c>
      <c r="O268" s="18">
        <v>32823.23527221394</v>
      </c>
      <c r="P268" s="18">
        <v>52787494.83233317</v>
      </c>
      <c r="Q268" s="18" t="s">
        <v>1077</v>
      </c>
    </row>
    <row r="269" spans="1:17" x14ac:dyDescent="0.2">
      <c r="A269" s="18">
        <v>268</v>
      </c>
      <c r="B269" s="18">
        <v>268</v>
      </c>
      <c r="C269" s="18">
        <v>268</v>
      </c>
      <c r="D269" s="18">
        <v>193</v>
      </c>
      <c r="E269" s="18" t="s">
        <v>569</v>
      </c>
      <c r="F269" s="18" t="s">
        <v>571</v>
      </c>
      <c r="G269" s="18">
        <v>841.83</v>
      </c>
      <c r="H269" s="18">
        <v>1112.8800000000001</v>
      </c>
      <c r="I269" s="18">
        <v>2782.21</v>
      </c>
      <c r="J269" s="18">
        <v>27822.080000000002</v>
      </c>
      <c r="K269" s="18">
        <v>12.74</v>
      </c>
      <c r="L269" s="18">
        <v>1967.45</v>
      </c>
      <c r="M269" s="18">
        <v>546.55999999999995</v>
      </c>
      <c r="N269" s="18" t="s">
        <v>1063</v>
      </c>
      <c r="O269" s="18">
        <v>73382.668739365763</v>
      </c>
      <c r="P269" s="18">
        <v>102686011.1112055</v>
      </c>
      <c r="Q269" s="18" t="s">
        <v>1079</v>
      </c>
    </row>
    <row r="270" spans="1:17" x14ac:dyDescent="0.2">
      <c r="A270" s="18">
        <v>269</v>
      </c>
      <c r="B270" s="18">
        <v>269</v>
      </c>
      <c r="C270" s="18">
        <v>269</v>
      </c>
      <c r="D270" s="18">
        <v>195</v>
      </c>
      <c r="E270" s="18" t="s">
        <v>542</v>
      </c>
      <c r="F270" s="18" t="s">
        <v>544</v>
      </c>
      <c r="G270" s="18">
        <v>1913.79</v>
      </c>
      <c r="H270" s="18">
        <v>94.39</v>
      </c>
      <c r="I270" s="18">
        <v>235.97</v>
      </c>
      <c r="J270" s="18">
        <v>2359.71</v>
      </c>
      <c r="K270" s="18">
        <v>12.64</v>
      </c>
      <c r="L270" s="18">
        <v>2020.82</v>
      </c>
      <c r="M270" s="18">
        <v>561.38</v>
      </c>
      <c r="N270" s="18" t="s">
        <v>1063</v>
      </c>
      <c r="O270" s="18">
        <v>28077.781851873209</v>
      </c>
      <c r="P270" s="18">
        <v>37060719.124055713</v>
      </c>
      <c r="Q270" s="18" t="s">
        <v>1077</v>
      </c>
    </row>
    <row r="271" spans="1:17" x14ac:dyDescent="0.2">
      <c r="A271" s="18">
        <v>270</v>
      </c>
      <c r="B271" s="18">
        <v>270</v>
      </c>
      <c r="C271" s="18">
        <v>270</v>
      </c>
      <c r="D271" s="18">
        <v>196</v>
      </c>
      <c r="E271" s="18" t="s">
        <v>545</v>
      </c>
      <c r="F271" s="18" t="s">
        <v>547</v>
      </c>
      <c r="G271" s="18">
        <v>372.1</v>
      </c>
      <c r="H271" s="18">
        <v>252.53</v>
      </c>
      <c r="I271" s="18">
        <v>631.33000000000004</v>
      </c>
      <c r="J271" s="18">
        <v>6313.33</v>
      </c>
      <c r="K271" s="18">
        <v>0</v>
      </c>
      <c r="L271" s="18">
        <v>624.63</v>
      </c>
      <c r="M271" s="18">
        <v>173.52</v>
      </c>
      <c r="N271" s="18" t="s">
        <v>1063</v>
      </c>
      <c r="O271" s="18">
        <v>22488.095011550529</v>
      </c>
      <c r="P271" s="18">
        <v>21948086.48868059</v>
      </c>
      <c r="Q271" s="18" t="s">
        <v>1078</v>
      </c>
    </row>
    <row r="272" spans="1:17" x14ac:dyDescent="0.2">
      <c r="A272" s="18">
        <v>271</v>
      </c>
      <c r="B272" s="18">
        <v>271</v>
      </c>
      <c r="C272" s="18">
        <v>271</v>
      </c>
      <c r="D272" s="18">
        <v>197</v>
      </c>
      <c r="E272" s="18" t="s">
        <v>551</v>
      </c>
      <c r="F272" s="18" t="s">
        <v>553</v>
      </c>
      <c r="G272" s="18">
        <v>1254.83</v>
      </c>
      <c r="H272" s="18">
        <v>1741.64</v>
      </c>
      <c r="I272" s="18">
        <v>4354.09</v>
      </c>
      <c r="J272" s="18">
        <v>43540.95</v>
      </c>
      <c r="K272" s="18">
        <v>0</v>
      </c>
      <c r="L272" s="18">
        <v>2996.47</v>
      </c>
      <c r="M272" s="18">
        <v>832.42</v>
      </c>
      <c r="N272" s="18" t="s">
        <v>1063</v>
      </c>
      <c r="O272" s="18">
        <v>55226.349774574359</v>
      </c>
      <c r="P272" s="18">
        <v>145911756.98817351</v>
      </c>
      <c r="Q272" s="18" t="s">
        <v>1079</v>
      </c>
    </row>
    <row r="273" spans="1:17" x14ac:dyDescent="0.2">
      <c r="A273" s="18">
        <v>272</v>
      </c>
      <c r="B273" s="18">
        <v>272</v>
      </c>
      <c r="C273" s="18">
        <v>272</v>
      </c>
      <c r="D273" s="18">
        <v>198</v>
      </c>
      <c r="E273" s="18" t="s">
        <v>575</v>
      </c>
      <c r="F273" s="18" t="s">
        <v>577</v>
      </c>
      <c r="G273" s="18">
        <v>1008.86</v>
      </c>
      <c r="H273" s="18">
        <v>2007.36</v>
      </c>
      <c r="I273" s="18">
        <v>5018.3900000000003</v>
      </c>
      <c r="J273" s="18">
        <v>50183.93</v>
      </c>
      <c r="K273" s="18">
        <v>17.079999999999998</v>
      </c>
      <c r="L273" s="18">
        <v>3033.3</v>
      </c>
      <c r="M273" s="18">
        <v>842.65</v>
      </c>
      <c r="N273" s="18" t="s">
        <v>1063</v>
      </c>
      <c r="O273" s="18">
        <v>77254.687651164102</v>
      </c>
      <c r="P273" s="18">
        <v>146861101.6230368</v>
      </c>
      <c r="Q273" s="18" t="s">
        <v>1079</v>
      </c>
    </row>
    <row r="274" spans="1:17" x14ac:dyDescent="0.2">
      <c r="A274" s="18">
        <v>273</v>
      </c>
      <c r="B274" s="18">
        <v>273</v>
      </c>
      <c r="C274" s="18">
        <v>273</v>
      </c>
      <c r="D274" s="18">
        <v>199</v>
      </c>
      <c r="E274" s="18" t="s">
        <v>554</v>
      </c>
      <c r="F274" s="18" t="s">
        <v>556</v>
      </c>
      <c r="G274" s="18">
        <v>1118.82</v>
      </c>
      <c r="H274" s="18">
        <v>1119.81</v>
      </c>
      <c r="I274" s="18">
        <v>2799.52</v>
      </c>
      <c r="J274" s="18">
        <v>27995.15</v>
      </c>
      <c r="K274" s="18">
        <v>0</v>
      </c>
      <c r="L274" s="18">
        <v>2238.63</v>
      </c>
      <c r="M274" s="18">
        <v>621.89</v>
      </c>
      <c r="N274" s="18" t="s">
        <v>1063</v>
      </c>
      <c r="O274" s="18">
        <v>51222.926876709556</v>
      </c>
      <c r="P274" s="18">
        <v>92834561.206763878</v>
      </c>
      <c r="Q274" s="18" t="s">
        <v>1079</v>
      </c>
    </row>
    <row r="275" spans="1:17" x14ac:dyDescent="0.2">
      <c r="A275" s="18">
        <v>274</v>
      </c>
      <c r="B275" s="18">
        <v>274</v>
      </c>
      <c r="C275" s="18">
        <v>274</v>
      </c>
      <c r="D275" s="18">
        <v>200</v>
      </c>
      <c r="E275" s="18" t="s">
        <v>614</v>
      </c>
      <c r="F275" s="18" t="s">
        <v>616</v>
      </c>
      <c r="G275" s="18">
        <v>502.14</v>
      </c>
      <c r="H275" s="18">
        <v>600.16</v>
      </c>
      <c r="I275" s="18">
        <v>1500.39</v>
      </c>
      <c r="J275" s="18">
        <v>15003.91</v>
      </c>
      <c r="K275" s="18">
        <v>0</v>
      </c>
      <c r="L275" s="18">
        <v>1102.3</v>
      </c>
      <c r="M275" s="18">
        <v>306.22000000000003</v>
      </c>
      <c r="N275" s="18" t="s">
        <v>1063</v>
      </c>
      <c r="O275" s="18">
        <v>35532.568811838268</v>
      </c>
      <c r="P275" s="18">
        <v>50200748.391646937</v>
      </c>
      <c r="Q275" s="18" t="s">
        <v>1086</v>
      </c>
    </row>
    <row r="276" spans="1:17" x14ac:dyDescent="0.2">
      <c r="A276" s="18">
        <v>275</v>
      </c>
      <c r="B276" s="18">
        <v>275</v>
      </c>
      <c r="C276" s="18">
        <v>275</v>
      </c>
      <c r="D276" s="18">
        <v>201</v>
      </c>
      <c r="E276" s="18" t="s">
        <v>557</v>
      </c>
      <c r="F276" s="18" t="s">
        <v>559</v>
      </c>
      <c r="G276" s="18">
        <v>1005.97</v>
      </c>
      <c r="H276" s="18">
        <v>881.62</v>
      </c>
      <c r="I276" s="18">
        <v>2204.06</v>
      </c>
      <c r="J276" s="18">
        <v>22040.57</v>
      </c>
      <c r="K276" s="18">
        <v>0</v>
      </c>
      <c r="L276" s="18">
        <v>1887.59</v>
      </c>
      <c r="M276" s="18">
        <v>524.37</v>
      </c>
      <c r="N276" s="18" t="s">
        <v>1063</v>
      </c>
      <c r="O276" s="18">
        <v>47677.395473019613</v>
      </c>
      <c r="P276" s="18">
        <v>85151123.691570178</v>
      </c>
      <c r="Q276" s="18" t="s">
        <v>1069</v>
      </c>
    </row>
    <row r="277" spans="1:17" x14ac:dyDescent="0.2">
      <c r="A277" s="18">
        <v>276</v>
      </c>
      <c r="B277" s="18">
        <v>276</v>
      </c>
      <c r="C277" s="18">
        <v>276</v>
      </c>
      <c r="D277" s="18">
        <v>202</v>
      </c>
      <c r="E277" s="18" t="s">
        <v>560</v>
      </c>
      <c r="F277" s="18" t="s">
        <v>562</v>
      </c>
      <c r="G277" s="18">
        <v>1276.69</v>
      </c>
      <c r="H277" s="18">
        <v>2694.8</v>
      </c>
      <c r="I277" s="18">
        <v>6736.99</v>
      </c>
      <c r="J277" s="18">
        <v>67369.929999999993</v>
      </c>
      <c r="K277" s="18">
        <v>0</v>
      </c>
      <c r="L277" s="18">
        <v>3971.49</v>
      </c>
      <c r="M277" s="18">
        <v>1103.28</v>
      </c>
      <c r="N277" s="18" t="s">
        <v>1063</v>
      </c>
      <c r="O277" s="18">
        <v>67474.302367866432</v>
      </c>
      <c r="P277" s="18">
        <v>182219758.01890209</v>
      </c>
      <c r="Q277" s="18" t="s">
        <v>1079</v>
      </c>
    </row>
    <row r="278" spans="1:17" x14ac:dyDescent="0.2">
      <c r="A278" s="18">
        <v>277</v>
      </c>
      <c r="B278" s="18">
        <v>277</v>
      </c>
      <c r="C278" s="18">
        <v>277</v>
      </c>
      <c r="D278" s="18">
        <v>203</v>
      </c>
      <c r="E278" s="18" t="s">
        <v>563</v>
      </c>
      <c r="F278" s="18" t="s">
        <v>565</v>
      </c>
      <c r="G278" s="18">
        <v>502.84</v>
      </c>
      <c r="H278" s="18">
        <v>388.24</v>
      </c>
      <c r="I278" s="18">
        <v>970.61</v>
      </c>
      <c r="J278" s="18">
        <v>9706.08</v>
      </c>
      <c r="K278" s="18">
        <v>6.51</v>
      </c>
      <c r="L278" s="18">
        <v>897.59</v>
      </c>
      <c r="M278" s="18">
        <v>249.35</v>
      </c>
      <c r="N278" s="18" t="s">
        <v>1063</v>
      </c>
      <c r="O278" s="18">
        <v>30482.857631854491</v>
      </c>
      <c r="P278" s="18">
        <v>38576779.911261633</v>
      </c>
      <c r="Q278" s="18" t="s">
        <v>1079</v>
      </c>
    </row>
    <row r="279" spans="1:17" x14ac:dyDescent="0.2">
      <c r="A279" s="18">
        <v>278</v>
      </c>
      <c r="B279" s="18">
        <v>278</v>
      </c>
      <c r="C279" s="18">
        <v>278</v>
      </c>
      <c r="D279" s="18">
        <v>204</v>
      </c>
      <c r="E279" s="18" t="s">
        <v>650</v>
      </c>
      <c r="F279" s="18" t="s">
        <v>652</v>
      </c>
      <c r="G279" s="18">
        <v>744.43</v>
      </c>
      <c r="H279" s="18">
        <v>269.23</v>
      </c>
      <c r="I279" s="18">
        <v>673.08</v>
      </c>
      <c r="J279" s="18">
        <v>6730.83</v>
      </c>
      <c r="K279" s="18">
        <v>0</v>
      </c>
      <c r="L279" s="18">
        <v>1013.66</v>
      </c>
      <c r="M279" s="18">
        <v>281.58999999999997</v>
      </c>
      <c r="N279" s="18" t="s">
        <v>1063</v>
      </c>
      <c r="O279" s="18">
        <v>33677.394908913979</v>
      </c>
      <c r="P279" s="18">
        <v>50724510.512927271</v>
      </c>
      <c r="Q279" s="18" t="s">
        <v>1084</v>
      </c>
    </row>
    <row r="280" spans="1:17" x14ac:dyDescent="0.2">
      <c r="A280" s="18">
        <v>279</v>
      </c>
      <c r="B280" s="18">
        <v>279</v>
      </c>
      <c r="C280" s="18">
        <v>279</v>
      </c>
      <c r="D280" s="18">
        <v>205</v>
      </c>
      <c r="E280" s="18" t="s">
        <v>566</v>
      </c>
      <c r="F280" s="18" t="s">
        <v>568</v>
      </c>
      <c r="G280" s="18">
        <v>1096.8499999999999</v>
      </c>
      <c r="H280" s="18">
        <v>434.69</v>
      </c>
      <c r="I280" s="18">
        <v>1086.72</v>
      </c>
      <c r="J280" s="18">
        <v>10867.22</v>
      </c>
      <c r="K280" s="18">
        <v>0</v>
      </c>
      <c r="L280" s="18">
        <v>1531.54</v>
      </c>
      <c r="M280" s="18">
        <v>425.46</v>
      </c>
      <c r="N280" s="18" t="s">
        <v>1063</v>
      </c>
      <c r="O280" s="18">
        <v>40856.365331964153</v>
      </c>
      <c r="P280" s="18">
        <v>49906909.507165506</v>
      </c>
      <c r="Q280" s="18" t="s">
        <v>1079</v>
      </c>
    </row>
    <row r="281" spans="1:17" x14ac:dyDescent="0.2">
      <c r="A281" s="18">
        <v>280</v>
      </c>
      <c r="B281" s="18">
        <v>280</v>
      </c>
      <c r="C281" s="18">
        <v>280</v>
      </c>
      <c r="D281" s="18">
        <v>207</v>
      </c>
      <c r="E281" s="18" t="s">
        <v>578</v>
      </c>
      <c r="F281" s="18" t="s">
        <v>580</v>
      </c>
      <c r="G281" s="18">
        <v>1016.97</v>
      </c>
      <c r="H281" s="18">
        <v>1416.75</v>
      </c>
      <c r="I281" s="18">
        <v>3541.88</v>
      </c>
      <c r="J281" s="18">
        <v>35418.78</v>
      </c>
      <c r="K281" s="18">
        <v>0</v>
      </c>
      <c r="L281" s="18">
        <v>2433.7199999999998</v>
      </c>
      <c r="M281" s="18">
        <v>676.09</v>
      </c>
      <c r="N281" s="18" t="s">
        <v>1063</v>
      </c>
      <c r="O281" s="18">
        <v>72307.18075389709</v>
      </c>
      <c r="P281" s="18">
        <v>133864477.53761271</v>
      </c>
      <c r="Q281" s="18" t="s">
        <v>1079</v>
      </c>
    </row>
    <row r="282" spans="1:17" x14ac:dyDescent="0.2">
      <c r="A282" s="18">
        <v>281</v>
      </c>
      <c r="B282" s="18">
        <v>281</v>
      </c>
      <c r="C282" s="18">
        <v>281</v>
      </c>
      <c r="D282" s="18">
        <v>208</v>
      </c>
      <c r="E282" s="18" t="s">
        <v>581</v>
      </c>
      <c r="F282" s="18" t="s">
        <v>583</v>
      </c>
      <c r="G282" s="18">
        <v>1223.0899999999999</v>
      </c>
      <c r="H282" s="18">
        <v>167.38</v>
      </c>
      <c r="I282" s="18">
        <v>418.45</v>
      </c>
      <c r="J282" s="18">
        <v>4184.54</v>
      </c>
      <c r="K282" s="18">
        <v>0</v>
      </c>
      <c r="L282" s="18">
        <v>1390.47</v>
      </c>
      <c r="M282" s="18">
        <v>386.27</v>
      </c>
      <c r="N282" s="18" t="s">
        <v>1063</v>
      </c>
      <c r="O282" s="18">
        <v>49786.470126678578</v>
      </c>
      <c r="P282" s="18">
        <v>38519643.031722911</v>
      </c>
      <c r="Q282" s="18" t="s">
        <v>1079</v>
      </c>
    </row>
    <row r="283" spans="1:17" x14ac:dyDescent="0.2">
      <c r="A283" s="18">
        <v>282</v>
      </c>
      <c r="B283" s="18">
        <v>282</v>
      </c>
      <c r="C283" s="18">
        <v>282</v>
      </c>
      <c r="D283" s="18">
        <v>213</v>
      </c>
      <c r="E283" s="18" t="s">
        <v>596</v>
      </c>
      <c r="F283" s="18" t="s">
        <v>598</v>
      </c>
      <c r="G283" s="18">
        <v>1796.87</v>
      </c>
      <c r="H283" s="18">
        <v>502.22</v>
      </c>
      <c r="I283" s="18">
        <v>1255.55</v>
      </c>
      <c r="J283" s="18">
        <v>12555.5</v>
      </c>
      <c r="K283" s="18">
        <v>34.840000000000003</v>
      </c>
      <c r="L283" s="18">
        <v>2333.9299999999998</v>
      </c>
      <c r="M283" s="18">
        <v>648.37</v>
      </c>
      <c r="N283" s="18" t="s">
        <v>1063</v>
      </c>
      <c r="O283" s="18">
        <v>51155.302698828476</v>
      </c>
      <c r="P283" s="18">
        <v>74366832.937376976</v>
      </c>
      <c r="Q283" s="18" t="s">
        <v>1082</v>
      </c>
    </row>
    <row r="284" spans="1:17" x14ac:dyDescent="0.2">
      <c r="A284" s="18">
        <v>283</v>
      </c>
      <c r="B284" s="18">
        <v>283</v>
      </c>
      <c r="C284" s="18">
        <v>283</v>
      </c>
      <c r="D284" s="18">
        <v>214</v>
      </c>
      <c r="E284" s="18" t="s">
        <v>599</v>
      </c>
      <c r="F284" s="18" t="s">
        <v>601</v>
      </c>
      <c r="G284" s="18">
        <v>991.55</v>
      </c>
      <c r="H284" s="18">
        <v>182.01</v>
      </c>
      <c r="I284" s="18">
        <v>455.02</v>
      </c>
      <c r="J284" s="18">
        <v>4550.1899999999996</v>
      </c>
      <c r="K284" s="18">
        <v>0</v>
      </c>
      <c r="L284" s="18">
        <v>1173.56</v>
      </c>
      <c r="M284" s="18">
        <v>326.01</v>
      </c>
      <c r="N284" s="18" t="s">
        <v>1063</v>
      </c>
      <c r="O284" s="18">
        <v>28189.38705407899</v>
      </c>
      <c r="P284" s="18">
        <v>35115841.696794942</v>
      </c>
      <c r="Q284" s="18" t="s">
        <v>1081</v>
      </c>
    </row>
    <row r="285" spans="1:17" x14ac:dyDescent="0.2">
      <c r="A285" s="18">
        <v>284</v>
      </c>
      <c r="B285" s="18">
        <v>284</v>
      </c>
      <c r="C285" s="18">
        <v>284</v>
      </c>
      <c r="D285" s="18">
        <v>215</v>
      </c>
      <c r="E285" s="18" t="s">
        <v>602</v>
      </c>
      <c r="F285" s="18" t="s">
        <v>604</v>
      </c>
      <c r="G285" s="18">
        <v>728.21</v>
      </c>
      <c r="H285" s="18">
        <v>404.04</v>
      </c>
      <c r="I285" s="18">
        <v>1010.09</v>
      </c>
      <c r="J285" s="18">
        <v>10100.879999999999</v>
      </c>
      <c r="K285" s="18">
        <v>0</v>
      </c>
      <c r="L285" s="18">
        <v>1132.25</v>
      </c>
      <c r="M285" s="18">
        <v>314.54000000000002</v>
      </c>
      <c r="N285" s="18" t="s">
        <v>1063</v>
      </c>
      <c r="O285" s="18">
        <v>25325.278527097529</v>
      </c>
      <c r="P285" s="18">
        <v>34517160.677712873</v>
      </c>
      <c r="Q285" s="18" t="s">
        <v>1080</v>
      </c>
    </row>
    <row r="286" spans="1:17" x14ac:dyDescent="0.2">
      <c r="A286" s="18">
        <v>285</v>
      </c>
      <c r="B286" s="18">
        <v>285</v>
      </c>
      <c r="C286" s="18">
        <v>285</v>
      </c>
      <c r="D286" s="18">
        <v>216</v>
      </c>
      <c r="E286" s="18" t="s">
        <v>1114</v>
      </c>
      <c r="F286" s="18" t="s">
        <v>1115</v>
      </c>
      <c r="G286" s="18">
        <v>1481.83</v>
      </c>
      <c r="H286" s="18">
        <v>1118.8599999999999</v>
      </c>
      <c r="I286" s="18">
        <v>2797.15</v>
      </c>
      <c r="J286" s="18">
        <v>27971.53</v>
      </c>
      <c r="K286" s="18">
        <v>0</v>
      </c>
      <c r="L286" s="18">
        <v>2600.69</v>
      </c>
      <c r="M286" s="18">
        <v>722.47</v>
      </c>
      <c r="N286" s="18" t="s">
        <v>1063</v>
      </c>
      <c r="O286" s="18">
        <v>65587.038327564806</v>
      </c>
      <c r="P286" s="18">
        <v>113945855.39447971</v>
      </c>
      <c r="Q286" s="18" t="s">
        <v>1080</v>
      </c>
    </row>
    <row r="287" spans="1:17" x14ac:dyDescent="0.2">
      <c r="A287" s="18">
        <v>286</v>
      </c>
      <c r="B287" s="18">
        <v>286</v>
      </c>
      <c r="C287" s="18">
        <v>286</v>
      </c>
      <c r="D287" s="18">
        <v>217</v>
      </c>
      <c r="E287" s="18" t="s">
        <v>605</v>
      </c>
      <c r="F287" s="18" t="s">
        <v>607</v>
      </c>
      <c r="G287" s="18">
        <v>1024.08</v>
      </c>
      <c r="H287" s="18">
        <v>428.71</v>
      </c>
      <c r="I287" s="18">
        <v>1071.77</v>
      </c>
      <c r="J287" s="18">
        <v>10717.72</v>
      </c>
      <c r="K287" s="18">
        <v>0</v>
      </c>
      <c r="L287" s="18">
        <v>1452.79</v>
      </c>
      <c r="M287" s="18">
        <v>403.59</v>
      </c>
      <c r="N287" s="18" t="s">
        <v>1063</v>
      </c>
      <c r="O287" s="18">
        <v>43329.618708798247</v>
      </c>
      <c r="P287" s="18">
        <v>64769102.030755177</v>
      </c>
      <c r="Q287" s="18" t="s">
        <v>1080</v>
      </c>
    </row>
    <row r="288" spans="1:17" x14ac:dyDescent="0.2">
      <c r="A288" s="18">
        <v>287</v>
      </c>
      <c r="B288" s="18">
        <v>287</v>
      </c>
      <c r="C288" s="18">
        <v>287</v>
      </c>
      <c r="D288" s="18">
        <v>220</v>
      </c>
      <c r="E288" s="18" t="s">
        <v>617</v>
      </c>
      <c r="F288" s="18" t="s">
        <v>619</v>
      </c>
      <c r="G288" s="18">
        <v>862.76</v>
      </c>
      <c r="H288" s="18">
        <v>264.27</v>
      </c>
      <c r="I288" s="18">
        <v>660.69</v>
      </c>
      <c r="J288" s="18">
        <v>6606.87</v>
      </c>
      <c r="K288" s="18">
        <v>0</v>
      </c>
      <c r="L288" s="18">
        <v>1127.03</v>
      </c>
      <c r="M288" s="18">
        <v>313.08999999999997</v>
      </c>
      <c r="N288" s="18" t="s">
        <v>1063</v>
      </c>
      <c r="O288" s="18">
        <v>28669.4425768931</v>
      </c>
      <c r="P288" s="18">
        <v>29730160.713702582</v>
      </c>
      <c r="Q288" s="18" t="s">
        <v>1084</v>
      </c>
    </row>
    <row r="289" spans="1:17" x14ac:dyDescent="0.2">
      <c r="A289" s="18">
        <v>288</v>
      </c>
      <c r="B289" s="18">
        <v>288</v>
      </c>
      <c r="C289" s="18">
        <v>288</v>
      </c>
      <c r="D289" s="18">
        <v>224</v>
      </c>
      <c r="E289" s="18" t="s">
        <v>725</v>
      </c>
      <c r="F289" s="18" t="s">
        <v>727</v>
      </c>
      <c r="G289" s="18">
        <v>643.54</v>
      </c>
      <c r="H289" s="18">
        <v>15.8</v>
      </c>
      <c r="I289" s="18">
        <v>39.5</v>
      </c>
      <c r="J289" s="18">
        <v>395.05</v>
      </c>
      <c r="K289" s="18">
        <v>0</v>
      </c>
      <c r="L289" s="18">
        <v>659.34</v>
      </c>
      <c r="M289" s="18">
        <v>183.16</v>
      </c>
      <c r="N289" s="18" t="s">
        <v>1063</v>
      </c>
      <c r="O289" s="18">
        <v>18967.940739647191</v>
      </c>
      <c r="P289" s="18">
        <v>17293056.78984277</v>
      </c>
      <c r="Q289" s="18" t="s">
        <v>1083</v>
      </c>
    </row>
    <row r="290" spans="1:17" x14ac:dyDescent="0.2">
      <c r="A290" s="18">
        <v>289</v>
      </c>
      <c r="B290" s="18">
        <v>289</v>
      </c>
      <c r="C290" s="18">
        <v>289</v>
      </c>
      <c r="D290" s="18">
        <v>225</v>
      </c>
      <c r="E290" s="18" t="s">
        <v>629</v>
      </c>
      <c r="F290" s="18" t="s">
        <v>631</v>
      </c>
      <c r="G290" s="18">
        <v>766.22</v>
      </c>
      <c r="H290" s="18">
        <v>225.19</v>
      </c>
      <c r="I290" s="18">
        <v>562.98</v>
      </c>
      <c r="J290" s="18">
        <v>5629.82</v>
      </c>
      <c r="K290" s="18">
        <v>0</v>
      </c>
      <c r="L290" s="18">
        <v>991.41</v>
      </c>
      <c r="M290" s="18">
        <v>275.41000000000003</v>
      </c>
      <c r="N290" s="18" t="s">
        <v>1063</v>
      </c>
      <c r="O290" s="18">
        <v>23965.760544414381</v>
      </c>
      <c r="P290" s="18">
        <v>29689407.548205409</v>
      </c>
      <c r="Q290" s="18" t="s">
        <v>1082</v>
      </c>
    </row>
    <row r="291" spans="1:17" x14ac:dyDescent="0.2">
      <c r="A291" s="18">
        <v>290</v>
      </c>
      <c r="B291" s="18">
        <v>290</v>
      </c>
      <c r="C291" s="18">
        <v>290</v>
      </c>
      <c r="D291" s="18">
        <v>226</v>
      </c>
      <c r="E291" s="18" t="s">
        <v>743</v>
      </c>
      <c r="F291" s="18" t="s">
        <v>745</v>
      </c>
      <c r="G291" s="18">
        <v>235.9</v>
      </c>
      <c r="H291" s="18">
        <v>93.21</v>
      </c>
      <c r="I291" s="18">
        <v>233.03</v>
      </c>
      <c r="J291" s="18">
        <v>2330.29</v>
      </c>
      <c r="K291" s="18">
        <v>0</v>
      </c>
      <c r="L291" s="18">
        <v>329.11</v>
      </c>
      <c r="M291" s="18">
        <v>91.43</v>
      </c>
      <c r="N291" s="18" t="s">
        <v>1063</v>
      </c>
      <c r="O291" s="18">
        <v>19558.95722397729</v>
      </c>
      <c r="P291" s="18">
        <v>18840953.421839841</v>
      </c>
      <c r="Q291" s="18" t="s">
        <v>1085</v>
      </c>
    </row>
    <row r="292" spans="1:17" x14ac:dyDescent="0.2">
      <c r="A292" s="18">
        <v>291</v>
      </c>
      <c r="B292" s="18">
        <v>291</v>
      </c>
      <c r="C292" s="18">
        <v>291</v>
      </c>
      <c r="D292" s="18">
        <v>227</v>
      </c>
      <c r="E292" s="18" t="s">
        <v>632</v>
      </c>
      <c r="F292" s="18" t="s">
        <v>634</v>
      </c>
      <c r="G292" s="18">
        <v>1071.24</v>
      </c>
      <c r="H292" s="18">
        <v>490.17</v>
      </c>
      <c r="I292" s="18">
        <v>1225.43</v>
      </c>
      <c r="J292" s="18">
        <v>12254.27</v>
      </c>
      <c r="K292" s="18">
        <v>0</v>
      </c>
      <c r="L292" s="18">
        <v>1561.41</v>
      </c>
      <c r="M292" s="18">
        <v>433.76</v>
      </c>
      <c r="N292" s="18" t="s">
        <v>1063</v>
      </c>
      <c r="O292" s="18">
        <v>43992.586799233992</v>
      </c>
      <c r="P292" s="18">
        <v>65666881.038762577</v>
      </c>
      <c r="Q292" s="18" t="s">
        <v>1084</v>
      </c>
    </row>
    <row r="293" spans="1:17" x14ac:dyDescent="0.2">
      <c r="A293" s="18">
        <v>292</v>
      </c>
      <c r="B293" s="18">
        <v>292</v>
      </c>
      <c r="C293" s="18">
        <v>292</v>
      </c>
      <c r="D293" s="18">
        <v>228</v>
      </c>
      <c r="E293" s="18" t="s">
        <v>635</v>
      </c>
      <c r="F293" s="18" t="s">
        <v>637</v>
      </c>
      <c r="G293" s="18">
        <v>719.26</v>
      </c>
      <c r="H293" s="18">
        <v>345.39</v>
      </c>
      <c r="I293" s="18">
        <v>863.48</v>
      </c>
      <c r="J293" s="18">
        <v>8634.77</v>
      </c>
      <c r="K293" s="18">
        <v>0</v>
      </c>
      <c r="L293" s="18">
        <v>1064.6500000000001</v>
      </c>
      <c r="M293" s="18">
        <v>295.76</v>
      </c>
      <c r="N293" s="18" t="s">
        <v>1063</v>
      </c>
      <c r="O293" s="18">
        <v>40866.878306262988</v>
      </c>
      <c r="P293" s="18">
        <v>42229893.20528242</v>
      </c>
      <c r="Q293" s="18" t="s">
        <v>1084</v>
      </c>
    </row>
    <row r="294" spans="1:17" x14ac:dyDescent="0.2">
      <c r="A294" s="18">
        <v>293</v>
      </c>
      <c r="B294" s="18">
        <v>293</v>
      </c>
      <c r="C294" s="18">
        <v>293</v>
      </c>
      <c r="D294" s="18">
        <v>229</v>
      </c>
      <c r="E294" s="18" t="s">
        <v>1116</v>
      </c>
      <c r="F294" s="18" t="s">
        <v>1117</v>
      </c>
      <c r="G294" s="18">
        <v>400.08</v>
      </c>
      <c r="H294" s="18">
        <v>276.35000000000002</v>
      </c>
      <c r="I294" s="18">
        <v>690.87</v>
      </c>
      <c r="J294" s="18">
        <v>6908.71</v>
      </c>
      <c r="K294" s="18">
        <v>0</v>
      </c>
      <c r="L294" s="18">
        <v>676.43</v>
      </c>
      <c r="M294" s="18">
        <v>187.91</v>
      </c>
      <c r="N294" s="18" t="s">
        <v>1063</v>
      </c>
      <c r="O294" s="18">
        <v>27798.47572749864</v>
      </c>
      <c r="P294" s="18">
        <v>28037435.22629147</v>
      </c>
      <c r="Q294" s="18" t="s">
        <v>1080</v>
      </c>
    </row>
    <row r="295" spans="1:17" x14ac:dyDescent="0.2">
      <c r="A295" s="18">
        <v>294</v>
      </c>
      <c r="B295" s="18">
        <v>294</v>
      </c>
      <c r="C295" s="18">
        <v>294</v>
      </c>
      <c r="D295" s="18">
        <v>230</v>
      </c>
      <c r="E295" s="18" t="s">
        <v>1118</v>
      </c>
      <c r="F295" s="18" t="s">
        <v>1119</v>
      </c>
      <c r="G295" s="18">
        <v>706.5</v>
      </c>
      <c r="H295" s="18">
        <v>533.04</v>
      </c>
      <c r="I295" s="18">
        <v>1332.61</v>
      </c>
      <c r="J295" s="18">
        <v>13326.11</v>
      </c>
      <c r="K295" s="18">
        <v>0</v>
      </c>
      <c r="L295" s="18">
        <v>1239.54</v>
      </c>
      <c r="M295" s="18">
        <v>344.34</v>
      </c>
      <c r="N295" s="18" t="s">
        <v>1063</v>
      </c>
      <c r="O295" s="18">
        <v>43226.65049151719</v>
      </c>
      <c r="P295" s="18">
        <v>58526707.146027379</v>
      </c>
      <c r="Q295" s="18" t="s">
        <v>1080</v>
      </c>
    </row>
    <row r="296" spans="1:17" x14ac:dyDescent="0.2">
      <c r="A296" s="18">
        <v>295</v>
      </c>
      <c r="B296" s="18">
        <v>295</v>
      </c>
      <c r="C296" s="18">
        <v>295</v>
      </c>
      <c r="D296" s="18">
        <v>231</v>
      </c>
      <c r="E296" s="18" t="s">
        <v>638</v>
      </c>
      <c r="F296" s="18" t="s">
        <v>640</v>
      </c>
      <c r="G296" s="18">
        <v>2435.88</v>
      </c>
      <c r="H296" s="18">
        <v>179.93</v>
      </c>
      <c r="I296" s="18">
        <v>449.83</v>
      </c>
      <c r="J296" s="18">
        <v>4498.33</v>
      </c>
      <c r="K296" s="18">
        <v>0</v>
      </c>
      <c r="L296" s="18">
        <v>2615.81</v>
      </c>
      <c r="M296" s="18">
        <v>726.67</v>
      </c>
      <c r="N296" s="18" t="s">
        <v>1063</v>
      </c>
      <c r="O296" s="18">
        <v>42767.437497213759</v>
      </c>
      <c r="P296" s="18">
        <v>54754585.188498631</v>
      </c>
      <c r="Q296" s="18" t="s">
        <v>1081</v>
      </c>
    </row>
    <row r="297" spans="1:17" x14ac:dyDescent="0.2">
      <c r="A297" s="18">
        <v>296</v>
      </c>
      <c r="B297" s="18">
        <v>296</v>
      </c>
      <c r="C297" s="18">
        <v>296</v>
      </c>
      <c r="D297" s="18">
        <v>233</v>
      </c>
      <c r="E297" s="18" t="s">
        <v>644</v>
      </c>
      <c r="F297" s="18" t="s">
        <v>646</v>
      </c>
      <c r="G297" s="18">
        <v>1420.36</v>
      </c>
      <c r="H297" s="18">
        <v>610.29999999999995</v>
      </c>
      <c r="I297" s="18">
        <v>1525.75</v>
      </c>
      <c r="J297" s="18">
        <v>15257.47</v>
      </c>
      <c r="K297" s="18">
        <v>0</v>
      </c>
      <c r="L297" s="18">
        <v>2030.66</v>
      </c>
      <c r="M297" s="18">
        <v>564.12</v>
      </c>
      <c r="N297" s="18" t="s">
        <v>1063</v>
      </c>
      <c r="O297" s="18">
        <v>45640.204748020988</v>
      </c>
      <c r="P297" s="18">
        <v>81184940.140039667</v>
      </c>
      <c r="Q297" s="18" t="s">
        <v>1084</v>
      </c>
    </row>
    <row r="298" spans="1:17" x14ac:dyDescent="0.2">
      <c r="A298" s="18">
        <v>297</v>
      </c>
      <c r="B298" s="18">
        <v>297</v>
      </c>
      <c r="C298" s="18">
        <v>297</v>
      </c>
      <c r="D298" s="18">
        <v>234</v>
      </c>
      <c r="E298" s="18" t="s">
        <v>647</v>
      </c>
      <c r="F298" s="18" t="s">
        <v>649</v>
      </c>
      <c r="G298" s="18">
        <v>976.69</v>
      </c>
      <c r="H298" s="18">
        <v>827.16</v>
      </c>
      <c r="I298" s="18">
        <v>2067.91</v>
      </c>
      <c r="J298" s="18">
        <v>20679.05</v>
      </c>
      <c r="K298" s="18">
        <v>0</v>
      </c>
      <c r="L298" s="18">
        <v>1803.85</v>
      </c>
      <c r="M298" s="18">
        <v>501.11</v>
      </c>
      <c r="N298" s="18" t="s">
        <v>1063</v>
      </c>
      <c r="O298" s="18">
        <v>52905.50397196725</v>
      </c>
      <c r="P298" s="18">
        <v>96477480.248596773</v>
      </c>
      <c r="Q298" s="18" t="s">
        <v>1084</v>
      </c>
    </row>
    <row r="299" spans="1:17" x14ac:dyDescent="0.2">
      <c r="A299" s="18">
        <v>298</v>
      </c>
      <c r="B299" s="18">
        <v>298</v>
      </c>
      <c r="C299" s="18">
        <v>298</v>
      </c>
      <c r="D299" s="18">
        <v>235</v>
      </c>
      <c r="E299" s="18" t="s">
        <v>1120</v>
      </c>
      <c r="F299" s="18" t="s">
        <v>1121</v>
      </c>
      <c r="G299" s="18">
        <v>682.81</v>
      </c>
      <c r="H299" s="18">
        <v>538.12</v>
      </c>
      <c r="I299" s="18">
        <v>1345.31</v>
      </c>
      <c r="J299" s="18">
        <v>13453.11</v>
      </c>
      <c r="K299" s="18">
        <v>0</v>
      </c>
      <c r="L299" s="18">
        <v>1220.93</v>
      </c>
      <c r="M299" s="18">
        <v>339.17</v>
      </c>
      <c r="N299" s="18" t="s">
        <v>1063</v>
      </c>
      <c r="O299" s="18">
        <v>35131.262603708652</v>
      </c>
      <c r="P299" s="18">
        <v>53078177.661720097</v>
      </c>
      <c r="Q299" s="18" t="s">
        <v>1080</v>
      </c>
    </row>
    <row r="300" spans="1:17" x14ac:dyDescent="0.2">
      <c r="A300" s="18">
        <v>299</v>
      </c>
      <c r="B300" s="18">
        <v>299</v>
      </c>
      <c r="C300" s="18">
        <v>299</v>
      </c>
      <c r="D300" s="18">
        <v>237</v>
      </c>
      <c r="E300" s="18" t="s">
        <v>746</v>
      </c>
      <c r="F300" s="18" t="s">
        <v>748</v>
      </c>
      <c r="G300" s="18">
        <v>1358.09</v>
      </c>
      <c r="H300" s="18">
        <v>1052.25</v>
      </c>
      <c r="I300" s="18">
        <v>2630.64</v>
      </c>
      <c r="J300" s="18">
        <v>26306.37</v>
      </c>
      <c r="K300" s="18">
        <v>0</v>
      </c>
      <c r="L300" s="18">
        <v>2410.34</v>
      </c>
      <c r="M300" s="18">
        <v>669.59</v>
      </c>
      <c r="N300" s="18" t="s">
        <v>1063</v>
      </c>
      <c r="O300" s="18">
        <v>49669.838817199401</v>
      </c>
      <c r="P300" s="18">
        <v>101786676.2202234</v>
      </c>
      <c r="Q300" s="18" t="s">
        <v>1085</v>
      </c>
    </row>
    <row r="301" spans="1:17" x14ac:dyDescent="0.2">
      <c r="A301" s="18">
        <v>300</v>
      </c>
      <c r="B301" s="18">
        <v>300</v>
      </c>
      <c r="C301" s="18">
        <v>300</v>
      </c>
      <c r="D301" s="18">
        <v>238</v>
      </c>
      <c r="E301" s="18" t="s">
        <v>656</v>
      </c>
      <c r="F301" s="18" t="s">
        <v>658</v>
      </c>
      <c r="G301" s="18">
        <v>1081.53</v>
      </c>
      <c r="H301" s="18">
        <v>781.78</v>
      </c>
      <c r="I301" s="18">
        <v>1954.44</v>
      </c>
      <c r="J301" s="18">
        <v>19544.45</v>
      </c>
      <c r="K301" s="18">
        <v>0</v>
      </c>
      <c r="L301" s="18">
        <v>1863.31</v>
      </c>
      <c r="M301" s="18">
        <v>517.63</v>
      </c>
      <c r="N301" s="18" t="s">
        <v>1063</v>
      </c>
      <c r="O301" s="18">
        <v>60486.107040937561</v>
      </c>
      <c r="P301" s="18">
        <v>102846101.5059377</v>
      </c>
      <c r="Q301" s="18" t="s">
        <v>1081</v>
      </c>
    </row>
    <row r="302" spans="1:17" x14ac:dyDescent="0.2">
      <c r="A302" s="18">
        <v>301</v>
      </c>
      <c r="B302" s="18">
        <v>301</v>
      </c>
      <c r="C302" s="18">
        <v>301</v>
      </c>
      <c r="D302" s="18">
        <v>242</v>
      </c>
      <c r="E302" s="18" t="s">
        <v>659</v>
      </c>
      <c r="F302" s="18" t="s">
        <v>661</v>
      </c>
      <c r="G302" s="18">
        <v>999.34</v>
      </c>
      <c r="H302" s="18">
        <v>501.79</v>
      </c>
      <c r="I302" s="18">
        <v>1254.49</v>
      </c>
      <c r="J302" s="18">
        <v>12544.86</v>
      </c>
      <c r="K302" s="18">
        <v>0</v>
      </c>
      <c r="L302" s="18">
        <v>1501.13</v>
      </c>
      <c r="M302" s="18">
        <v>417.01</v>
      </c>
      <c r="N302" s="18" t="s">
        <v>1063</v>
      </c>
      <c r="O302" s="18">
        <v>38457.85103450594</v>
      </c>
      <c r="P302" s="18">
        <v>65108815.379325807</v>
      </c>
      <c r="Q302" s="18" t="s">
        <v>1084</v>
      </c>
    </row>
    <row r="303" spans="1:17" x14ac:dyDescent="0.2">
      <c r="A303" s="18">
        <v>302</v>
      </c>
      <c r="B303" s="18">
        <v>302</v>
      </c>
      <c r="C303" s="18">
        <v>302</v>
      </c>
      <c r="D303" s="18">
        <v>245</v>
      </c>
      <c r="E303" s="18" t="s">
        <v>668</v>
      </c>
      <c r="F303" s="18" t="s">
        <v>670</v>
      </c>
      <c r="G303" s="18">
        <v>946.09</v>
      </c>
      <c r="H303" s="18">
        <v>559.08000000000004</v>
      </c>
      <c r="I303" s="18">
        <v>1397.69</v>
      </c>
      <c r="J303" s="18">
        <v>13976.95</v>
      </c>
      <c r="K303" s="18">
        <v>0</v>
      </c>
      <c r="L303" s="18">
        <v>1505.17</v>
      </c>
      <c r="M303" s="18">
        <v>418.14</v>
      </c>
      <c r="N303" s="18" t="s">
        <v>1063</v>
      </c>
      <c r="O303" s="18">
        <v>47865.650206472397</v>
      </c>
      <c r="P303" s="18">
        <v>64485817.887074061</v>
      </c>
      <c r="Q303" s="18" t="s">
        <v>1082</v>
      </c>
    </row>
    <row r="304" spans="1:17" x14ac:dyDescent="0.2">
      <c r="A304" s="18">
        <v>303</v>
      </c>
      <c r="B304" s="18">
        <v>303</v>
      </c>
      <c r="C304" s="18">
        <v>303</v>
      </c>
      <c r="D304" s="18">
        <v>246</v>
      </c>
      <c r="E304" s="18" t="s">
        <v>674</v>
      </c>
      <c r="F304" s="18" t="s">
        <v>676</v>
      </c>
      <c r="G304" s="18">
        <v>1304.01</v>
      </c>
      <c r="H304" s="18">
        <v>708.13</v>
      </c>
      <c r="I304" s="18">
        <v>1770.34</v>
      </c>
      <c r="J304" s="18">
        <v>17703.37</v>
      </c>
      <c r="K304" s="18">
        <v>0</v>
      </c>
      <c r="L304" s="18">
        <v>2012.14</v>
      </c>
      <c r="M304" s="18">
        <v>558.97</v>
      </c>
      <c r="N304" s="18" t="s">
        <v>1063</v>
      </c>
      <c r="O304" s="18">
        <v>41546.788198219583</v>
      </c>
      <c r="P304" s="18">
        <v>81429753.249844044</v>
      </c>
      <c r="Q304" s="18" t="s">
        <v>1081</v>
      </c>
    </row>
    <row r="305" spans="1:17" x14ac:dyDescent="0.2">
      <c r="A305" s="18">
        <v>304</v>
      </c>
      <c r="B305" s="18">
        <v>304</v>
      </c>
      <c r="C305" s="18">
        <v>304</v>
      </c>
      <c r="D305" s="18">
        <v>248</v>
      </c>
      <c r="E305" s="18" t="s">
        <v>680</v>
      </c>
      <c r="F305" s="18" t="s">
        <v>682</v>
      </c>
      <c r="G305" s="18">
        <v>1373.88</v>
      </c>
      <c r="H305" s="18">
        <v>1968.07</v>
      </c>
      <c r="I305" s="18">
        <v>4920.1899999999996</v>
      </c>
      <c r="J305" s="18">
        <v>49201.87</v>
      </c>
      <c r="K305" s="18">
        <v>14.17</v>
      </c>
      <c r="L305" s="18">
        <v>3356.12</v>
      </c>
      <c r="M305" s="18">
        <v>932.33</v>
      </c>
      <c r="N305" s="18" t="s">
        <v>1063</v>
      </c>
      <c r="O305" s="18">
        <v>54881.012210973007</v>
      </c>
      <c r="P305" s="18">
        <v>146656223.89895809</v>
      </c>
      <c r="Q305" s="18" t="s">
        <v>1082</v>
      </c>
    </row>
    <row r="306" spans="1:17" x14ac:dyDescent="0.2">
      <c r="A306" s="18">
        <v>305</v>
      </c>
      <c r="B306" s="18">
        <v>305</v>
      </c>
      <c r="C306" s="18">
        <v>305</v>
      </c>
      <c r="D306" s="18">
        <v>249</v>
      </c>
      <c r="E306" s="18" t="s">
        <v>683</v>
      </c>
      <c r="F306" s="18" t="s">
        <v>685</v>
      </c>
      <c r="G306" s="18">
        <v>400.48</v>
      </c>
      <c r="H306" s="18">
        <v>694.89</v>
      </c>
      <c r="I306" s="18">
        <v>1737.22</v>
      </c>
      <c r="J306" s="18">
        <v>17372.25</v>
      </c>
      <c r="K306" s="18">
        <v>5.44</v>
      </c>
      <c r="L306" s="18">
        <v>1100.81</v>
      </c>
      <c r="M306" s="18">
        <v>305.81</v>
      </c>
      <c r="N306" s="18" t="s">
        <v>1063</v>
      </c>
      <c r="O306" s="18">
        <v>60806.630541826809</v>
      </c>
      <c r="P306" s="18">
        <v>56784989.506625071</v>
      </c>
      <c r="Q306" s="18" t="s">
        <v>1076</v>
      </c>
    </row>
    <row r="307" spans="1:17" x14ac:dyDescent="0.2">
      <c r="A307" s="18">
        <v>306</v>
      </c>
      <c r="B307" s="18">
        <v>306</v>
      </c>
      <c r="C307" s="18">
        <v>306</v>
      </c>
      <c r="D307" s="18">
        <v>251</v>
      </c>
      <c r="E307" s="18" t="s">
        <v>1122</v>
      </c>
      <c r="F307" s="18" t="s">
        <v>1123</v>
      </c>
      <c r="G307" s="18">
        <v>1778.99</v>
      </c>
      <c r="H307" s="18">
        <v>528.13</v>
      </c>
      <c r="I307" s="18">
        <v>1320.32</v>
      </c>
      <c r="J307" s="18">
        <v>13203.25</v>
      </c>
      <c r="K307" s="18">
        <v>0</v>
      </c>
      <c r="L307" s="18">
        <v>2307.12</v>
      </c>
      <c r="M307" s="18">
        <v>640.91999999999996</v>
      </c>
      <c r="N307" s="18" t="s">
        <v>1063</v>
      </c>
      <c r="O307" s="18">
        <v>42025.709806572442</v>
      </c>
      <c r="P307" s="18">
        <v>67589875.858451411</v>
      </c>
      <c r="Q307" s="18" t="s">
        <v>1080</v>
      </c>
    </row>
    <row r="308" spans="1:17" x14ac:dyDescent="0.2">
      <c r="A308" s="18">
        <v>307</v>
      </c>
      <c r="B308" s="18">
        <v>307</v>
      </c>
      <c r="C308" s="18">
        <v>307</v>
      </c>
      <c r="D308" s="18">
        <v>253</v>
      </c>
      <c r="E308" s="18" t="s">
        <v>692</v>
      </c>
      <c r="F308" s="18" t="s">
        <v>694</v>
      </c>
      <c r="G308" s="18">
        <v>1229.52</v>
      </c>
      <c r="H308" s="18">
        <v>156.30000000000001</v>
      </c>
      <c r="I308" s="18">
        <v>390.74</v>
      </c>
      <c r="J308" s="18">
        <v>3907.4</v>
      </c>
      <c r="K308" s="18">
        <v>0</v>
      </c>
      <c r="L308" s="18">
        <v>1385.82</v>
      </c>
      <c r="M308" s="18">
        <v>384.98</v>
      </c>
      <c r="N308" s="18" t="s">
        <v>1063</v>
      </c>
      <c r="O308" s="18">
        <v>29561.576194344481</v>
      </c>
      <c r="P308" s="18">
        <v>31915256.005193729</v>
      </c>
      <c r="Q308" s="18" t="s">
        <v>1081</v>
      </c>
    </row>
    <row r="309" spans="1:17" x14ac:dyDescent="0.2">
      <c r="A309" s="18">
        <v>308</v>
      </c>
      <c r="B309" s="18">
        <v>308</v>
      </c>
      <c r="C309" s="18">
        <v>308</v>
      </c>
      <c r="D309" s="18">
        <v>254</v>
      </c>
      <c r="E309" s="18" t="s">
        <v>695</v>
      </c>
      <c r="F309" s="18" t="s">
        <v>697</v>
      </c>
      <c r="G309" s="18">
        <v>661.84</v>
      </c>
      <c r="H309" s="18">
        <v>183.9</v>
      </c>
      <c r="I309" s="18">
        <v>459.75</v>
      </c>
      <c r="J309" s="18">
        <v>4597.5200000000004</v>
      </c>
      <c r="K309" s="18">
        <v>0</v>
      </c>
      <c r="L309" s="18">
        <v>845.74</v>
      </c>
      <c r="M309" s="18">
        <v>234.95</v>
      </c>
      <c r="N309" s="18" t="s">
        <v>1063</v>
      </c>
      <c r="O309" s="18">
        <v>30671.28213617544</v>
      </c>
      <c r="P309" s="18">
        <v>34461527.1311979</v>
      </c>
      <c r="Q309" s="18" t="s">
        <v>1080</v>
      </c>
    </row>
    <row r="310" spans="1:17" x14ac:dyDescent="0.2">
      <c r="A310" s="18">
        <v>309</v>
      </c>
      <c r="B310" s="18">
        <v>309</v>
      </c>
      <c r="C310" s="18">
        <v>309</v>
      </c>
      <c r="D310" s="18">
        <v>256</v>
      </c>
      <c r="E310" s="18" t="s">
        <v>701</v>
      </c>
      <c r="F310" s="18" t="s">
        <v>703</v>
      </c>
      <c r="G310" s="18">
        <v>1748.22</v>
      </c>
      <c r="H310" s="18">
        <v>592.98</v>
      </c>
      <c r="I310" s="18">
        <v>1482.46</v>
      </c>
      <c r="J310" s="18">
        <v>14824.56</v>
      </c>
      <c r="K310" s="18">
        <v>0</v>
      </c>
      <c r="L310" s="18">
        <v>2341.1999999999998</v>
      </c>
      <c r="M310" s="18">
        <v>650.39</v>
      </c>
      <c r="N310" s="18" t="s">
        <v>1063</v>
      </c>
      <c r="O310" s="18">
        <v>42130.487414709467</v>
      </c>
      <c r="P310" s="18">
        <v>67724194.303628102</v>
      </c>
      <c r="Q310" s="18" t="s">
        <v>1084</v>
      </c>
    </row>
    <row r="311" spans="1:17" x14ac:dyDescent="0.2">
      <c r="A311" s="18">
        <v>310</v>
      </c>
      <c r="B311" s="18">
        <v>310</v>
      </c>
      <c r="C311" s="18">
        <v>310</v>
      </c>
      <c r="D311" s="18">
        <v>257</v>
      </c>
      <c r="E311" s="18" t="s">
        <v>704</v>
      </c>
      <c r="F311" s="18" t="s">
        <v>706</v>
      </c>
      <c r="G311" s="18">
        <v>904.62</v>
      </c>
      <c r="H311" s="18">
        <v>544.51</v>
      </c>
      <c r="I311" s="18">
        <v>1361.27</v>
      </c>
      <c r="J311" s="18">
        <v>13612.73</v>
      </c>
      <c r="K311" s="18">
        <v>0</v>
      </c>
      <c r="L311" s="18">
        <v>1449.13</v>
      </c>
      <c r="M311" s="18">
        <v>402.57</v>
      </c>
      <c r="N311" s="18" t="s">
        <v>1063</v>
      </c>
      <c r="O311" s="18">
        <v>48370.560553341587</v>
      </c>
      <c r="P311" s="18">
        <v>91988337.094597816</v>
      </c>
      <c r="Q311" s="18" t="s">
        <v>1082</v>
      </c>
    </row>
    <row r="312" spans="1:17" x14ac:dyDescent="0.2">
      <c r="A312" s="18">
        <v>311</v>
      </c>
      <c r="B312" s="18">
        <v>311</v>
      </c>
      <c r="C312" s="18">
        <v>311</v>
      </c>
      <c r="D312" s="18">
        <v>259</v>
      </c>
      <c r="E312" s="18" t="s">
        <v>710</v>
      </c>
      <c r="F312" s="18" t="s">
        <v>712</v>
      </c>
      <c r="G312" s="18">
        <v>422.55</v>
      </c>
      <c r="H312" s="18">
        <v>429.44</v>
      </c>
      <c r="I312" s="18">
        <v>1073.5899999999999</v>
      </c>
      <c r="J312" s="18">
        <v>10735.88</v>
      </c>
      <c r="K312" s="18">
        <v>0</v>
      </c>
      <c r="L312" s="18">
        <v>851.99</v>
      </c>
      <c r="M312" s="18">
        <v>236.68</v>
      </c>
      <c r="N312" s="18" t="s">
        <v>1063</v>
      </c>
      <c r="O312" s="18">
        <v>30656.616009643181</v>
      </c>
      <c r="P312" s="18">
        <v>45139710.840695031</v>
      </c>
      <c r="Q312" s="18" t="s">
        <v>1076</v>
      </c>
    </row>
    <row r="313" spans="1:17" x14ac:dyDescent="0.2">
      <c r="A313" s="18">
        <v>312</v>
      </c>
      <c r="B313" s="18">
        <v>312</v>
      </c>
      <c r="C313" s="18">
        <v>312</v>
      </c>
      <c r="D313" s="18">
        <v>260</v>
      </c>
      <c r="E313" s="18" t="s">
        <v>713</v>
      </c>
      <c r="F313" s="18" t="s">
        <v>715</v>
      </c>
      <c r="G313" s="18">
        <v>901.52</v>
      </c>
      <c r="H313" s="18">
        <v>91.59</v>
      </c>
      <c r="I313" s="18">
        <v>228.98</v>
      </c>
      <c r="J313" s="18">
        <v>2289.7600000000002</v>
      </c>
      <c r="K313" s="18">
        <v>0</v>
      </c>
      <c r="L313" s="18">
        <v>993.11</v>
      </c>
      <c r="M313" s="18">
        <v>275.89</v>
      </c>
      <c r="N313" s="18" t="s">
        <v>1063</v>
      </c>
      <c r="O313" s="18">
        <v>26428.426061465041</v>
      </c>
      <c r="P313" s="18">
        <v>24686688.322729331</v>
      </c>
      <c r="Q313" s="18" t="s">
        <v>1083</v>
      </c>
    </row>
    <row r="314" spans="1:17" x14ac:dyDescent="0.2">
      <c r="A314" s="18">
        <v>313</v>
      </c>
      <c r="B314" s="18">
        <v>313</v>
      </c>
      <c r="C314" s="18">
        <v>313</v>
      </c>
      <c r="D314" s="18">
        <v>261</v>
      </c>
      <c r="E314" s="18" t="s">
        <v>716</v>
      </c>
      <c r="F314" s="18" t="s">
        <v>718</v>
      </c>
      <c r="G314" s="18">
        <v>536.04999999999995</v>
      </c>
      <c r="H314" s="18">
        <v>169.98</v>
      </c>
      <c r="I314" s="18">
        <v>424.96</v>
      </c>
      <c r="J314" s="18">
        <v>4249.59</v>
      </c>
      <c r="K314" s="18">
        <v>0</v>
      </c>
      <c r="L314" s="18">
        <v>706.03</v>
      </c>
      <c r="M314" s="18">
        <v>196.14</v>
      </c>
      <c r="N314" s="18" t="s">
        <v>1063</v>
      </c>
      <c r="O314" s="18">
        <v>24283.29206447865</v>
      </c>
      <c r="P314" s="18">
        <v>20998562.114508361</v>
      </c>
      <c r="Q314" s="18" t="s">
        <v>1083</v>
      </c>
    </row>
    <row r="315" spans="1:17" x14ac:dyDescent="0.2">
      <c r="A315" s="18">
        <v>314</v>
      </c>
      <c r="B315" s="18">
        <v>314</v>
      </c>
      <c r="C315" s="18">
        <v>314</v>
      </c>
      <c r="D315" s="18">
        <v>262</v>
      </c>
      <c r="E315" s="18" t="s">
        <v>719</v>
      </c>
      <c r="F315" s="18" t="s">
        <v>721</v>
      </c>
      <c r="G315" s="18">
        <v>465.9</v>
      </c>
      <c r="H315" s="18">
        <v>237.65</v>
      </c>
      <c r="I315" s="18">
        <v>594.13</v>
      </c>
      <c r="J315" s="18">
        <v>5941.32</v>
      </c>
      <c r="K315" s="18">
        <v>0</v>
      </c>
      <c r="L315" s="18">
        <v>703.55</v>
      </c>
      <c r="M315" s="18">
        <v>195.45</v>
      </c>
      <c r="N315" s="18" t="s">
        <v>1063</v>
      </c>
      <c r="O315" s="18">
        <v>24757.689514535861</v>
      </c>
      <c r="P315" s="18">
        <v>29211261.50781386</v>
      </c>
      <c r="Q315" s="18" t="s">
        <v>1085</v>
      </c>
    </row>
    <row r="316" spans="1:17" x14ac:dyDescent="0.2">
      <c r="A316" s="18">
        <v>315</v>
      </c>
      <c r="B316" s="18">
        <v>315</v>
      </c>
      <c r="C316" s="18">
        <v>315</v>
      </c>
      <c r="D316" s="18">
        <v>263</v>
      </c>
      <c r="E316" s="18" t="s">
        <v>722</v>
      </c>
      <c r="F316" s="18" t="s">
        <v>724</v>
      </c>
      <c r="G316" s="18">
        <v>628.27</v>
      </c>
      <c r="H316" s="18">
        <v>777.74</v>
      </c>
      <c r="I316" s="18">
        <v>1944.34</v>
      </c>
      <c r="J316" s="18">
        <v>19443.38</v>
      </c>
      <c r="K316" s="18">
        <v>0</v>
      </c>
      <c r="L316" s="18">
        <v>1406.01</v>
      </c>
      <c r="M316" s="18">
        <v>390.59</v>
      </c>
      <c r="N316" s="18" t="s">
        <v>1063</v>
      </c>
      <c r="O316" s="18">
        <v>61002.217089319638</v>
      </c>
      <c r="P316" s="18">
        <v>108423427.8516688</v>
      </c>
      <c r="Q316" s="18" t="s">
        <v>1085</v>
      </c>
    </row>
    <row r="317" spans="1:17" x14ac:dyDescent="0.2">
      <c r="A317" s="18">
        <v>316</v>
      </c>
      <c r="B317" s="18">
        <v>316</v>
      </c>
      <c r="C317" s="18">
        <v>316</v>
      </c>
      <c r="D317" s="18">
        <v>264</v>
      </c>
      <c r="E317" s="18" t="s">
        <v>728</v>
      </c>
      <c r="F317" s="18" t="s">
        <v>730</v>
      </c>
      <c r="G317" s="18">
        <v>790.71</v>
      </c>
      <c r="H317" s="18">
        <v>433.94</v>
      </c>
      <c r="I317" s="18">
        <v>1084.8599999999999</v>
      </c>
      <c r="J317" s="18">
        <v>10848.62</v>
      </c>
      <c r="K317" s="18">
        <v>0</v>
      </c>
      <c r="L317" s="18">
        <v>1224.6500000000001</v>
      </c>
      <c r="M317" s="18">
        <v>340.21</v>
      </c>
      <c r="N317" s="18" t="s">
        <v>1063</v>
      </c>
      <c r="O317" s="18">
        <v>36484.053221547772</v>
      </c>
      <c r="P317" s="18">
        <v>50398937.542720072</v>
      </c>
      <c r="Q317" s="18" t="s">
        <v>1085</v>
      </c>
    </row>
    <row r="318" spans="1:17" x14ac:dyDescent="0.2">
      <c r="A318" s="18">
        <v>317</v>
      </c>
      <c r="B318" s="18">
        <v>317</v>
      </c>
      <c r="C318" s="18">
        <v>317</v>
      </c>
      <c r="D318" s="18">
        <v>266</v>
      </c>
      <c r="E318" s="18" t="s">
        <v>734</v>
      </c>
      <c r="F318" s="18" t="s">
        <v>736</v>
      </c>
      <c r="G318" s="18">
        <v>1214.42</v>
      </c>
      <c r="H318" s="18">
        <v>52.17</v>
      </c>
      <c r="I318" s="18">
        <v>130.44</v>
      </c>
      <c r="J318" s="18">
        <v>1304.3499999999999</v>
      </c>
      <c r="K318" s="18">
        <v>0</v>
      </c>
      <c r="L318" s="18">
        <v>1266.5899999999999</v>
      </c>
      <c r="M318" s="18">
        <v>351.86</v>
      </c>
      <c r="N318" s="18" t="s">
        <v>1063</v>
      </c>
      <c r="O318" s="18">
        <v>26729.20793774429</v>
      </c>
      <c r="P318" s="18">
        <v>22169836.12109236</v>
      </c>
      <c r="Q318" s="18" t="s">
        <v>1083</v>
      </c>
    </row>
    <row r="319" spans="1:17" x14ac:dyDescent="0.2">
      <c r="A319" s="18">
        <v>318</v>
      </c>
      <c r="B319" s="18">
        <v>318</v>
      </c>
      <c r="C319" s="18">
        <v>318</v>
      </c>
      <c r="D319" s="18">
        <v>268</v>
      </c>
      <c r="E319" s="18" t="s">
        <v>740</v>
      </c>
      <c r="F319" s="18" t="s">
        <v>742</v>
      </c>
      <c r="G319" s="18">
        <v>576.75</v>
      </c>
      <c r="H319" s="18">
        <v>199.66</v>
      </c>
      <c r="I319" s="18">
        <v>499.14</v>
      </c>
      <c r="J319" s="18">
        <v>4991.38</v>
      </c>
      <c r="K319" s="18">
        <v>0</v>
      </c>
      <c r="L319" s="18">
        <v>776.41</v>
      </c>
      <c r="M319" s="18">
        <v>215.69</v>
      </c>
      <c r="N319" s="18" t="s">
        <v>1063</v>
      </c>
      <c r="O319" s="18">
        <v>34680.36586076954</v>
      </c>
      <c r="P319" s="18">
        <v>27707005.897192258</v>
      </c>
      <c r="Q319" s="18" t="s">
        <v>1083</v>
      </c>
    </row>
    <row r="320" spans="1:17" x14ac:dyDescent="0.2">
      <c r="A320" s="18">
        <v>319</v>
      </c>
      <c r="B320" s="18">
        <v>319</v>
      </c>
      <c r="C320" s="18">
        <v>319</v>
      </c>
      <c r="D320" s="18">
        <v>269</v>
      </c>
      <c r="E320" s="18" t="s">
        <v>749</v>
      </c>
      <c r="F320" s="18" t="s">
        <v>751</v>
      </c>
      <c r="G320" s="18">
        <v>1758.26</v>
      </c>
      <c r="H320" s="18">
        <v>351.07</v>
      </c>
      <c r="I320" s="18">
        <v>877.66</v>
      </c>
      <c r="J320" s="18">
        <v>8776.6299999999992</v>
      </c>
      <c r="K320" s="18">
        <v>0</v>
      </c>
      <c r="L320" s="18">
        <v>2109.33</v>
      </c>
      <c r="M320" s="18">
        <v>585.97</v>
      </c>
      <c r="N320" s="18" t="s">
        <v>1063</v>
      </c>
      <c r="O320" s="18">
        <v>47199.527610412028</v>
      </c>
      <c r="P320" s="18">
        <v>71142953.45912309</v>
      </c>
      <c r="Q320" s="18" t="s">
        <v>1085</v>
      </c>
    </row>
    <row r="321" spans="1:17" x14ac:dyDescent="0.2">
      <c r="A321" s="18">
        <v>320</v>
      </c>
      <c r="B321" s="18">
        <v>320</v>
      </c>
      <c r="C321" s="18">
        <v>320</v>
      </c>
      <c r="D321" s="18">
        <v>270</v>
      </c>
      <c r="E321" s="18" t="s">
        <v>752</v>
      </c>
      <c r="F321" s="18" t="s">
        <v>754</v>
      </c>
      <c r="G321" s="18">
        <v>292.64999999999998</v>
      </c>
      <c r="H321" s="18">
        <v>174.04</v>
      </c>
      <c r="I321" s="18">
        <v>435.1</v>
      </c>
      <c r="J321" s="18">
        <v>4351.01</v>
      </c>
      <c r="K321" s="18">
        <v>0</v>
      </c>
      <c r="L321" s="18">
        <v>466.69</v>
      </c>
      <c r="M321" s="18">
        <v>129.65</v>
      </c>
      <c r="N321" s="18" t="s">
        <v>1063</v>
      </c>
      <c r="O321" s="18">
        <v>19883.277670914071</v>
      </c>
      <c r="P321" s="18">
        <v>16034576.50609681</v>
      </c>
      <c r="Q321" s="18" t="s">
        <v>1083</v>
      </c>
    </row>
    <row r="322" spans="1:17" x14ac:dyDescent="0.2">
      <c r="A322" s="18">
        <v>321</v>
      </c>
      <c r="B322" s="18">
        <v>321</v>
      </c>
      <c r="C322" s="18">
        <v>321</v>
      </c>
      <c r="D322" s="18">
        <v>271</v>
      </c>
      <c r="E322" s="18" t="s">
        <v>755</v>
      </c>
      <c r="F322" s="18" t="s">
        <v>757</v>
      </c>
      <c r="G322" s="18">
        <v>660.77</v>
      </c>
      <c r="H322" s="18">
        <v>115.36</v>
      </c>
      <c r="I322" s="18">
        <v>288.39999999999998</v>
      </c>
      <c r="J322" s="18">
        <v>2884.04</v>
      </c>
      <c r="K322" s="18">
        <v>0</v>
      </c>
      <c r="L322" s="18">
        <v>776.13</v>
      </c>
      <c r="M322" s="18">
        <v>215.61</v>
      </c>
      <c r="N322" s="18" t="s">
        <v>1063</v>
      </c>
      <c r="O322" s="18">
        <v>29956.618405758862</v>
      </c>
      <c r="P322" s="18">
        <v>22780479.390135109</v>
      </c>
      <c r="Q322" s="18" t="s">
        <v>1083</v>
      </c>
    </row>
    <row r="323" spans="1:17" x14ac:dyDescent="0.2">
      <c r="A323" s="18">
        <v>322</v>
      </c>
      <c r="B323" s="18">
        <v>322</v>
      </c>
      <c r="C323" s="18">
        <v>322</v>
      </c>
      <c r="D323" s="18">
        <v>274</v>
      </c>
      <c r="E323" s="18" t="s">
        <v>764</v>
      </c>
      <c r="F323" s="18" t="s">
        <v>766</v>
      </c>
      <c r="G323" s="18">
        <v>2678.74</v>
      </c>
      <c r="H323" s="18">
        <v>1554.74</v>
      </c>
      <c r="I323" s="18">
        <v>3886.84</v>
      </c>
      <c r="J323" s="18">
        <v>38868.400000000001</v>
      </c>
      <c r="K323" s="18">
        <v>0</v>
      </c>
      <c r="L323" s="18">
        <v>4233.4799999999996</v>
      </c>
      <c r="M323" s="18">
        <v>1176.06</v>
      </c>
      <c r="N323" s="18" t="s">
        <v>1063</v>
      </c>
      <c r="O323" s="18">
        <v>66281.19889209207</v>
      </c>
      <c r="P323" s="18">
        <v>165036905.54547799</v>
      </c>
      <c r="Q323" s="18" t="s">
        <v>1085</v>
      </c>
    </row>
    <row r="324" spans="1:17" x14ac:dyDescent="0.2">
      <c r="A324" s="18">
        <v>323</v>
      </c>
      <c r="B324" s="18">
        <v>323</v>
      </c>
      <c r="C324" s="18">
        <v>323</v>
      </c>
      <c r="D324" s="18">
        <v>275</v>
      </c>
      <c r="E324" s="18" t="s">
        <v>767</v>
      </c>
      <c r="F324" s="18" t="s">
        <v>769</v>
      </c>
      <c r="G324" s="18">
        <v>391.39</v>
      </c>
      <c r="H324" s="18">
        <v>372.97</v>
      </c>
      <c r="I324" s="18">
        <v>932.43</v>
      </c>
      <c r="J324" s="18">
        <v>9324.31</v>
      </c>
      <c r="K324" s="18">
        <v>0</v>
      </c>
      <c r="L324" s="18">
        <v>764.36</v>
      </c>
      <c r="M324" s="18">
        <v>212.34</v>
      </c>
      <c r="N324" s="18" t="s">
        <v>1063</v>
      </c>
      <c r="O324" s="18">
        <v>27068.079980512859</v>
      </c>
      <c r="P324" s="18">
        <v>31547611.299202882</v>
      </c>
      <c r="Q324" s="18" t="s">
        <v>1083</v>
      </c>
    </row>
    <row r="325" spans="1:17" x14ac:dyDescent="0.2">
      <c r="A325" s="18">
        <v>324</v>
      </c>
      <c r="B325" s="18">
        <v>324</v>
      </c>
      <c r="C325" s="18">
        <v>324</v>
      </c>
      <c r="D325" s="18">
        <v>276</v>
      </c>
      <c r="E325" s="18" t="s">
        <v>770</v>
      </c>
      <c r="F325" s="18" t="s">
        <v>772</v>
      </c>
      <c r="G325" s="18">
        <v>2090.59</v>
      </c>
      <c r="H325" s="18">
        <v>730.1</v>
      </c>
      <c r="I325" s="18">
        <v>1825.25</v>
      </c>
      <c r="J325" s="18">
        <v>18252.54</v>
      </c>
      <c r="K325" s="18">
        <v>0</v>
      </c>
      <c r="L325" s="18">
        <v>2820.69</v>
      </c>
      <c r="M325" s="18">
        <v>783.59</v>
      </c>
      <c r="N325" s="18" t="s">
        <v>1063</v>
      </c>
      <c r="O325" s="18">
        <v>49969.00261872416</v>
      </c>
      <c r="P325" s="18">
        <v>105444248.0844686</v>
      </c>
      <c r="Q325" s="18" t="s">
        <v>1085</v>
      </c>
    </row>
    <row r="326" spans="1:17" x14ac:dyDescent="0.2">
      <c r="A326" s="18">
        <v>325</v>
      </c>
      <c r="B326" s="18">
        <v>325</v>
      </c>
      <c r="C326" s="18">
        <v>325</v>
      </c>
      <c r="D326" s="18">
        <v>278</v>
      </c>
      <c r="E326" s="18" t="s">
        <v>776</v>
      </c>
      <c r="F326" s="18" t="s">
        <v>778</v>
      </c>
      <c r="G326" s="18">
        <v>2138.85</v>
      </c>
      <c r="H326" s="18">
        <v>1798.22</v>
      </c>
      <c r="I326" s="18">
        <v>4495.54</v>
      </c>
      <c r="J326" s="18">
        <v>44955.42</v>
      </c>
      <c r="K326" s="18">
        <v>18.54</v>
      </c>
      <c r="L326" s="18">
        <v>3955.61</v>
      </c>
      <c r="M326" s="18">
        <v>1098.8699999999999</v>
      </c>
      <c r="N326" s="18" t="s">
        <v>1063</v>
      </c>
      <c r="O326" s="18">
        <v>135664.13318107199</v>
      </c>
      <c r="P326" s="18">
        <v>258569444.24067739</v>
      </c>
      <c r="Q326" s="18" t="s">
        <v>1093</v>
      </c>
    </row>
    <row r="327" spans="1:17" x14ac:dyDescent="0.2">
      <c r="A327" s="18">
        <v>326</v>
      </c>
      <c r="B327" s="18">
        <v>326</v>
      </c>
      <c r="C327" s="18">
        <v>326</v>
      </c>
      <c r="D327" s="18">
        <v>279</v>
      </c>
      <c r="E327" s="18" t="s">
        <v>779</v>
      </c>
      <c r="F327" s="18" t="s">
        <v>781</v>
      </c>
      <c r="G327" s="18">
        <v>2413.96</v>
      </c>
      <c r="H327" s="18">
        <v>1645.17</v>
      </c>
      <c r="I327" s="18">
        <v>4112.93</v>
      </c>
      <c r="J327" s="18">
        <v>41129.279999999999</v>
      </c>
      <c r="K327" s="18">
        <v>0</v>
      </c>
      <c r="L327" s="18">
        <v>4059.13</v>
      </c>
      <c r="M327" s="18">
        <v>1127.6300000000001</v>
      </c>
      <c r="N327" s="18" t="s">
        <v>1063</v>
      </c>
      <c r="O327" s="18">
        <v>72095.691364410159</v>
      </c>
      <c r="P327" s="18">
        <v>191941772.18507299</v>
      </c>
      <c r="Q327" s="18" t="s">
        <v>1085</v>
      </c>
    </row>
    <row r="328" spans="1:17" x14ac:dyDescent="0.2">
      <c r="A328" s="18">
        <v>327</v>
      </c>
      <c r="B328" s="18">
        <v>327</v>
      </c>
      <c r="C328" s="18">
        <v>327</v>
      </c>
      <c r="D328" s="18">
        <v>280</v>
      </c>
      <c r="E328" s="18" t="s">
        <v>782</v>
      </c>
      <c r="F328" s="18" t="s">
        <v>784</v>
      </c>
      <c r="G328" s="18">
        <v>1933.78</v>
      </c>
      <c r="H328" s="18">
        <v>1612.5</v>
      </c>
      <c r="I328" s="18">
        <v>4031.26</v>
      </c>
      <c r="J328" s="18">
        <v>40312.58</v>
      </c>
      <c r="K328" s="18">
        <v>0</v>
      </c>
      <c r="L328" s="18">
        <v>3546.28</v>
      </c>
      <c r="M328" s="18">
        <v>985.16</v>
      </c>
      <c r="N328" s="18" t="s">
        <v>1063</v>
      </c>
      <c r="O328" s="18">
        <v>78293.889501222671</v>
      </c>
      <c r="P328" s="18">
        <v>137866390.48281291</v>
      </c>
      <c r="Q328" s="18" t="s">
        <v>1070</v>
      </c>
    </row>
    <row r="329" spans="1:17" x14ac:dyDescent="0.2">
      <c r="A329" s="18">
        <v>328</v>
      </c>
      <c r="B329" s="18">
        <v>328</v>
      </c>
      <c r="C329" s="18">
        <v>328</v>
      </c>
      <c r="D329" s="18">
        <v>281</v>
      </c>
      <c r="E329" s="18" t="s">
        <v>818</v>
      </c>
      <c r="F329" s="18" t="s">
        <v>820</v>
      </c>
      <c r="G329" s="18">
        <v>925.55</v>
      </c>
      <c r="H329" s="18">
        <v>697.54</v>
      </c>
      <c r="I329" s="18">
        <v>1743.84</v>
      </c>
      <c r="J329" s="18">
        <v>17438.39</v>
      </c>
      <c r="K329" s="18">
        <v>0</v>
      </c>
      <c r="L329" s="18">
        <v>1623.09</v>
      </c>
      <c r="M329" s="18">
        <v>450.89</v>
      </c>
      <c r="N329" s="18" t="s">
        <v>1063</v>
      </c>
      <c r="O329" s="18">
        <v>41580.568267136689</v>
      </c>
      <c r="P329" s="18">
        <v>78652821.271215975</v>
      </c>
      <c r="Q329" s="18" t="s">
        <v>1081</v>
      </c>
    </row>
    <row r="330" spans="1:17" x14ac:dyDescent="0.2">
      <c r="A330" s="18">
        <v>329</v>
      </c>
      <c r="B330" s="18">
        <v>329</v>
      </c>
      <c r="C330" s="18">
        <v>329</v>
      </c>
      <c r="D330" s="18">
        <v>282</v>
      </c>
      <c r="E330" s="18" t="s">
        <v>821</v>
      </c>
      <c r="F330" s="18" t="s">
        <v>823</v>
      </c>
      <c r="G330" s="18">
        <v>791.48</v>
      </c>
      <c r="H330" s="18">
        <v>710.26</v>
      </c>
      <c r="I330" s="18">
        <v>1775.66</v>
      </c>
      <c r="J330" s="18">
        <v>17756.55</v>
      </c>
      <c r="K330" s="18">
        <v>0</v>
      </c>
      <c r="L330" s="18">
        <v>1501.74</v>
      </c>
      <c r="M330" s="18">
        <v>417.18</v>
      </c>
      <c r="N330" s="18" t="s">
        <v>1063</v>
      </c>
      <c r="O330" s="18">
        <v>68626.195704770376</v>
      </c>
      <c r="P330" s="18">
        <v>88700790.601287663</v>
      </c>
      <c r="Q330" s="18" t="s">
        <v>1085</v>
      </c>
    </row>
    <row r="331" spans="1:17" x14ac:dyDescent="0.2">
      <c r="A331" s="18">
        <v>330</v>
      </c>
      <c r="B331" s="18">
        <v>330</v>
      </c>
      <c r="C331" s="18">
        <v>330</v>
      </c>
      <c r="D331" s="18">
        <v>283</v>
      </c>
      <c r="E331" s="18" t="s">
        <v>785</v>
      </c>
      <c r="F331" s="18" t="s">
        <v>787</v>
      </c>
      <c r="G331" s="18">
        <v>870.38</v>
      </c>
      <c r="H331" s="18">
        <v>219.67</v>
      </c>
      <c r="I331" s="18">
        <v>549.17999999999995</v>
      </c>
      <c r="J331" s="18">
        <v>5491.79</v>
      </c>
      <c r="K331" s="18">
        <v>28.12</v>
      </c>
      <c r="L331" s="18">
        <v>1118.17</v>
      </c>
      <c r="M331" s="18">
        <v>310.63</v>
      </c>
      <c r="N331" s="18" t="s">
        <v>1063</v>
      </c>
      <c r="O331" s="18">
        <v>31006.427846156828</v>
      </c>
      <c r="P331" s="18">
        <v>33461443.87685639</v>
      </c>
      <c r="Q331" s="18" t="s">
        <v>1078</v>
      </c>
    </row>
    <row r="332" spans="1:17" x14ac:dyDescent="0.2">
      <c r="A332" s="18">
        <v>331</v>
      </c>
      <c r="B332" s="18">
        <v>331</v>
      </c>
      <c r="C332" s="18">
        <v>331</v>
      </c>
      <c r="D332" s="18">
        <v>284</v>
      </c>
      <c r="E332" s="18" t="s">
        <v>797</v>
      </c>
      <c r="F332" s="18" t="s">
        <v>799</v>
      </c>
      <c r="G332" s="18">
        <v>1637.32</v>
      </c>
      <c r="H332" s="18">
        <v>204.99</v>
      </c>
      <c r="I332" s="18">
        <v>512.48</v>
      </c>
      <c r="J332" s="18">
        <v>5124.78</v>
      </c>
      <c r="K332" s="18">
        <v>0</v>
      </c>
      <c r="L332" s="18">
        <v>1842.31</v>
      </c>
      <c r="M332" s="18">
        <v>511.79</v>
      </c>
      <c r="N332" s="18" t="s">
        <v>1063</v>
      </c>
      <c r="O332" s="18">
        <v>39943.972469109918</v>
      </c>
      <c r="P332" s="18">
        <v>56391855.265287913</v>
      </c>
      <c r="Q332" s="18" t="s">
        <v>1077</v>
      </c>
    </row>
    <row r="333" spans="1:17" x14ac:dyDescent="0.2">
      <c r="A333" s="18">
        <v>332</v>
      </c>
      <c r="B333" s="18">
        <v>332</v>
      </c>
      <c r="C333" s="18">
        <v>332</v>
      </c>
      <c r="D333" s="18">
        <v>287</v>
      </c>
      <c r="E333" s="18" t="s">
        <v>803</v>
      </c>
      <c r="F333" s="18" t="s">
        <v>805</v>
      </c>
      <c r="G333" s="18">
        <v>833.02</v>
      </c>
      <c r="H333" s="18">
        <v>308.56</v>
      </c>
      <c r="I333" s="18">
        <v>771.4</v>
      </c>
      <c r="J333" s="18">
        <v>7713.97</v>
      </c>
      <c r="K333" s="18">
        <v>20.97</v>
      </c>
      <c r="L333" s="18">
        <v>1162.55</v>
      </c>
      <c r="M333" s="18">
        <v>322.95999999999998</v>
      </c>
      <c r="N333" s="18" t="s">
        <v>1063</v>
      </c>
      <c r="O333" s="18">
        <v>47687.568365897721</v>
      </c>
      <c r="P333" s="18">
        <v>58021256.913240731</v>
      </c>
      <c r="Q333" s="18" t="s">
        <v>1085</v>
      </c>
    </row>
    <row r="334" spans="1:17" x14ac:dyDescent="0.2">
      <c r="A334" s="18">
        <v>333</v>
      </c>
      <c r="B334" s="18">
        <v>333</v>
      </c>
      <c r="C334" s="18">
        <v>333</v>
      </c>
      <c r="D334" s="18">
        <v>290</v>
      </c>
      <c r="E334" s="18" t="s">
        <v>812</v>
      </c>
      <c r="F334" s="18" t="s">
        <v>814</v>
      </c>
      <c r="G334" s="18">
        <v>802.87</v>
      </c>
      <c r="H334" s="18">
        <v>590.98</v>
      </c>
      <c r="I334" s="18">
        <v>1477.44</v>
      </c>
      <c r="J334" s="18">
        <v>14774.4</v>
      </c>
      <c r="K334" s="18">
        <v>0</v>
      </c>
      <c r="L334" s="18">
        <v>1393.85</v>
      </c>
      <c r="M334" s="18">
        <v>387.21</v>
      </c>
      <c r="N334" s="18" t="s">
        <v>1063</v>
      </c>
      <c r="O334" s="18">
        <v>51078.329727732089</v>
      </c>
      <c r="P334" s="18">
        <v>105119936.8020038</v>
      </c>
      <c r="Q334" s="18" t="s">
        <v>1081</v>
      </c>
    </row>
    <row r="335" spans="1:17" x14ac:dyDescent="0.2">
      <c r="A335" s="18">
        <v>334</v>
      </c>
      <c r="B335" s="18">
        <v>334</v>
      </c>
      <c r="C335" s="18">
        <v>334</v>
      </c>
      <c r="D335" s="18">
        <v>292</v>
      </c>
      <c r="E335" s="18" t="s">
        <v>833</v>
      </c>
      <c r="F335" s="18" t="s">
        <v>835</v>
      </c>
      <c r="G335" s="18">
        <v>1315.01</v>
      </c>
      <c r="H335" s="18">
        <v>3082.61</v>
      </c>
      <c r="I335" s="18">
        <v>7706.51</v>
      </c>
      <c r="J335" s="18">
        <v>77065.14</v>
      </c>
      <c r="K335" s="18">
        <v>6.61</v>
      </c>
      <c r="L335" s="18">
        <v>4404.2299999999996</v>
      </c>
      <c r="M335" s="18">
        <v>1223.5</v>
      </c>
      <c r="N335" s="18" t="s">
        <v>1063</v>
      </c>
      <c r="O335" s="18">
        <v>67764.729033017851</v>
      </c>
      <c r="P335" s="18">
        <v>277924563.20031083</v>
      </c>
      <c r="Q335" s="18" t="s">
        <v>1065</v>
      </c>
    </row>
    <row r="336" spans="1:17" x14ac:dyDescent="0.2">
      <c r="A336" s="18">
        <v>335</v>
      </c>
      <c r="B336" s="18">
        <v>335</v>
      </c>
      <c r="C336" s="18">
        <v>335</v>
      </c>
      <c r="D336" s="18">
        <v>293</v>
      </c>
      <c r="E336" s="18" t="s">
        <v>1124</v>
      </c>
      <c r="F336" s="18" t="s">
        <v>1125</v>
      </c>
      <c r="G336" s="18">
        <v>990.84</v>
      </c>
      <c r="H336" s="18">
        <v>482.52</v>
      </c>
      <c r="I336" s="18">
        <v>1206.31</v>
      </c>
      <c r="J336" s="18">
        <v>12063.12</v>
      </c>
      <c r="K336" s="18">
        <v>0</v>
      </c>
      <c r="L336" s="18">
        <v>1473.36</v>
      </c>
      <c r="M336" s="18">
        <v>409.3</v>
      </c>
      <c r="N336" s="18" t="s">
        <v>1063</v>
      </c>
      <c r="O336" s="18">
        <v>35327.229880716848</v>
      </c>
      <c r="P336" s="18">
        <v>56998940.676374681</v>
      </c>
      <c r="Q336" s="18" t="s">
        <v>1080</v>
      </c>
    </row>
    <row r="337" spans="1:17" x14ac:dyDescent="0.2">
      <c r="A337" s="18">
        <v>336</v>
      </c>
      <c r="B337" s="18">
        <v>336</v>
      </c>
      <c r="C337" s="18">
        <v>336</v>
      </c>
      <c r="D337" s="18">
        <v>294</v>
      </c>
      <c r="E337" s="18" t="s">
        <v>1126</v>
      </c>
      <c r="F337" s="18" t="s">
        <v>1127</v>
      </c>
      <c r="G337" s="18">
        <v>1235.73</v>
      </c>
      <c r="H337" s="18">
        <v>1182.67</v>
      </c>
      <c r="I337" s="18">
        <v>2956.69</v>
      </c>
      <c r="J337" s="18">
        <v>29566.87</v>
      </c>
      <c r="K337" s="18">
        <v>0</v>
      </c>
      <c r="L337" s="18">
        <v>2418.4</v>
      </c>
      <c r="M337" s="18">
        <v>671.83</v>
      </c>
      <c r="N337" s="18" t="s">
        <v>1063</v>
      </c>
      <c r="O337" s="18">
        <v>46011.048937563282</v>
      </c>
      <c r="P337" s="18">
        <v>99810171.358433247</v>
      </c>
      <c r="Q337" s="18" t="s">
        <v>1080</v>
      </c>
    </row>
    <row r="338" spans="1:17" x14ac:dyDescent="0.2">
      <c r="A338" s="18">
        <v>337</v>
      </c>
      <c r="B338" s="18">
        <v>337</v>
      </c>
      <c r="C338" s="18">
        <v>337</v>
      </c>
      <c r="D338" s="18">
        <v>295</v>
      </c>
      <c r="E338" s="18" t="s">
        <v>1128</v>
      </c>
      <c r="F338" s="18" t="s">
        <v>1129</v>
      </c>
      <c r="G338" s="18">
        <v>926.78</v>
      </c>
      <c r="H338" s="18">
        <v>609.16999999999996</v>
      </c>
      <c r="I338" s="18">
        <v>1522.92</v>
      </c>
      <c r="J338" s="18">
        <v>15229.2</v>
      </c>
      <c r="K338" s="18">
        <v>0</v>
      </c>
      <c r="L338" s="18">
        <v>1535.95</v>
      </c>
      <c r="M338" s="18">
        <v>426.69</v>
      </c>
      <c r="N338" s="18" t="s">
        <v>1063</v>
      </c>
      <c r="O338" s="18">
        <v>49345.243957691542</v>
      </c>
      <c r="P338" s="18">
        <v>70682741.373426825</v>
      </c>
      <c r="Q338" s="18" t="s">
        <v>1080</v>
      </c>
    </row>
    <row r="339" spans="1:17" x14ac:dyDescent="0.2">
      <c r="A339" s="18">
        <v>338</v>
      </c>
      <c r="B339" s="18">
        <v>338</v>
      </c>
      <c r="C339" s="18">
        <v>338</v>
      </c>
      <c r="D339" s="18">
        <v>299</v>
      </c>
      <c r="E339" s="18" t="s">
        <v>854</v>
      </c>
      <c r="F339" s="18" t="s">
        <v>856</v>
      </c>
      <c r="G339" s="18">
        <v>1318.11</v>
      </c>
      <c r="H339" s="18">
        <v>504.21</v>
      </c>
      <c r="I339" s="18">
        <v>1260.53</v>
      </c>
      <c r="J339" s="18">
        <v>12605.28</v>
      </c>
      <c r="K339" s="18">
        <v>0</v>
      </c>
      <c r="L339" s="18">
        <v>1822.32</v>
      </c>
      <c r="M339" s="18">
        <v>506.24</v>
      </c>
      <c r="N339" s="18" t="s">
        <v>1063</v>
      </c>
      <c r="O339" s="18">
        <v>45500.486538188292</v>
      </c>
      <c r="P339" s="18">
        <v>69179534.622781828</v>
      </c>
      <c r="Q339" s="18" t="s">
        <v>1073</v>
      </c>
    </row>
    <row r="340" spans="1:17" x14ac:dyDescent="0.2">
      <c r="A340" s="18">
        <v>339</v>
      </c>
      <c r="B340" s="18">
        <v>339</v>
      </c>
      <c r="C340" s="18">
        <v>339</v>
      </c>
      <c r="D340" s="18">
        <v>300</v>
      </c>
      <c r="E340" s="18" t="s">
        <v>857</v>
      </c>
      <c r="F340" s="18" t="s">
        <v>859</v>
      </c>
      <c r="G340" s="18">
        <v>1004.36</v>
      </c>
      <c r="H340" s="18">
        <v>498.49</v>
      </c>
      <c r="I340" s="18">
        <v>1246.23</v>
      </c>
      <c r="J340" s="18">
        <v>12462.3</v>
      </c>
      <c r="K340" s="18">
        <v>0</v>
      </c>
      <c r="L340" s="18">
        <v>1502.85</v>
      </c>
      <c r="M340" s="18">
        <v>417.49</v>
      </c>
      <c r="N340" s="18" t="s">
        <v>1063</v>
      </c>
      <c r="O340" s="18">
        <v>44838.67592938662</v>
      </c>
      <c r="P340" s="18">
        <v>78137381.253035769</v>
      </c>
      <c r="Q340" s="18" t="s">
        <v>1081</v>
      </c>
    </row>
    <row r="341" spans="1:17" x14ac:dyDescent="0.2">
      <c r="A341" s="18">
        <v>340</v>
      </c>
      <c r="B341" s="18">
        <v>340</v>
      </c>
      <c r="C341" s="18">
        <v>340</v>
      </c>
      <c r="D341" s="18">
        <v>306</v>
      </c>
      <c r="E341" s="18" t="s">
        <v>968</v>
      </c>
      <c r="F341" s="18" t="s">
        <v>970</v>
      </c>
      <c r="G341" s="18">
        <v>1789.49</v>
      </c>
      <c r="H341" s="18">
        <v>2940.22</v>
      </c>
      <c r="I341" s="18">
        <v>7350.54</v>
      </c>
      <c r="J341" s="18">
        <v>73505.38</v>
      </c>
      <c r="K341" s="18">
        <v>0</v>
      </c>
      <c r="L341" s="18">
        <v>4729.71</v>
      </c>
      <c r="M341" s="18">
        <v>1313.91</v>
      </c>
      <c r="N341" s="18" t="s">
        <v>1063</v>
      </c>
      <c r="O341" s="18">
        <v>117014.4720085461</v>
      </c>
      <c r="P341" s="18">
        <v>256831268.64074889</v>
      </c>
      <c r="Q341" s="18" t="s">
        <v>1130</v>
      </c>
    </row>
    <row r="342" spans="1:17" x14ac:dyDescent="0.2">
      <c r="A342" s="18">
        <v>341</v>
      </c>
      <c r="B342" s="18">
        <v>341</v>
      </c>
      <c r="C342" s="18">
        <v>341</v>
      </c>
      <c r="D342" s="18">
        <v>307</v>
      </c>
      <c r="E342" s="18" t="s">
        <v>875</v>
      </c>
      <c r="F342" s="18" t="s">
        <v>877</v>
      </c>
      <c r="G342" s="18">
        <v>1622.76</v>
      </c>
      <c r="H342" s="18">
        <v>898.01</v>
      </c>
      <c r="I342" s="18">
        <v>2245.02</v>
      </c>
      <c r="J342" s="18">
        <v>22450.2</v>
      </c>
      <c r="K342" s="18">
        <v>0</v>
      </c>
      <c r="L342" s="18">
        <v>2520.77</v>
      </c>
      <c r="M342" s="18">
        <v>700.27</v>
      </c>
      <c r="N342" s="18" t="s">
        <v>1063</v>
      </c>
      <c r="O342" s="18">
        <v>47060.91469492027</v>
      </c>
      <c r="P342" s="18">
        <v>90375883.511780724</v>
      </c>
      <c r="Q342" s="18" t="s">
        <v>1080</v>
      </c>
    </row>
    <row r="343" spans="1:17" x14ac:dyDescent="0.2">
      <c r="A343" s="18">
        <v>342</v>
      </c>
      <c r="B343" s="18">
        <v>342</v>
      </c>
      <c r="C343" s="18">
        <v>342</v>
      </c>
      <c r="D343" s="18">
        <v>313</v>
      </c>
      <c r="E343" s="18" t="s">
        <v>884</v>
      </c>
      <c r="F343" s="18" t="s">
        <v>886</v>
      </c>
      <c r="G343" s="18">
        <v>1192.01</v>
      </c>
      <c r="H343" s="18">
        <v>591.35</v>
      </c>
      <c r="I343" s="18">
        <v>1478.38</v>
      </c>
      <c r="J343" s="18">
        <v>14783.76</v>
      </c>
      <c r="K343" s="18">
        <v>0</v>
      </c>
      <c r="L343" s="18">
        <v>1783.36</v>
      </c>
      <c r="M343" s="18">
        <v>495.42</v>
      </c>
      <c r="N343" s="18" t="s">
        <v>1063</v>
      </c>
      <c r="O343" s="18">
        <v>44041.501147281997</v>
      </c>
      <c r="P343" s="18">
        <v>75705317.923880249</v>
      </c>
      <c r="Q343" s="18" t="s">
        <v>1081</v>
      </c>
    </row>
    <row r="344" spans="1:17" x14ac:dyDescent="0.2">
      <c r="A344" s="18">
        <v>343</v>
      </c>
      <c r="B344" s="18">
        <v>343</v>
      </c>
      <c r="C344" s="18">
        <v>343</v>
      </c>
      <c r="D344" s="18">
        <v>320</v>
      </c>
      <c r="E344" s="18" t="s">
        <v>905</v>
      </c>
      <c r="F344" s="18" t="s">
        <v>907</v>
      </c>
      <c r="G344" s="18">
        <v>1370.56</v>
      </c>
      <c r="H344" s="18">
        <v>751.49</v>
      </c>
      <c r="I344" s="18">
        <v>1878.73</v>
      </c>
      <c r="J344" s="18">
        <v>18787.29</v>
      </c>
      <c r="K344" s="18">
        <v>0</v>
      </c>
      <c r="L344" s="18">
        <v>2122.0500000000002</v>
      </c>
      <c r="M344" s="18">
        <v>589.51</v>
      </c>
      <c r="N344" s="18" t="s">
        <v>1063</v>
      </c>
      <c r="O344" s="18">
        <v>45037.498761401534</v>
      </c>
      <c r="P344" s="18">
        <v>94358195.034294128</v>
      </c>
      <c r="Q344" s="18" t="s">
        <v>1067</v>
      </c>
    </row>
    <row r="345" spans="1:17" x14ac:dyDescent="0.2">
      <c r="A345" s="18">
        <v>344</v>
      </c>
      <c r="B345" s="18">
        <v>344</v>
      </c>
      <c r="C345" s="18">
        <v>344</v>
      </c>
      <c r="D345" s="18">
        <v>321</v>
      </c>
      <c r="E345" s="18" t="s">
        <v>908</v>
      </c>
      <c r="F345" s="18" t="s">
        <v>910</v>
      </c>
      <c r="G345" s="18">
        <v>1043.73</v>
      </c>
      <c r="H345" s="18">
        <v>113.98</v>
      </c>
      <c r="I345" s="18">
        <v>284.95</v>
      </c>
      <c r="J345" s="18">
        <v>2849.53</v>
      </c>
      <c r="K345" s="18">
        <v>0</v>
      </c>
      <c r="L345" s="18">
        <v>1157.71</v>
      </c>
      <c r="M345" s="18">
        <v>321.61</v>
      </c>
      <c r="N345" s="18" t="s">
        <v>1063</v>
      </c>
      <c r="O345" s="18">
        <v>29024.131733737151</v>
      </c>
      <c r="P345" s="18">
        <v>31393825.537063569</v>
      </c>
      <c r="Q345" s="18" t="s">
        <v>1081</v>
      </c>
    </row>
    <row r="346" spans="1:17" x14ac:dyDescent="0.2">
      <c r="A346" s="18">
        <v>345</v>
      </c>
      <c r="B346" s="18">
        <v>345</v>
      </c>
      <c r="C346" s="18">
        <v>345</v>
      </c>
      <c r="D346" s="18">
        <v>324</v>
      </c>
      <c r="E346" s="18" t="s">
        <v>917</v>
      </c>
      <c r="F346" s="18" t="s">
        <v>919</v>
      </c>
      <c r="G346" s="18">
        <v>3096.39</v>
      </c>
      <c r="H346" s="18">
        <v>76.52</v>
      </c>
      <c r="I346" s="18">
        <v>191.3</v>
      </c>
      <c r="J346" s="18">
        <v>1913.01</v>
      </c>
      <c r="K346" s="18">
        <v>0</v>
      </c>
      <c r="L346" s="18">
        <v>3172.91</v>
      </c>
      <c r="M346" s="18">
        <v>881.43</v>
      </c>
      <c r="N346" s="18" t="s">
        <v>1063</v>
      </c>
      <c r="O346" s="18">
        <v>52378.222441208309</v>
      </c>
      <c r="P346" s="18">
        <v>81411258.37165907</v>
      </c>
      <c r="Q346" s="18" t="s">
        <v>1077</v>
      </c>
    </row>
    <row r="347" spans="1:17" x14ac:dyDescent="0.2">
      <c r="A347" s="18">
        <v>346</v>
      </c>
      <c r="B347" s="18">
        <v>346</v>
      </c>
      <c r="C347" s="18">
        <v>346</v>
      </c>
      <c r="D347" s="18">
        <v>329</v>
      </c>
      <c r="E347" s="18" t="s">
        <v>932</v>
      </c>
      <c r="F347" s="18" t="s">
        <v>934</v>
      </c>
      <c r="G347" s="18">
        <v>833.84</v>
      </c>
      <c r="H347" s="18">
        <v>781.59</v>
      </c>
      <c r="I347" s="18">
        <v>1953.97</v>
      </c>
      <c r="J347" s="18">
        <v>19539.7</v>
      </c>
      <c r="K347" s="18">
        <v>11.31</v>
      </c>
      <c r="L347" s="18">
        <v>1626.74</v>
      </c>
      <c r="M347" s="18">
        <v>451.91</v>
      </c>
      <c r="N347" s="18" t="s">
        <v>1063</v>
      </c>
      <c r="O347" s="18">
        <v>43030.701915421087</v>
      </c>
      <c r="P347" s="18">
        <v>72226913.973877266</v>
      </c>
      <c r="Q347" s="18" t="s">
        <v>1078</v>
      </c>
    </row>
    <row r="348" spans="1:17" x14ac:dyDescent="0.2">
      <c r="A348" s="18">
        <v>347</v>
      </c>
      <c r="B348" s="18">
        <v>347</v>
      </c>
      <c r="C348" s="18">
        <v>347</v>
      </c>
      <c r="D348" s="18">
        <v>332</v>
      </c>
      <c r="E348" s="18" t="s">
        <v>941</v>
      </c>
      <c r="F348" s="18" t="s">
        <v>943</v>
      </c>
      <c r="G348" s="18">
        <v>2402.79</v>
      </c>
      <c r="H348" s="18">
        <v>1424.94</v>
      </c>
      <c r="I348" s="18">
        <v>3562.35</v>
      </c>
      <c r="J348" s="18">
        <v>35623.53</v>
      </c>
      <c r="K348" s="18">
        <v>0</v>
      </c>
      <c r="L348" s="18">
        <v>3827.73</v>
      </c>
      <c r="M348" s="18">
        <v>1063.3399999999999</v>
      </c>
      <c r="N348" s="18" t="s">
        <v>1063</v>
      </c>
      <c r="O348" s="18">
        <v>58390.14136667108</v>
      </c>
      <c r="P348" s="18">
        <v>161307709.25108719</v>
      </c>
      <c r="Q348" s="18" t="s">
        <v>1085</v>
      </c>
    </row>
    <row r="349" spans="1:17" x14ac:dyDescent="0.2">
      <c r="A349" s="18">
        <v>348</v>
      </c>
      <c r="B349" s="18">
        <v>348</v>
      </c>
      <c r="C349" s="18">
        <v>348</v>
      </c>
      <c r="D349" s="18">
        <v>336</v>
      </c>
      <c r="E349" s="18" t="s">
        <v>953</v>
      </c>
      <c r="F349" s="18" t="s">
        <v>955</v>
      </c>
      <c r="G349" s="18">
        <v>1060.1199999999999</v>
      </c>
      <c r="H349" s="18">
        <v>874.31</v>
      </c>
      <c r="I349" s="18">
        <v>2185.7800000000002</v>
      </c>
      <c r="J349" s="18">
        <v>21857.759999999998</v>
      </c>
      <c r="K349" s="18">
        <v>57.45</v>
      </c>
      <c r="L349" s="18">
        <v>1991.88</v>
      </c>
      <c r="M349" s="18">
        <v>553.34</v>
      </c>
      <c r="N349" s="18" t="s">
        <v>1063</v>
      </c>
      <c r="O349" s="18">
        <v>50473.720252642554</v>
      </c>
      <c r="P349" s="18">
        <v>88613486.295514256</v>
      </c>
      <c r="Q349" s="18" t="s">
        <v>1087</v>
      </c>
    </row>
    <row r="350" spans="1:17" x14ac:dyDescent="0.2">
      <c r="A350" s="18">
        <v>349</v>
      </c>
      <c r="B350" s="18">
        <v>349</v>
      </c>
      <c r="C350" s="18">
        <v>349</v>
      </c>
      <c r="D350" s="18">
        <v>337</v>
      </c>
      <c r="E350" s="18" t="s">
        <v>962</v>
      </c>
      <c r="F350" s="18" t="s">
        <v>964</v>
      </c>
      <c r="G350" s="18">
        <v>2537.3000000000002</v>
      </c>
      <c r="H350" s="18">
        <v>5051.96</v>
      </c>
      <c r="I350" s="18">
        <v>12629.91</v>
      </c>
      <c r="J350" s="18">
        <v>126299.1</v>
      </c>
      <c r="K350" s="18">
        <v>10.42</v>
      </c>
      <c r="L350" s="18">
        <v>7599.68</v>
      </c>
      <c r="M350" s="18">
        <v>2111.19</v>
      </c>
      <c r="N350" s="18" t="s">
        <v>1063</v>
      </c>
      <c r="O350" s="18">
        <v>113155.46445267989</v>
      </c>
      <c r="P350" s="18">
        <v>374638810.05502039</v>
      </c>
      <c r="Q350" s="18" t="s">
        <v>1075</v>
      </c>
    </row>
    <row r="351" spans="1:17" x14ac:dyDescent="0.2">
      <c r="A351" s="18">
        <v>350</v>
      </c>
      <c r="B351" s="18">
        <v>350</v>
      </c>
      <c r="C351" s="18">
        <v>350</v>
      </c>
      <c r="D351" s="18">
        <v>338</v>
      </c>
      <c r="E351" s="18" t="s">
        <v>965</v>
      </c>
      <c r="F351" s="18" t="s">
        <v>967</v>
      </c>
      <c r="G351" s="18">
        <v>1095.06</v>
      </c>
      <c r="H351" s="18">
        <v>231.05</v>
      </c>
      <c r="I351" s="18">
        <v>577.62</v>
      </c>
      <c r="J351" s="18">
        <v>5776.17</v>
      </c>
      <c r="K351" s="18">
        <v>25.12</v>
      </c>
      <c r="L351" s="18">
        <v>1351.23</v>
      </c>
      <c r="M351" s="18">
        <v>375.37</v>
      </c>
      <c r="N351" s="18" t="s">
        <v>1063</v>
      </c>
      <c r="O351" s="18">
        <v>36883.413890853371</v>
      </c>
      <c r="P351" s="18">
        <v>35679662.136130102</v>
      </c>
      <c r="Q351" s="18" t="s">
        <v>1077</v>
      </c>
    </row>
    <row r="352" spans="1:17" x14ac:dyDescent="0.2">
      <c r="A352" s="18">
        <v>351</v>
      </c>
      <c r="B352" s="18">
        <v>351</v>
      </c>
      <c r="C352" s="18">
        <v>351</v>
      </c>
      <c r="D352" s="18">
        <v>339</v>
      </c>
      <c r="E352" s="18" t="s">
        <v>971</v>
      </c>
      <c r="F352" s="18" t="s">
        <v>973</v>
      </c>
      <c r="G352" s="18">
        <v>1088.6199999999999</v>
      </c>
      <c r="H352" s="18">
        <v>142.94999999999999</v>
      </c>
      <c r="I352" s="18">
        <v>357.38</v>
      </c>
      <c r="J352" s="18">
        <v>3573.77</v>
      </c>
      <c r="K352" s="18">
        <v>0</v>
      </c>
      <c r="L352" s="18">
        <v>1231.57</v>
      </c>
      <c r="M352" s="18">
        <v>342.13</v>
      </c>
      <c r="N352" s="18" t="s">
        <v>1063</v>
      </c>
      <c r="O352" s="18">
        <v>31651.54990313591</v>
      </c>
      <c r="P352" s="18">
        <v>38600152.302875407</v>
      </c>
      <c r="Q352" s="18" t="s">
        <v>1077</v>
      </c>
    </row>
    <row r="353" spans="1:24" x14ac:dyDescent="0.2">
      <c r="A353" s="18">
        <v>352</v>
      </c>
      <c r="B353" s="18">
        <v>352</v>
      </c>
      <c r="C353" s="18">
        <v>352</v>
      </c>
      <c r="D353" s="18">
        <v>340</v>
      </c>
      <c r="E353" s="18" t="s">
        <v>974</v>
      </c>
      <c r="F353" s="18" t="s">
        <v>976</v>
      </c>
      <c r="G353" s="18">
        <v>1477.23</v>
      </c>
      <c r="H353" s="18">
        <v>712.23</v>
      </c>
      <c r="I353" s="18">
        <v>1780.58</v>
      </c>
      <c r="J353" s="18">
        <v>17805.759999999998</v>
      </c>
      <c r="K353" s="18">
        <v>2.77</v>
      </c>
      <c r="L353" s="18">
        <v>2192.23</v>
      </c>
      <c r="M353" s="18">
        <v>609</v>
      </c>
      <c r="N353" s="18" t="s">
        <v>1063</v>
      </c>
      <c r="O353" s="18">
        <v>49068.433690766462</v>
      </c>
      <c r="P353" s="18">
        <v>80813642.530164689</v>
      </c>
      <c r="Q353" s="18" t="s">
        <v>1077</v>
      </c>
    </row>
    <row r="354" spans="1:24" x14ac:dyDescent="0.2">
      <c r="A354" s="18">
        <v>353</v>
      </c>
      <c r="B354" s="18">
        <v>353</v>
      </c>
      <c r="C354" s="18">
        <v>353</v>
      </c>
      <c r="D354" s="18">
        <v>343</v>
      </c>
      <c r="E354" s="18" t="s">
        <v>983</v>
      </c>
      <c r="F354" s="18" t="s">
        <v>985</v>
      </c>
      <c r="G354" s="18">
        <v>1037.1199999999999</v>
      </c>
      <c r="H354" s="18">
        <v>152.77000000000001</v>
      </c>
      <c r="I354" s="18">
        <v>381.91</v>
      </c>
      <c r="J354" s="18">
        <v>3819.13</v>
      </c>
      <c r="K354" s="18">
        <v>0</v>
      </c>
      <c r="L354" s="18">
        <v>1189.8900000000001</v>
      </c>
      <c r="M354" s="18">
        <v>330.55</v>
      </c>
      <c r="N354" s="18" t="s">
        <v>1063</v>
      </c>
      <c r="O354" s="18">
        <v>52966.002045726003</v>
      </c>
      <c r="P354" s="18">
        <v>45289999.722271629</v>
      </c>
      <c r="Q354" s="18" t="s">
        <v>1076</v>
      </c>
    </row>
    <row r="355" spans="1:24" x14ac:dyDescent="0.2">
      <c r="A355" s="18">
        <v>354</v>
      </c>
      <c r="B355" s="18">
        <v>354</v>
      </c>
      <c r="C355" s="18">
        <v>354</v>
      </c>
      <c r="D355" s="18">
        <v>348</v>
      </c>
      <c r="E355" s="18" t="s">
        <v>1007</v>
      </c>
      <c r="F355" s="18" t="s">
        <v>1009</v>
      </c>
      <c r="G355" s="18">
        <v>1913.99</v>
      </c>
      <c r="H355" s="18">
        <v>2319.9</v>
      </c>
      <c r="I355" s="18">
        <v>5799.74</v>
      </c>
      <c r="J355" s="18">
        <v>57997.43</v>
      </c>
      <c r="K355" s="18">
        <v>0</v>
      </c>
      <c r="L355" s="18">
        <v>4233.8900000000003</v>
      </c>
      <c r="M355" s="18">
        <v>1176.17</v>
      </c>
      <c r="N355" s="18" t="s">
        <v>1063</v>
      </c>
      <c r="O355" s="18">
        <v>87518.747138426406</v>
      </c>
      <c r="P355" s="18">
        <v>226512127.20776489</v>
      </c>
      <c r="Q355" s="18" t="s">
        <v>1082</v>
      </c>
    </row>
    <row r="356" spans="1:24" x14ac:dyDescent="0.2">
      <c r="A356" s="18">
        <v>355</v>
      </c>
      <c r="B356" s="18">
        <v>355</v>
      </c>
      <c r="C356" s="18">
        <v>355</v>
      </c>
      <c r="D356" s="18">
        <v>351</v>
      </c>
      <c r="E356" s="18" t="s">
        <v>1016</v>
      </c>
      <c r="F356" s="18" t="s">
        <v>1018</v>
      </c>
      <c r="G356" s="18">
        <v>2571.33</v>
      </c>
      <c r="H356" s="18">
        <v>3419.33</v>
      </c>
      <c r="I356" s="18">
        <v>8548.33</v>
      </c>
      <c r="J356" s="18">
        <v>85483.31</v>
      </c>
      <c r="K356" s="18">
        <v>0</v>
      </c>
      <c r="L356" s="18">
        <v>5990.66</v>
      </c>
      <c r="M356" s="18">
        <v>1664.21</v>
      </c>
      <c r="N356" s="18" t="s">
        <v>1063</v>
      </c>
      <c r="O356" s="18">
        <v>89947.301622954808</v>
      </c>
      <c r="P356" s="18">
        <v>283141472.67573041</v>
      </c>
      <c r="Q356" s="18" t="s">
        <v>1131</v>
      </c>
    </row>
    <row r="357" spans="1:24" ht="15" x14ac:dyDescent="0.25">
      <c r="A357" s="18">
        <v>1001</v>
      </c>
      <c r="B357" s="18">
        <v>1001</v>
      </c>
      <c r="C357" s="18">
        <v>1001</v>
      </c>
      <c r="D357" s="18">
        <v>1001</v>
      </c>
      <c r="E357" s="5" t="s">
        <v>1031</v>
      </c>
      <c r="F357" s="7" t="s">
        <v>1033</v>
      </c>
      <c r="G357" s="18" cm="1">
        <f t="array" ref="G357">SUM(SUMIFS(G$2:G$356, $E$2:$E$356, $S$358:$S$360))</f>
        <v>2099.9899999999998</v>
      </c>
      <c r="H357" s="18" cm="1">
        <f t="array" ref="H357">SUM(SUMIFS(H$2:H$356, $E$2:$E$356, $S$358:$S$360))</f>
        <v>3611.6899999999996</v>
      </c>
      <c r="I357" s="18" cm="1">
        <f t="array" ref="I357">SUM(SUMIFS(I$2:I$356, $E$2:$E$356, $S$358:$S$360))</f>
        <v>9029.2400000000016</v>
      </c>
      <c r="J357" s="18" cm="1">
        <f t="array" ref="J357">SUM(SUMIFS(J$2:J$356, $E$2:$E$356, $S$358:$S$360))</f>
        <v>90292.32</v>
      </c>
      <c r="K357" s="18" cm="1">
        <f t="array" ref="K357">SUM(SUMIFS(K$2:K$356, $E$2:$E$356, $S$358:$S$360))</f>
        <v>0.35</v>
      </c>
      <c r="L357" s="18" cm="1">
        <f t="array" ref="L357">SUM(SUMIFS(L$2:L$356, $E$2:$E$356, $S$358:$S$360))</f>
        <v>5712.03</v>
      </c>
      <c r="M357" s="18" cm="1">
        <f t="array" ref="M357">SUM(SUMIFS(M$2:M$356, $E$2:$E$356, $S$358:$S$360))</f>
        <v>1586.8000000000002</v>
      </c>
      <c r="O357" s="18" cm="1">
        <f t="array" ref="O357">SUM(SUMIFS(O$2:O$356, $E$2:$E$356, $S$358:$S$360))</f>
        <v>178064.6468296292</v>
      </c>
      <c r="P357" s="18" cm="1">
        <f t="array" ref="P357">SUM(SUMIFS(P$2:P$356, $E$2:$E$356, $S$358:$S$360))</f>
        <v>272285535.37937927</v>
      </c>
      <c r="S357" s="5" t="s">
        <v>1031</v>
      </c>
      <c r="T357" s="7" t="s">
        <v>1033</v>
      </c>
      <c r="V357"/>
      <c r="W357"/>
      <c r="X357" s="5" t="s">
        <v>1031</v>
      </c>
    </row>
    <row r="358" spans="1:24" ht="15" x14ac:dyDescent="0.25">
      <c r="A358" s="18">
        <v>1002</v>
      </c>
      <c r="B358" s="18">
        <v>1002</v>
      </c>
      <c r="C358" s="18">
        <v>1002</v>
      </c>
      <c r="D358" s="18">
        <v>1002</v>
      </c>
      <c r="E358" s="5" t="s">
        <v>1034</v>
      </c>
      <c r="F358" s="7" t="s">
        <v>1036</v>
      </c>
      <c r="G358" s="18" cm="1">
        <f t="array" ref="G358">SUM(SUMIFS(G$2:G$356, $E$2:$E$356, $S$362:$S$364))</f>
        <v>2062</v>
      </c>
      <c r="H358" s="18" cm="1">
        <f t="array" ref="H358">SUM(SUMIFS(H$2:H$356, $E$2:$E$356, $S$362:$S$364))</f>
        <v>411.39</v>
      </c>
      <c r="I358" s="18" cm="1">
        <f t="array" ref="I358">SUM(SUMIFS(I$2:I$356, $E$2:$E$356, $S$362:$S$364))</f>
        <v>1028.45</v>
      </c>
      <c r="J358" s="18" cm="1">
        <f t="array" ref="J358">SUM(SUMIFS(J$2:J$356, $E$2:$E$356, $S$362:$S$364))</f>
        <v>10284.529999999999</v>
      </c>
      <c r="K358" s="18" cm="1">
        <f t="array" ref="K358">SUM(SUMIFS(K$2:K$356, $E$2:$E$356, $S$362:$S$364))</f>
        <v>11.33</v>
      </c>
      <c r="L358" s="18" cm="1">
        <f t="array" ref="L358">SUM(SUMIFS(L$2:L$356, $E$2:$E$356, $S$362:$S$364))</f>
        <v>2484.7200000000003</v>
      </c>
      <c r="M358" s="18" cm="1">
        <f t="array" ref="M358">SUM(SUMIFS(M$2:M$356, $E$2:$E$356, $S$362:$S$364))</f>
        <v>690.25</v>
      </c>
      <c r="O358" s="18" cm="1">
        <f t="array" ref="O358">SUM(SUMIFS(O$2:O$356, $E$2:$E$356, $S$362:$S$364))</f>
        <v>64949.164484664376</v>
      </c>
      <c r="P358" s="18" cm="1">
        <f t="array" ref="P358">SUM(SUMIFS(P$2:P$356, $E$2:$E$356, $S$362:$S$364))</f>
        <v>66960165.705637574</v>
      </c>
      <c r="S358" s="18" t="s">
        <v>1097</v>
      </c>
      <c r="T358"/>
      <c r="U358"/>
      <c r="V358" s="18" t="s">
        <v>1098</v>
      </c>
      <c r="W358"/>
      <c r="X358" s="18" t="s">
        <v>1097</v>
      </c>
    </row>
    <row r="359" spans="1:24" ht="15" x14ac:dyDescent="0.25">
      <c r="A359" s="18">
        <v>1003</v>
      </c>
      <c r="B359" s="18">
        <v>1003</v>
      </c>
      <c r="C359" s="18">
        <v>1003</v>
      </c>
      <c r="D359" s="18">
        <v>1003</v>
      </c>
      <c r="E359" s="5" t="s">
        <v>1037</v>
      </c>
      <c r="F359" s="7" t="s">
        <v>1039</v>
      </c>
      <c r="G359" s="18" cm="1">
        <f t="array" ref="G359">SUM(SUMIFS(G$2:G$356, $E$2:$E$356, $S$366:$S$371))</f>
        <v>4791.29</v>
      </c>
      <c r="H359" s="18" cm="1">
        <f t="array" ref="H359">SUM(SUMIFS(H$2:H$356, $E$2:$E$356, $S$366:$S$371))</f>
        <v>3598.52</v>
      </c>
      <c r="I359" s="18" cm="1">
        <f t="array" ref="I359">SUM(SUMIFS(I$2:I$356, $E$2:$E$356, $S$366:$S$371))</f>
        <v>8996.33</v>
      </c>
      <c r="J359" s="18" cm="1">
        <f t="array" ref="J359">SUM(SUMIFS(J$2:J$356, $E$2:$E$356, $S$366:$S$371))</f>
        <v>89963.340000000011</v>
      </c>
      <c r="K359" s="18" cm="1">
        <f t="array" ref="K359">SUM(SUMIFS(K$2:K$356, $E$2:$E$356, $S$366:$S$371))</f>
        <v>0</v>
      </c>
      <c r="L359" s="18" cm="1">
        <f t="array" ref="L359">SUM(SUMIFS(L$2:L$356, $E$2:$E$356, $S$366:$S$371))</f>
        <v>8389.8100000000013</v>
      </c>
      <c r="M359" s="18" cm="1">
        <f t="array" ref="M359">SUM(SUMIFS(M$2:M$356, $E$2:$E$356, $S$366:$S$371))</f>
        <v>2330.6799999999998</v>
      </c>
      <c r="O359" s="18" cm="1">
        <f t="array" ref="O359">SUM(SUMIFS(O$2:O$356, $E$2:$E$356, $S$366:$S$371))</f>
        <v>209855.05547705226</v>
      </c>
      <c r="P359" s="18" cm="1">
        <f t="array" ref="P359">SUM(SUMIFS(P$2:P$356, $E$2:$E$356, $S$366:$S$371))</f>
        <v>351870580.31729925</v>
      </c>
      <c r="S359" s="18" t="s">
        <v>1091</v>
      </c>
      <c r="T359"/>
      <c r="U359"/>
      <c r="V359" s="18" t="s">
        <v>1092</v>
      </c>
      <c r="W359"/>
      <c r="X359" s="18" t="s">
        <v>1091</v>
      </c>
    </row>
    <row r="360" spans="1:24" ht="15" x14ac:dyDescent="0.25">
      <c r="A360" s="18">
        <v>1004</v>
      </c>
      <c r="B360" s="18">
        <v>1004</v>
      </c>
      <c r="C360" s="18">
        <v>1004</v>
      </c>
      <c r="D360" s="18">
        <v>1004</v>
      </c>
      <c r="E360" s="5" t="s">
        <v>1040</v>
      </c>
      <c r="F360" s="7" t="s">
        <v>1042</v>
      </c>
      <c r="G360" s="18" cm="1">
        <f t="array" ref="G360">SUM(SUMIFS(G$2:G$356, $E$2:$E$356, $S$373:$S$375))</f>
        <v>2705.77</v>
      </c>
      <c r="H360" s="18" cm="1">
        <f t="array" ref="H360">SUM(SUMIFS(H$2:H$356, $E$2:$E$356, $S$373:$S$375))</f>
        <v>1137.3</v>
      </c>
      <c r="I360" s="18" cm="1">
        <f t="array" ref="I360">SUM(SUMIFS(I$2:I$356, $E$2:$E$356, $S$373:$S$375))</f>
        <v>2843.24</v>
      </c>
      <c r="J360" s="18" cm="1">
        <f t="array" ref="J360">SUM(SUMIFS(J$2:J$356, $E$2:$E$356, $S$373:$S$375))</f>
        <v>28432.45</v>
      </c>
      <c r="K360" s="18" cm="1">
        <f t="array" ref="K360">SUM(SUMIFS(K$2:K$356, $E$2:$E$356, $S$373:$S$375))</f>
        <v>0</v>
      </c>
      <c r="L360" s="18" cm="1">
        <f t="array" ref="L360">SUM(SUMIFS(L$2:L$356, $E$2:$E$356, $S$373:$S$375))</f>
        <v>3843.0699999999997</v>
      </c>
      <c r="M360" s="18" cm="1">
        <f t="array" ref="M360">SUM(SUMIFS(M$2:M$356, $E$2:$E$356, $S$373:$S$375))</f>
        <v>1067.6099999999999</v>
      </c>
      <c r="O360" s="18" cm="1">
        <f t="array" ref="O360">SUM(SUMIFS(O$2:O$356, $E$2:$E$356, $S$373:$S$375))</f>
        <v>91370.953764263977</v>
      </c>
      <c r="P360" s="18" cm="1">
        <f t="array" ref="P360">SUM(SUMIFS(P$2:P$356, $E$2:$E$356, $S$373:$S$375))</f>
        <v>138272617.23187822</v>
      </c>
      <c r="S360" s="18" t="s">
        <v>1099</v>
      </c>
      <c r="T360"/>
      <c r="U360"/>
      <c r="V360" s="18" t="s">
        <v>1100</v>
      </c>
      <c r="W360"/>
      <c r="X360" s="18" t="s">
        <v>1099</v>
      </c>
    </row>
    <row r="361" spans="1:24" ht="15" x14ac:dyDescent="0.25">
      <c r="A361" s="18">
        <v>1005</v>
      </c>
      <c r="B361" s="18">
        <v>1005</v>
      </c>
      <c r="C361" s="18">
        <v>1005</v>
      </c>
      <c r="D361" s="18">
        <v>1005</v>
      </c>
      <c r="E361" s="13" t="s">
        <v>1043</v>
      </c>
      <c r="F361" s="14" t="s">
        <v>1045</v>
      </c>
      <c r="G361" s="18" cm="1">
        <f t="array" ref="G361">SUM(SUMIFS(G$2:G$356, $E$2:$E$356, $S$378:$S$380))</f>
        <v>1702.8799999999999</v>
      </c>
      <c r="H361" s="18" cm="1">
        <f t="array" ref="H361">SUM(SUMIFS(H$2:H$356, $E$2:$E$356, $S$378:$S$380))</f>
        <v>943.81</v>
      </c>
      <c r="I361" s="18" cm="1">
        <f t="array" ref="I361">SUM(SUMIFS(I$2:I$356, $E$2:$E$356, $S$378:$S$380))</f>
        <v>2359.54</v>
      </c>
      <c r="J361" s="18" cm="1">
        <f t="array" ref="J361">SUM(SUMIFS(J$2:J$356, $E$2:$E$356, $S$378:$S$380))</f>
        <v>23595.38</v>
      </c>
      <c r="K361" s="18" cm="1">
        <f t="array" ref="K361">SUM(SUMIFS(K$2:K$356, $E$2:$E$356, $S$378:$S$380))</f>
        <v>0</v>
      </c>
      <c r="L361" s="18" cm="1">
        <f t="array" ref="L361">SUM(SUMIFS(L$2:L$356, $E$2:$E$356, $S$378:$S$380))</f>
        <v>2646.69</v>
      </c>
      <c r="M361" s="18" cm="1">
        <f t="array" ref="M361">SUM(SUMIFS(M$2:M$356, $E$2:$E$356, $S$378:$S$380))</f>
        <v>735.25</v>
      </c>
      <c r="O361" s="18" cm="1">
        <f t="array" ref="O361">SUM(SUMIFS(O$2:O$356, $E$2:$E$356, $S$378:$S$380))</f>
        <v>108361.81672329914</v>
      </c>
      <c r="P361" s="18" cm="1">
        <f t="array" ref="P361">SUM(SUMIFS(P$2:P$356, $E$2:$E$356, $S$378:$S$380))</f>
        <v>132183360.65775904</v>
      </c>
      <c r="S361"/>
      <c r="T361"/>
      <c r="U361"/>
      <c r="V361"/>
      <c r="W361"/>
      <c r="X361"/>
    </row>
    <row r="362" spans="1:24" ht="15" x14ac:dyDescent="0.25">
      <c r="S362" s="5" t="s">
        <v>1034</v>
      </c>
      <c r="T362" s="6" t="s">
        <v>1035</v>
      </c>
      <c r="U362" s="7" t="s">
        <v>1036</v>
      </c>
      <c r="V362"/>
      <c r="W362"/>
      <c r="X362" s="5" t="s">
        <v>1034</v>
      </c>
    </row>
    <row r="363" spans="1:24" ht="15" x14ac:dyDescent="0.25">
      <c r="S363" s="18" t="s">
        <v>1104</v>
      </c>
      <c r="T363" s="18" t="s">
        <v>1105</v>
      </c>
      <c r="U363"/>
      <c r="V363"/>
      <c r="W363"/>
      <c r="X363" s="18" t="s">
        <v>1104</v>
      </c>
    </row>
    <row r="364" spans="1:24" ht="15" x14ac:dyDescent="0.25">
      <c r="S364" s="18" t="s">
        <v>1106</v>
      </c>
      <c r="T364" s="18" t="s">
        <v>1107</v>
      </c>
      <c r="U364"/>
      <c r="V364"/>
      <c r="W364"/>
      <c r="X364" s="18" t="s">
        <v>1106</v>
      </c>
    </row>
    <row r="365" spans="1:24" ht="15" x14ac:dyDescent="0.25">
      <c r="S365"/>
      <c r="T365"/>
      <c r="U365"/>
      <c r="V365"/>
      <c r="W365"/>
      <c r="X365"/>
    </row>
    <row r="366" spans="1:24" ht="15" x14ac:dyDescent="0.25">
      <c r="S366" s="5" t="s">
        <v>1037</v>
      </c>
      <c r="T366" s="6" t="s">
        <v>1038</v>
      </c>
      <c r="U366" s="7" t="s">
        <v>1039</v>
      </c>
      <c r="V366"/>
      <c r="W366"/>
      <c r="X366" s="5" t="s">
        <v>1037</v>
      </c>
    </row>
    <row r="367" spans="1:24" ht="15" x14ac:dyDescent="0.25">
      <c r="S367" s="18" t="s">
        <v>1114</v>
      </c>
      <c r="T367" s="18" t="s">
        <v>1115</v>
      </c>
      <c r="U367"/>
      <c r="V367"/>
      <c r="W367"/>
      <c r="X367" s="18" t="s">
        <v>1114</v>
      </c>
    </row>
    <row r="368" spans="1:24" ht="15" x14ac:dyDescent="0.25">
      <c r="S368" s="18" t="s">
        <v>1124</v>
      </c>
      <c r="T368" s="18" t="s">
        <v>1125</v>
      </c>
      <c r="U368"/>
      <c r="V368"/>
      <c r="W368"/>
      <c r="X368" s="18" t="s">
        <v>1124</v>
      </c>
    </row>
    <row r="369" spans="19:24" ht="15" x14ac:dyDescent="0.25">
      <c r="S369" s="18" t="s">
        <v>1126</v>
      </c>
      <c r="T369" s="18" t="s">
        <v>1127</v>
      </c>
      <c r="U369"/>
      <c r="V369"/>
      <c r="W369"/>
      <c r="X369" s="18" t="s">
        <v>1126</v>
      </c>
    </row>
    <row r="370" spans="19:24" ht="15" x14ac:dyDescent="0.25">
      <c r="S370" s="18" t="s">
        <v>1120</v>
      </c>
      <c r="T370" s="18" t="s">
        <v>1121</v>
      </c>
      <c r="U370"/>
      <c r="V370"/>
      <c r="W370"/>
      <c r="X370" s="18" t="s">
        <v>1120</v>
      </c>
    </row>
    <row r="371" spans="19:24" ht="15" x14ac:dyDescent="0.25">
      <c r="S371" s="18" t="s">
        <v>1116</v>
      </c>
      <c r="T371" s="18" t="s">
        <v>1117</v>
      </c>
      <c r="U371"/>
      <c r="V371"/>
      <c r="W371"/>
      <c r="X371" s="18" t="s">
        <v>1116</v>
      </c>
    </row>
    <row r="372" spans="19:24" ht="15" x14ac:dyDescent="0.25">
      <c r="S372"/>
      <c r="T372"/>
      <c r="U372"/>
      <c r="V372"/>
      <c r="W372"/>
      <c r="X372"/>
    </row>
    <row r="373" spans="19:24" ht="15" x14ac:dyDescent="0.25">
      <c r="S373" s="5" t="s">
        <v>1040</v>
      </c>
      <c r="T373" s="6" t="s">
        <v>1041</v>
      </c>
      <c r="U373" s="7" t="s">
        <v>1042</v>
      </c>
      <c r="V373"/>
      <c r="W373"/>
      <c r="X373" s="5" t="s">
        <v>1040</v>
      </c>
    </row>
    <row r="374" spans="19:24" ht="15" x14ac:dyDescent="0.25">
      <c r="S374" s="18" t="s">
        <v>1128</v>
      </c>
      <c r="T374" s="18" t="s">
        <v>1129</v>
      </c>
      <c r="U374"/>
      <c r="V374"/>
      <c r="W374"/>
      <c r="X374" s="18" t="s">
        <v>1128</v>
      </c>
    </row>
    <row r="375" spans="19:24" ht="15" x14ac:dyDescent="0.25">
      <c r="S375" s="18" t="s">
        <v>1122</v>
      </c>
      <c r="T375" s="18" t="s">
        <v>1123</v>
      </c>
      <c r="U375"/>
      <c r="V375"/>
      <c r="W375"/>
      <c r="X375" s="18" t="s">
        <v>1122</v>
      </c>
    </row>
    <row r="376" spans="19:24" ht="15" x14ac:dyDescent="0.25">
      <c r="S376"/>
      <c r="T376"/>
      <c r="U376"/>
      <c r="V376"/>
      <c r="W376"/>
      <c r="X376"/>
    </row>
    <row r="377" spans="19:24" ht="15" x14ac:dyDescent="0.25">
      <c r="S377" s="13" t="s">
        <v>1043</v>
      </c>
      <c r="T377" s="6" t="s">
        <v>1044</v>
      </c>
      <c r="U377" s="14" t="s">
        <v>1045</v>
      </c>
      <c r="V377"/>
      <c r="W377"/>
      <c r="X377" s="13" t="s">
        <v>1043</v>
      </c>
    </row>
    <row r="378" spans="19:24" ht="15" x14ac:dyDescent="0.25">
      <c r="S378" s="18" t="s">
        <v>1110</v>
      </c>
      <c r="T378" s="18" t="s">
        <v>1111</v>
      </c>
      <c r="U378"/>
      <c r="V378"/>
      <c r="W378"/>
      <c r="X378" s="18" t="s">
        <v>1110</v>
      </c>
    </row>
    <row r="379" spans="19:24" ht="15" x14ac:dyDescent="0.25">
      <c r="S379" s="18" t="s">
        <v>1112</v>
      </c>
      <c r="T379" s="18" t="s">
        <v>1113</v>
      </c>
      <c r="U379"/>
      <c r="V379"/>
      <c r="W379"/>
      <c r="X379" s="18" t="s">
        <v>1112</v>
      </c>
    </row>
    <row r="380" spans="19:24" ht="15" x14ac:dyDescent="0.25">
      <c r="S380" s="18" t="s">
        <v>1095</v>
      </c>
      <c r="T380" s="18" t="s">
        <v>1096</v>
      </c>
      <c r="U380"/>
      <c r="V380"/>
      <c r="W380"/>
      <c r="X380" s="18" t="s">
        <v>1095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CA03-3EF3-4C45-9671-3B8A536F29C4}">
  <dimension ref="A1:AE387"/>
  <sheetViews>
    <sheetView topLeftCell="F1" zoomScale="130" zoomScaleNormal="130" workbookViewId="0">
      <selection activeCell="J23" sqref="J23"/>
    </sheetView>
  </sheetViews>
  <sheetFormatPr defaultColWidth="8.85546875" defaultRowHeight="12.75" x14ac:dyDescent="0.2"/>
  <cols>
    <col min="1" max="16384" width="8.85546875" style="18"/>
  </cols>
  <sheetData>
    <row r="1" spans="1:31" x14ac:dyDescent="0.2">
      <c r="A1" s="18" t="s">
        <v>1046</v>
      </c>
      <c r="B1" s="18" t="s">
        <v>1047</v>
      </c>
      <c r="C1" s="18" t="s">
        <v>1048</v>
      </c>
      <c r="D1" s="18" t="s">
        <v>1049</v>
      </c>
      <c r="E1" s="18" t="s">
        <v>1050</v>
      </c>
      <c r="F1" s="18" t="s">
        <v>1051</v>
      </c>
      <c r="G1" s="18" t="s">
        <v>1132</v>
      </c>
      <c r="H1" s="18" t="s">
        <v>1133</v>
      </c>
      <c r="I1" s="18" t="s">
        <v>1134</v>
      </c>
      <c r="J1" s="18" t="s">
        <v>1135</v>
      </c>
      <c r="K1" s="18" t="s">
        <v>1136</v>
      </c>
      <c r="L1" s="18" t="s">
        <v>1137</v>
      </c>
      <c r="M1" s="18" t="s">
        <v>1138</v>
      </c>
      <c r="N1" s="18" t="s">
        <v>1139</v>
      </c>
      <c r="O1" s="18" t="s">
        <v>1140</v>
      </c>
      <c r="P1" s="18" t="s">
        <v>1141</v>
      </c>
      <c r="Q1" s="18" t="s">
        <v>1142</v>
      </c>
      <c r="R1" s="18" t="s">
        <v>1143</v>
      </c>
      <c r="S1" s="18" t="s">
        <v>1144</v>
      </c>
      <c r="T1" s="18" t="s">
        <v>1145</v>
      </c>
      <c r="U1" s="18" t="s">
        <v>1146</v>
      </c>
      <c r="V1" s="18" t="s">
        <v>1147</v>
      </c>
      <c r="W1" s="18" t="s">
        <v>1148</v>
      </c>
      <c r="X1" s="18" t="s">
        <v>1149</v>
      </c>
      <c r="Y1" s="18" t="s">
        <v>1150</v>
      </c>
      <c r="Z1" s="18" t="s">
        <v>1151</v>
      </c>
      <c r="AA1" s="18" t="s">
        <v>1152</v>
      </c>
      <c r="AB1" s="18" t="s">
        <v>1153</v>
      </c>
      <c r="AC1" s="18" t="s">
        <v>1060</v>
      </c>
      <c r="AD1" s="18" t="s">
        <v>1061</v>
      </c>
      <c r="AE1" s="18" t="s">
        <v>1062</v>
      </c>
    </row>
    <row r="2" spans="1:31" x14ac:dyDescent="0.2">
      <c r="A2" s="18">
        <v>1</v>
      </c>
      <c r="B2" s="18">
        <v>1</v>
      </c>
      <c r="C2" s="18">
        <v>1</v>
      </c>
      <c r="D2" s="18">
        <v>453</v>
      </c>
      <c r="E2" s="18" t="s">
        <v>260</v>
      </c>
      <c r="F2" s="18" t="s">
        <v>262</v>
      </c>
      <c r="G2" s="18">
        <v>5600</v>
      </c>
      <c r="H2" s="18">
        <v>0</v>
      </c>
      <c r="I2" s="18">
        <v>6.64</v>
      </c>
      <c r="J2" s="18">
        <v>38.86</v>
      </c>
      <c r="K2" s="18">
        <v>0</v>
      </c>
      <c r="L2" s="18">
        <v>60.39</v>
      </c>
      <c r="M2" s="18">
        <v>0.45</v>
      </c>
      <c r="N2" s="18">
        <v>0.3</v>
      </c>
      <c r="O2" s="18">
        <v>0</v>
      </c>
      <c r="P2" s="18">
        <v>0</v>
      </c>
      <c r="Q2" s="18">
        <v>1</v>
      </c>
      <c r="R2" s="18">
        <v>0</v>
      </c>
      <c r="S2" s="18">
        <v>0</v>
      </c>
      <c r="T2" s="18">
        <v>0</v>
      </c>
      <c r="U2" s="18">
        <v>16</v>
      </c>
      <c r="V2" s="18">
        <v>854.78</v>
      </c>
      <c r="W2" s="18">
        <v>0.5</v>
      </c>
      <c r="X2" s="18">
        <v>8</v>
      </c>
      <c r="Y2" s="18">
        <v>427.39</v>
      </c>
      <c r="Z2" s="18">
        <v>1.2</v>
      </c>
      <c r="AA2" s="18">
        <v>427.39</v>
      </c>
      <c r="AB2" s="18">
        <v>118.72</v>
      </c>
      <c r="AC2" s="18">
        <v>43660.844534772797</v>
      </c>
      <c r="AD2" s="18">
        <v>42839844.743601248</v>
      </c>
      <c r="AE2" s="18" t="s">
        <v>1068</v>
      </c>
    </row>
    <row r="3" spans="1:31" x14ac:dyDescent="0.2">
      <c r="A3" s="18">
        <v>2</v>
      </c>
      <c r="B3" s="18">
        <v>2</v>
      </c>
      <c r="C3" s="18">
        <v>2</v>
      </c>
      <c r="D3" s="18">
        <v>370</v>
      </c>
      <c r="E3" s="18" t="s">
        <v>74</v>
      </c>
      <c r="F3" s="18" t="s">
        <v>76</v>
      </c>
      <c r="G3" s="18">
        <v>5600</v>
      </c>
      <c r="H3" s="18">
        <v>0</v>
      </c>
      <c r="I3" s="18">
        <v>201.51</v>
      </c>
      <c r="J3" s="18">
        <v>68.069999999999993</v>
      </c>
      <c r="K3" s="18">
        <v>0.16</v>
      </c>
      <c r="L3" s="18">
        <v>30.29</v>
      </c>
      <c r="M3" s="18">
        <v>1.1499999999999999</v>
      </c>
      <c r="N3" s="18">
        <v>0.34</v>
      </c>
      <c r="O3" s="18">
        <v>0</v>
      </c>
      <c r="P3" s="18">
        <v>0</v>
      </c>
      <c r="Q3" s="18">
        <v>1</v>
      </c>
      <c r="R3" s="18">
        <v>0</v>
      </c>
      <c r="S3" s="18">
        <v>0</v>
      </c>
      <c r="T3" s="18">
        <v>0</v>
      </c>
      <c r="U3" s="18">
        <v>318</v>
      </c>
      <c r="V3" s="18">
        <v>20322.490000000002</v>
      </c>
      <c r="W3" s="18">
        <v>0.5</v>
      </c>
      <c r="X3" s="18">
        <v>159</v>
      </c>
      <c r="Y3" s="18">
        <v>10161.24</v>
      </c>
      <c r="Z3" s="18">
        <v>0.79</v>
      </c>
      <c r="AA3" s="18">
        <v>10161.24</v>
      </c>
      <c r="AB3" s="18">
        <v>2822.57</v>
      </c>
      <c r="AC3" s="18">
        <v>88620.436033623904</v>
      </c>
      <c r="AD3" s="18">
        <v>299682200.30513161</v>
      </c>
      <c r="AE3" s="18" t="s">
        <v>1065</v>
      </c>
    </row>
    <row r="4" spans="1:31" x14ac:dyDescent="0.2">
      <c r="A4" s="18">
        <v>3</v>
      </c>
      <c r="B4" s="18">
        <v>3</v>
      </c>
      <c r="C4" s="18">
        <v>3</v>
      </c>
      <c r="D4" s="18">
        <v>442</v>
      </c>
      <c r="E4" s="18" t="s">
        <v>227</v>
      </c>
      <c r="F4" s="18" t="s">
        <v>229</v>
      </c>
      <c r="G4" s="18">
        <v>5600</v>
      </c>
      <c r="H4" s="18">
        <v>0</v>
      </c>
      <c r="I4" s="18">
        <v>113.16</v>
      </c>
      <c r="J4" s="18">
        <v>16.649999999999999</v>
      </c>
      <c r="K4" s="18">
        <v>0.13</v>
      </c>
      <c r="L4" s="18">
        <v>82.08</v>
      </c>
      <c r="M4" s="18">
        <v>1.06</v>
      </c>
      <c r="N4" s="18">
        <v>0.08</v>
      </c>
      <c r="O4" s="18">
        <v>0</v>
      </c>
      <c r="P4" s="18">
        <v>0</v>
      </c>
      <c r="Q4" s="18">
        <v>1</v>
      </c>
      <c r="R4" s="18">
        <v>0</v>
      </c>
      <c r="S4" s="18">
        <v>0</v>
      </c>
      <c r="T4" s="18">
        <v>0</v>
      </c>
      <c r="U4" s="18">
        <v>133</v>
      </c>
      <c r="V4" s="18">
        <v>7105.39</v>
      </c>
      <c r="W4" s="18">
        <v>0.5</v>
      </c>
      <c r="X4" s="18">
        <v>67</v>
      </c>
      <c r="Y4" s="18">
        <v>3552.7</v>
      </c>
      <c r="Z4" s="18">
        <v>0.59</v>
      </c>
      <c r="AA4" s="18">
        <v>3552.7</v>
      </c>
      <c r="AB4" s="18">
        <v>986.86</v>
      </c>
      <c r="AC4" s="18">
        <v>49206.011235930047</v>
      </c>
      <c r="AD4" s="18">
        <v>84390339.255696252</v>
      </c>
      <c r="AE4" s="18" t="s">
        <v>1073</v>
      </c>
    </row>
    <row r="5" spans="1:31" x14ac:dyDescent="0.2">
      <c r="A5" s="18">
        <v>4</v>
      </c>
      <c r="B5" s="18">
        <v>4</v>
      </c>
      <c r="C5" s="18">
        <v>4</v>
      </c>
      <c r="D5" s="18">
        <v>523</v>
      </c>
      <c r="E5" s="18" t="s">
        <v>491</v>
      </c>
      <c r="F5" s="18" t="s">
        <v>493</v>
      </c>
      <c r="G5" s="18">
        <v>5600</v>
      </c>
      <c r="H5" s="18">
        <v>0</v>
      </c>
      <c r="I5" s="18">
        <v>0.1</v>
      </c>
      <c r="J5" s="18">
        <v>30</v>
      </c>
      <c r="K5" s="18">
        <v>40</v>
      </c>
      <c r="L5" s="18">
        <v>30</v>
      </c>
      <c r="M5" s="18">
        <v>0</v>
      </c>
      <c r="N5" s="18">
        <v>0</v>
      </c>
      <c r="O5" s="18">
        <v>0</v>
      </c>
      <c r="P5" s="18">
        <v>0</v>
      </c>
      <c r="Q5" s="18">
        <v>1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0.5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15789.77520084706</v>
      </c>
      <c r="AD5" s="18">
        <v>10110377.66900936</v>
      </c>
      <c r="AE5" s="18" t="s">
        <v>1077</v>
      </c>
    </row>
    <row r="6" spans="1:31" x14ac:dyDescent="0.2">
      <c r="A6" s="18">
        <v>5</v>
      </c>
      <c r="B6" s="18">
        <v>5</v>
      </c>
      <c r="C6" s="18">
        <v>5</v>
      </c>
      <c r="D6" s="18">
        <v>682</v>
      </c>
      <c r="E6" s="18" t="s">
        <v>926</v>
      </c>
      <c r="F6" s="18" t="s">
        <v>928</v>
      </c>
      <c r="G6" s="18">
        <v>5600</v>
      </c>
      <c r="H6" s="18">
        <v>0</v>
      </c>
      <c r="I6" s="18">
        <v>70.819999999999993</v>
      </c>
      <c r="J6" s="18">
        <v>63.32</v>
      </c>
      <c r="K6" s="18">
        <v>0.28000000000000003</v>
      </c>
      <c r="L6" s="18">
        <v>34.17</v>
      </c>
      <c r="M6" s="18">
        <v>1.37</v>
      </c>
      <c r="N6" s="18">
        <v>0.86</v>
      </c>
      <c r="O6" s="18">
        <v>0</v>
      </c>
      <c r="P6" s="18">
        <v>0</v>
      </c>
      <c r="Q6" s="18">
        <v>1</v>
      </c>
      <c r="R6" s="18">
        <v>0</v>
      </c>
      <c r="S6" s="18">
        <v>0</v>
      </c>
      <c r="T6" s="18">
        <v>0</v>
      </c>
      <c r="U6" s="18">
        <v>209</v>
      </c>
      <c r="V6" s="18">
        <v>11165.62</v>
      </c>
      <c r="W6" s="18">
        <v>0.5</v>
      </c>
      <c r="X6" s="18">
        <v>105</v>
      </c>
      <c r="Y6" s="18">
        <v>5582.81</v>
      </c>
      <c r="Z6" s="18">
        <v>1.48</v>
      </c>
      <c r="AA6" s="18">
        <v>5582.81</v>
      </c>
      <c r="AB6" s="18">
        <v>1550.78</v>
      </c>
      <c r="AC6" s="18">
        <v>106793.8119378541</v>
      </c>
      <c r="AD6" s="18">
        <v>286412619.00643623</v>
      </c>
      <c r="AE6" s="18" t="s">
        <v>1070</v>
      </c>
    </row>
    <row r="7" spans="1:31" x14ac:dyDescent="0.2">
      <c r="A7" s="18">
        <v>6</v>
      </c>
      <c r="B7" s="18">
        <v>6</v>
      </c>
      <c r="C7" s="18">
        <v>6</v>
      </c>
      <c r="D7" s="18">
        <v>683</v>
      </c>
      <c r="E7" s="18" t="s">
        <v>929</v>
      </c>
      <c r="F7" s="18" t="s">
        <v>931</v>
      </c>
      <c r="G7" s="18">
        <v>5600</v>
      </c>
      <c r="H7" s="18">
        <v>0</v>
      </c>
      <c r="I7" s="18">
        <v>18.12</v>
      </c>
      <c r="J7" s="18">
        <v>74.67</v>
      </c>
      <c r="K7" s="18">
        <v>4.97</v>
      </c>
      <c r="L7" s="18">
        <v>15.89</v>
      </c>
      <c r="M7" s="18">
        <v>4.25</v>
      </c>
      <c r="N7" s="18">
        <v>0.22</v>
      </c>
      <c r="O7" s="18">
        <v>0</v>
      </c>
      <c r="P7" s="18">
        <v>0</v>
      </c>
      <c r="Q7" s="18">
        <v>1</v>
      </c>
      <c r="R7" s="18">
        <v>0</v>
      </c>
      <c r="S7" s="18">
        <v>0</v>
      </c>
      <c r="T7" s="18">
        <v>0</v>
      </c>
      <c r="U7" s="18">
        <v>40</v>
      </c>
      <c r="V7" s="18">
        <v>2136.96</v>
      </c>
      <c r="W7" s="18">
        <v>0.5</v>
      </c>
      <c r="X7" s="18">
        <v>20</v>
      </c>
      <c r="Y7" s="18">
        <v>1068.48</v>
      </c>
      <c r="Z7" s="18">
        <v>1.1000000000000001</v>
      </c>
      <c r="AA7" s="18">
        <v>1068.48</v>
      </c>
      <c r="AB7" s="18">
        <v>296.8</v>
      </c>
      <c r="AC7" s="18">
        <v>50070.663266892057</v>
      </c>
      <c r="AD7" s="18">
        <v>80620955.201545835</v>
      </c>
      <c r="AE7" s="18" t="s">
        <v>1083</v>
      </c>
    </row>
    <row r="8" spans="1:31" x14ac:dyDescent="0.2">
      <c r="A8" s="18">
        <v>7</v>
      </c>
      <c r="B8" s="18">
        <v>7</v>
      </c>
      <c r="C8" s="18">
        <v>7</v>
      </c>
      <c r="D8" s="18">
        <v>384</v>
      </c>
      <c r="E8" s="18" t="s">
        <v>137</v>
      </c>
      <c r="F8" s="18" t="s">
        <v>139</v>
      </c>
      <c r="G8" s="18">
        <v>5600</v>
      </c>
      <c r="H8" s="18">
        <v>91.1</v>
      </c>
      <c r="I8" s="18">
        <v>5.3</v>
      </c>
      <c r="J8" s="18">
        <v>47.36</v>
      </c>
      <c r="K8" s="18">
        <v>0</v>
      </c>
      <c r="L8" s="18">
        <v>51.7</v>
      </c>
      <c r="M8" s="18">
        <v>0.56999999999999995</v>
      </c>
      <c r="N8" s="18">
        <v>0.38</v>
      </c>
      <c r="O8" s="18">
        <v>258</v>
      </c>
      <c r="P8" s="18">
        <v>21949.4</v>
      </c>
      <c r="Q8" s="18">
        <v>1</v>
      </c>
      <c r="R8" s="18">
        <v>258</v>
      </c>
      <c r="S8" s="18">
        <v>21949.4</v>
      </c>
      <c r="T8" s="18">
        <v>2.83</v>
      </c>
      <c r="U8" s="18">
        <v>10</v>
      </c>
      <c r="V8" s="18">
        <v>705.6</v>
      </c>
      <c r="W8" s="18">
        <v>0.5</v>
      </c>
      <c r="X8" s="18">
        <v>5</v>
      </c>
      <c r="Y8" s="18">
        <v>352.8</v>
      </c>
      <c r="Z8" s="18">
        <v>0.94</v>
      </c>
      <c r="AA8" s="18">
        <v>22302.2</v>
      </c>
      <c r="AB8" s="18">
        <v>6195.06</v>
      </c>
      <c r="AC8" s="18">
        <v>14638.34989350754</v>
      </c>
      <c r="AD8" s="18">
        <v>11971770.758283541</v>
      </c>
      <c r="AE8" s="18" t="s">
        <v>1093</v>
      </c>
    </row>
    <row r="9" spans="1:31" x14ac:dyDescent="0.2">
      <c r="A9" s="18">
        <v>8</v>
      </c>
      <c r="B9" s="18">
        <v>8</v>
      </c>
      <c r="C9" s="18">
        <v>8</v>
      </c>
      <c r="D9" s="18">
        <v>697</v>
      </c>
      <c r="E9" s="18" t="s">
        <v>980</v>
      </c>
      <c r="F9" s="18" t="s">
        <v>982</v>
      </c>
      <c r="G9" s="18">
        <v>5600</v>
      </c>
      <c r="H9" s="18">
        <v>156.43</v>
      </c>
      <c r="I9" s="18">
        <v>338.88</v>
      </c>
      <c r="J9" s="18">
        <v>80.75</v>
      </c>
      <c r="K9" s="18">
        <v>0.01</v>
      </c>
      <c r="L9" s="18">
        <v>11.06</v>
      </c>
      <c r="M9" s="18">
        <v>7.79</v>
      </c>
      <c r="N9" s="18">
        <v>0.39</v>
      </c>
      <c r="O9" s="18">
        <v>437</v>
      </c>
      <c r="P9" s="18">
        <v>37177.86</v>
      </c>
      <c r="Q9" s="18">
        <v>1</v>
      </c>
      <c r="R9" s="18">
        <v>437</v>
      </c>
      <c r="S9" s="18">
        <v>37177.86</v>
      </c>
      <c r="T9" s="18">
        <v>2.79</v>
      </c>
      <c r="U9" s="18">
        <v>517</v>
      </c>
      <c r="V9" s="18">
        <v>36479.519999999997</v>
      </c>
      <c r="W9" s="18">
        <v>0.5</v>
      </c>
      <c r="X9" s="18">
        <v>259</v>
      </c>
      <c r="Y9" s="18">
        <v>18239.759999999998</v>
      </c>
      <c r="Z9" s="18">
        <v>0.76</v>
      </c>
      <c r="AA9" s="18">
        <v>55417.62</v>
      </c>
      <c r="AB9" s="18">
        <v>15393.8</v>
      </c>
      <c r="AC9" s="18">
        <v>128733.3777401204</v>
      </c>
      <c r="AD9" s="18">
        <v>417980324.41950309</v>
      </c>
      <c r="AE9" s="18" t="s">
        <v>1064</v>
      </c>
    </row>
    <row r="10" spans="1:31" x14ac:dyDescent="0.2">
      <c r="A10" s="18">
        <v>9</v>
      </c>
      <c r="B10" s="18">
        <v>9</v>
      </c>
      <c r="C10" s="18">
        <v>9</v>
      </c>
      <c r="D10" s="18">
        <v>357</v>
      </c>
      <c r="E10" s="18" t="s">
        <v>1099</v>
      </c>
      <c r="F10" s="18" t="s">
        <v>1100</v>
      </c>
      <c r="G10" s="18">
        <v>5600</v>
      </c>
      <c r="H10" s="18">
        <v>75.069999999999993</v>
      </c>
      <c r="I10" s="18">
        <v>77.3</v>
      </c>
      <c r="J10" s="18">
        <v>85.01</v>
      </c>
      <c r="K10" s="18">
        <v>0.54</v>
      </c>
      <c r="L10" s="18">
        <v>12.01</v>
      </c>
      <c r="M10" s="18">
        <v>1.68</v>
      </c>
      <c r="N10" s="18">
        <v>0.76</v>
      </c>
      <c r="O10" s="18">
        <v>220</v>
      </c>
      <c r="P10" s="18">
        <v>18716.54</v>
      </c>
      <c r="Q10" s="18">
        <v>1</v>
      </c>
      <c r="R10" s="18">
        <v>220</v>
      </c>
      <c r="S10" s="18">
        <v>18716.54</v>
      </c>
      <c r="T10" s="18">
        <v>2.93</v>
      </c>
      <c r="U10" s="18">
        <v>141</v>
      </c>
      <c r="V10" s="18">
        <v>9948.9599999999991</v>
      </c>
      <c r="W10" s="18">
        <v>0.5</v>
      </c>
      <c r="X10" s="18">
        <v>71</v>
      </c>
      <c r="Y10" s="18">
        <v>4974.4799999999996</v>
      </c>
      <c r="Z10" s="18">
        <v>0.92</v>
      </c>
      <c r="AA10" s="18">
        <v>23691.02</v>
      </c>
      <c r="AB10" s="18">
        <v>6580.84</v>
      </c>
      <c r="AC10" s="18">
        <v>87605.266914462205</v>
      </c>
      <c r="AD10" s="18">
        <v>135671147.93704399</v>
      </c>
      <c r="AE10" s="18" t="s">
        <v>1086</v>
      </c>
    </row>
    <row r="11" spans="1:31" x14ac:dyDescent="0.2">
      <c r="A11" s="18">
        <v>10</v>
      </c>
      <c r="B11" s="18">
        <v>10</v>
      </c>
      <c r="C11" s="18">
        <v>10</v>
      </c>
      <c r="D11" s="18">
        <v>358</v>
      </c>
      <c r="E11" s="18" t="s">
        <v>19</v>
      </c>
      <c r="F11" s="18" t="s">
        <v>21</v>
      </c>
      <c r="G11" s="18">
        <v>5600</v>
      </c>
      <c r="H11" s="18">
        <v>1.1200000000000001</v>
      </c>
      <c r="I11" s="18">
        <v>53.78</v>
      </c>
      <c r="J11" s="18">
        <v>78.28</v>
      </c>
      <c r="K11" s="18">
        <v>0.22</v>
      </c>
      <c r="L11" s="18">
        <v>14.63</v>
      </c>
      <c r="M11" s="18">
        <v>3.07</v>
      </c>
      <c r="N11" s="18">
        <v>3.79</v>
      </c>
      <c r="O11" s="18">
        <v>2</v>
      </c>
      <c r="P11" s="18">
        <v>170.15</v>
      </c>
      <c r="Q11" s="18">
        <v>1</v>
      </c>
      <c r="R11" s="18">
        <v>2</v>
      </c>
      <c r="S11" s="18">
        <v>170.15</v>
      </c>
      <c r="T11" s="18">
        <v>1.79</v>
      </c>
      <c r="U11" s="18">
        <v>120</v>
      </c>
      <c r="V11" s="18">
        <v>8021.46</v>
      </c>
      <c r="W11" s="18">
        <v>0.5</v>
      </c>
      <c r="X11" s="18">
        <v>60</v>
      </c>
      <c r="Y11" s="18">
        <v>4010.73</v>
      </c>
      <c r="Z11" s="18">
        <v>1.1200000000000001</v>
      </c>
      <c r="AA11" s="18">
        <v>4180.88</v>
      </c>
      <c r="AB11" s="18">
        <v>1161.3599999999999</v>
      </c>
      <c r="AC11" s="18">
        <v>98196.652998115504</v>
      </c>
      <c r="AD11" s="18">
        <v>197856384.83971989</v>
      </c>
      <c r="AE11" s="18" t="s">
        <v>1086</v>
      </c>
    </row>
    <row r="12" spans="1:31" x14ac:dyDescent="0.2">
      <c r="A12" s="18">
        <v>11</v>
      </c>
      <c r="B12" s="18">
        <v>11</v>
      </c>
      <c r="C12" s="18">
        <v>11</v>
      </c>
      <c r="D12" s="18">
        <v>707</v>
      </c>
      <c r="E12" s="18" t="s">
        <v>1019</v>
      </c>
      <c r="F12" s="18" t="s">
        <v>1021</v>
      </c>
      <c r="G12" s="18">
        <v>5600</v>
      </c>
      <c r="H12" s="18">
        <v>93.5</v>
      </c>
      <c r="I12" s="18">
        <v>421.02</v>
      </c>
      <c r="J12" s="18">
        <v>79.59</v>
      </c>
      <c r="K12" s="18">
        <v>0.68</v>
      </c>
      <c r="L12" s="18">
        <v>18.649999999999999</v>
      </c>
      <c r="M12" s="18">
        <v>0.71</v>
      </c>
      <c r="N12" s="18">
        <v>0.36</v>
      </c>
      <c r="O12" s="18">
        <v>286</v>
      </c>
      <c r="P12" s="18">
        <v>24331.51</v>
      </c>
      <c r="Q12" s="18">
        <v>1</v>
      </c>
      <c r="R12" s="18">
        <v>286</v>
      </c>
      <c r="S12" s="18">
        <v>24331.51</v>
      </c>
      <c r="T12" s="18">
        <v>3.06</v>
      </c>
      <c r="U12" s="18">
        <v>672</v>
      </c>
      <c r="V12" s="18">
        <v>51191.28</v>
      </c>
      <c r="W12" s="18">
        <v>0.5</v>
      </c>
      <c r="X12" s="18">
        <v>336</v>
      </c>
      <c r="Y12" s="18">
        <v>25595.64</v>
      </c>
      <c r="Z12" s="18">
        <v>0.8</v>
      </c>
      <c r="AA12" s="18">
        <v>49927.15</v>
      </c>
      <c r="AB12" s="18">
        <v>13868.66</v>
      </c>
      <c r="AC12" s="18">
        <v>197812.59682750449</v>
      </c>
      <c r="AD12" s="18">
        <v>479619085.20062172</v>
      </c>
      <c r="AE12" s="18" t="s">
        <v>1086</v>
      </c>
    </row>
    <row r="13" spans="1:31" x14ac:dyDescent="0.2">
      <c r="A13" s="18">
        <v>12</v>
      </c>
      <c r="B13" s="18">
        <v>12</v>
      </c>
      <c r="C13" s="18">
        <v>12</v>
      </c>
      <c r="D13" s="18">
        <v>690</v>
      </c>
      <c r="E13" s="18" t="s">
        <v>950</v>
      </c>
      <c r="F13" s="18" t="s">
        <v>1088</v>
      </c>
      <c r="G13" s="18">
        <v>5600</v>
      </c>
      <c r="H13" s="18">
        <v>315.26</v>
      </c>
      <c r="I13" s="18">
        <v>383.57</v>
      </c>
      <c r="J13" s="18">
        <v>88.18</v>
      </c>
      <c r="K13" s="18">
        <v>0.02</v>
      </c>
      <c r="L13" s="18">
        <v>6.19</v>
      </c>
      <c r="M13" s="18">
        <v>5.61</v>
      </c>
      <c r="N13" s="18">
        <v>0</v>
      </c>
      <c r="O13" s="18">
        <v>919</v>
      </c>
      <c r="P13" s="18">
        <v>78184.11</v>
      </c>
      <c r="Q13" s="18">
        <v>1</v>
      </c>
      <c r="R13" s="18">
        <v>919</v>
      </c>
      <c r="S13" s="18">
        <v>78184.11</v>
      </c>
      <c r="T13" s="18">
        <v>2.92</v>
      </c>
      <c r="U13" s="18">
        <v>676</v>
      </c>
      <c r="V13" s="18">
        <v>52468.42</v>
      </c>
      <c r="W13" s="18">
        <v>0.5</v>
      </c>
      <c r="X13" s="18">
        <v>338</v>
      </c>
      <c r="Y13" s="18">
        <v>26234.21</v>
      </c>
      <c r="Z13" s="18">
        <v>0.88</v>
      </c>
      <c r="AA13" s="18">
        <v>104418.32</v>
      </c>
      <c r="AB13" s="18">
        <v>29005.11</v>
      </c>
      <c r="AC13" s="18">
        <v>191138.9476645058</v>
      </c>
      <c r="AD13" s="18">
        <v>574981177.67961395</v>
      </c>
      <c r="AE13" s="18" t="s">
        <v>1064</v>
      </c>
    </row>
    <row r="14" spans="1:31" x14ac:dyDescent="0.2">
      <c r="A14" s="18">
        <v>13</v>
      </c>
      <c r="B14" s="18">
        <v>13</v>
      </c>
      <c r="C14" s="18">
        <v>13</v>
      </c>
      <c r="D14" s="18">
        <v>691</v>
      </c>
      <c r="E14" s="18" t="s">
        <v>953</v>
      </c>
      <c r="F14" s="18" t="s">
        <v>955</v>
      </c>
      <c r="G14" s="18">
        <v>5600</v>
      </c>
      <c r="H14" s="18">
        <v>0.89</v>
      </c>
      <c r="I14" s="18">
        <v>74.98</v>
      </c>
      <c r="J14" s="18">
        <v>94.32</v>
      </c>
      <c r="K14" s="18">
        <v>0</v>
      </c>
      <c r="L14" s="18">
        <v>0.67</v>
      </c>
      <c r="M14" s="18">
        <v>4.1500000000000004</v>
      </c>
      <c r="N14" s="18">
        <v>0.87</v>
      </c>
      <c r="O14" s="18">
        <v>5</v>
      </c>
      <c r="P14" s="18">
        <v>425.38</v>
      </c>
      <c r="Q14" s="18">
        <v>1</v>
      </c>
      <c r="R14" s="18">
        <v>5</v>
      </c>
      <c r="S14" s="18">
        <v>425.38</v>
      </c>
      <c r="T14" s="18">
        <v>5.62</v>
      </c>
      <c r="U14" s="18">
        <v>120</v>
      </c>
      <c r="V14" s="18">
        <v>7668.86</v>
      </c>
      <c r="W14" s="18">
        <v>0.5</v>
      </c>
      <c r="X14" s="18">
        <v>60</v>
      </c>
      <c r="Y14" s="18">
        <v>3834.43</v>
      </c>
      <c r="Z14" s="18">
        <v>0.8</v>
      </c>
      <c r="AA14" s="18">
        <v>4259.8100000000004</v>
      </c>
      <c r="AB14" s="18">
        <v>1183.28</v>
      </c>
      <c r="AC14" s="18">
        <v>50473.720252642554</v>
      </c>
      <c r="AD14" s="18">
        <v>88613486.295514256</v>
      </c>
      <c r="AE14" s="18" t="s">
        <v>1087</v>
      </c>
    </row>
    <row r="15" spans="1:31" x14ac:dyDescent="0.2">
      <c r="A15" s="18">
        <v>14</v>
      </c>
      <c r="B15" s="18">
        <v>14</v>
      </c>
      <c r="C15" s="18">
        <v>14</v>
      </c>
      <c r="D15" s="18">
        <v>474</v>
      </c>
      <c r="E15" s="18" t="s">
        <v>332</v>
      </c>
      <c r="F15" s="18" t="s">
        <v>334</v>
      </c>
      <c r="G15" s="18">
        <v>5600</v>
      </c>
      <c r="H15" s="18">
        <v>0</v>
      </c>
      <c r="I15" s="18">
        <v>54.3</v>
      </c>
      <c r="J15" s="18">
        <v>90.87</v>
      </c>
      <c r="K15" s="18">
        <v>0.11</v>
      </c>
      <c r="L15" s="18">
        <v>2.34</v>
      </c>
      <c r="M15" s="18">
        <v>6.59</v>
      </c>
      <c r="N15" s="18">
        <v>0.09</v>
      </c>
      <c r="O15" s="18">
        <v>0</v>
      </c>
      <c r="P15" s="18">
        <v>0</v>
      </c>
      <c r="Q15" s="18">
        <v>1</v>
      </c>
      <c r="R15" s="18">
        <v>0</v>
      </c>
      <c r="S15" s="18">
        <v>0</v>
      </c>
      <c r="T15" s="18">
        <v>0</v>
      </c>
      <c r="U15" s="18">
        <v>122</v>
      </c>
      <c r="V15" s="18">
        <v>8608.32</v>
      </c>
      <c r="W15" s="18">
        <v>0.5</v>
      </c>
      <c r="X15" s="18">
        <v>61</v>
      </c>
      <c r="Y15" s="18">
        <v>4304.16</v>
      </c>
      <c r="Z15" s="18">
        <v>1.1200000000000001</v>
      </c>
      <c r="AA15" s="18">
        <v>4304.16</v>
      </c>
      <c r="AB15" s="18">
        <v>1195.5999999999999</v>
      </c>
      <c r="AC15" s="18">
        <v>68265.369943115045</v>
      </c>
      <c r="AD15" s="18">
        <v>117410717.1818202</v>
      </c>
      <c r="AE15" s="18" t="s">
        <v>1075</v>
      </c>
    </row>
    <row r="16" spans="1:31" x14ac:dyDescent="0.2">
      <c r="A16" s="18">
        <v>15</v>
      </c>
      <c r="B16" s="18">
        <v>15</v>
      </c>
      <c r="C16" s="18">
        <v>15</v>
      </c>
      <c r="D16" s="18">
        <v>489</v>
      </c>
      <c r="E16" s="18" t="s">
        <v>380</v>
      </c>
      <c r="F16" s="18" t="s">
        <v>382</v>
      </c>
      <c r="G16" s="18">
        <v>5600</v>
      </c>
      <c r="H16" s="18">
        <v>0</v>
      </c>
      <c r="I16" s="18">
        <v>0.46</v>
      </c>
      <c r="J16" s="18">
        <v>19.57</v>
      </c>
      <c r="K16" s="18">
        <v>15.22</v>
      </c>
      <c r="L16" s="18">
        <v>45.65</v>
      </c>
      <c r="M16" s="18">
        <v>10.87</v>
      </c>
      <c r="N16" s="18">
        <v>8.6999999999999993</v>
      </c>
      <c r="O16" s="18">
        <v>0</v>
      </c>
      <c r="P16" s="18">
        <v>0</v>
      </c>
      <c r="Q16" s="18">
        <v>1</v>
      </c>
      <c r="R16" s="18">
        <v>0</v>
      </c>
      <c r="S16" s="18">
        <v>0</v>
      </c>
      <c r="T16" s="18">
        <v>0</v>
      </c>
      <c r="U16" s="18">
        <v>3</v>
      </c>
      <c r="V16" s="18">
        <v>232.85</v>
      </c>
      <c r="W16" s="18">
        <v>0.5</v>
      </c>
      <c r="X16" s="18">
        <v>2</v>
      </c>
      <c r="Y16" s="18">
        <v>116.42</v>
      </c>
      <c r="Z16" s="18">
        <v>4.3499999999999996</v>
      </c>
      <c r="AA16" s="18">
        <v>116.42</v>
      </c>
      <c r="AB16" s="18">
        <v>32.340000000000003</v>
      </c>
      <c r="AC16" s="18">
        <v>34549.519225840297</v>
      </c>
      <c r="AD16" s="18">
        <v>48022274.783102691</v>
      </c>
      <c r="AE16" s="18" t="s">
        <v>1075</v>
      </c>
    </row>
    <row r="17" spans="1:31" x14ac:dyDescent="0.2">
      <c r="A17" s="18">
        <v>16</v>
      </c>
      <c r="B17" s="18">
        <v>16</v>
      </c>
      <c r="C17" s="18">
        <v>16</v>
      </c>
      <c r="D17" s="18">
        <v>484</v>
      </c>
      <c r="E17" s="18" t="s">
        <v>368</v>
      </c>
      <c r="F17" s="18" t="s">
        <v>370</v>
      </c>
      <c r="G17" s="18">
        <v>5600</v>
      </c>
      <c r="H17" s="18">
        <v>0</v>
      </c>
      <c r="I17" s="18">
        <v>5.86</v>
      </c>
      <c r="J17" s="18">
        <v>97.27</v>
      </c>
      <c r="K17" s="18">
        <v>0</v>
      </c>
      <c r="L17" s="18">
        <v>1.54</v>
      </c>
      <c r="M17" s="18">
        <v>0.17</v>
      </c>
      <c r="N17" s="18">
        <v>1.02</v>
      </c>
      <c r="O17" s="18">
        <v>0</v>
      </c>
      <c r="P17" s="18">
        <v>0</v>
      </c>
      <c r="Q17" s="18">
        <v>1</v>
      </c>
      <c r="R17" s="18">
        <v>0</v>
      </c>
      <c r="S17" s="18">
        <v>0</v>
      </c>
      <c r="T17" s="18">
        <v>0</v>
      </c>
      <c r="U17" s="18">
        <v>20</v>
      </c>
      <c r="V17" s="18">
        <v>1278.1400000000001</v>
      </c>
      <c r="W17" s="18">
        <v>0.5</v>
      </c>
      <c r="X17" s="18">
        <v>10</v>
      </c>
      <c r="Y17" s="18">
        <v>639.07000000000005</v>
      </c>
      <c r="Z17" s="18">
        <v>1.71</v>
      </c>
      <c r="AA17" s="18">
        <v>639.07000000000005</v>
      </c>
      <c r="AB17" s="18">
        <v>177.52</v>
      </c>
      <c r="AC17" s="18">
        <v>72617.124931075552</v>
      </c>
      <c r="AD17" s="18">
        <v>206211448.44462711</v>
      </c>
      <c r="AE17" s="18" t="s">
        <v>1076</v>
      </c>
    </row>
    <row r="18" spans="1:31" x14ac:dyDescent="0.2">
      <c r="A18" s="18">
        <v>17</v>
      </c>
      <c r="B18" s="18">
        <v>17</v>
      </c>
      <c r="C18" s="18">
        <v>17</v>
      </c>
      <c r="D18" s="18">
        <v>501</v>
      </c>
      <c r="E18" s="18" t="s">
        <v>407</v>
      </c>
      <c r="F18" s="18" t="s">
        <v>409</v>
      </c>
      <c r="G18" s="18">
        <v>5600</v>
      </c>
      <c r="H18" s="18">
        <v>0</v>
      </c>
      <c r="I18" s="18">
        <v>20.73</v>
      </c>
      <c r="J18" s="18">
        <v>96.82</v>
      </c>
      <c r="K18" s="18">
        <v>0</v>
      </c>
      <c r="L18" s="18">
        <v>0</v>
      </c>
      <c r="M18" s="18">
        <v>3.18</v>
      </c>
      <c r="N18" s="18">
        <v>0</v>
      </c>
      <c r="O18" s="18">
        <v>0</v>
      </c>
      <c r="P18" s="18">
        <v>0</v>
      </c>
      <c r="Q18" s="18">
        <v>1</v>
      </c>
      <c r="R18" s="18">
        <v>0</v>
      </c>
      <c r="S18" s="18">
        <v>0</v>
      </c>
      <c r="T18" s="18">
        <v>0</v>
      </c>
      <c r="U18" s="18">
        <v>31</v>
      </c>
      <c r="V18" s="18">
        <v>1981.12</v>
      </c>
      <c r="W18" s="18">
        <v>0.5</v>
      </c>
      <c r="X18" s="18">
        <v>16</v>
      </c>
      <c r="Y18" s="18">
        <v>990.56</v>
      </c>
      <c r="Z18" s="18">
        <v>0.77</v>
      </c>
      <c r="AA18" s="18">
        <v>990.56</v>
      </c>
      <c r="AB18" s="18">
        <v>275.16000000000003</v>
      </c>
      <c r="AC18" s="18">
        <v>32626.008935724822</v>
      </c>
      <c r="AD18" s="18">
        <v>25808749.644479439</v>
      </c>
      <c r="AE18" s="18" t="s">
        <v>1076</v>
      </c>
    </row>
    <row r="19" spans="1:31" x14ac:dyDescent="0.2">
      <c r="A19" s="18">
        <v>18</v>
      </c>
      <c r="B19" s="18">
        <v>18</v>
      </c>
      <c r="C19" s="18">
        <v>18</v>
      </c>
      <c r="D19" s="18">
        <v>610</v>
      </c>
      <c r="E19" s="18" t="s">
        <v>698</v>
      </c>
      <c r="F19" s="18" t="s">
        <v>700</v>
      </c>
      <c r="G19" s="18">
        <v>5600</v>
      </c>
      <c r="H19" s="18">
        <v>0</v>
      </c>
      <c r="I19" s="18">
        <v>7.11</v>
      </c>
      <c r="J19" s="18">
        <v>48.1</v>
      </c>
      <c r="K19" s="18">
        <v>0</v>
      </c>
      <c r="L19" s="18">
        <v>51.34</v>
      </c>
      <c r="M19" s="18">
        <v>0.56000000000000005</v>
      </c>
      <c r="N19" s="18">
        <v>0</v>
      </c>
      <c r="O19" s="18">
        <v>0</v>
      </c>
      <c r="P19" s="18">
        <v>0</v>
      </c>
      <c r="Q19" s="18">
        <v>1</v>
      </c>
      <c r="R19" s="18">
        <v>0</v>
      </c>
      <c r="S19" s="18">
        <v>0</v>
      </c>
      <c r="T19" s="18">
        <v>0</v>
      </c>
      <c r="U19" s="18">
        <v>18</v>
      </c>
      <c r="V19" s="18">
        <v>961.63</v>
      </c>
      <c r="W19" s="18">
        <v>0.5</v>
      </c>
      <c r="X19" s="18">
        <v>9</v>
      </c>
      <c r="Y19" s="18">
        <v>480.82</v>
      </c>
      <c r="Z19" s="18">
        <v>1.27</v>
      </c>
      <c r="AA19" s="18">
        <v>480.82</v>
      </c>
      <c r="AB19" s="18">
        <v>133.56</v>
      </c>
      <c r="AC19" s="18">
        <v>21184.017912194809</v>
      </c>
      <c r="AD19" s="18">
        <v>22708534.697292</v>
      </c>
      <c r="AE19" s="18" t="s">
        <v>1081</v>
      </c>
    </row>
    <row r="20" spans="1:31" x14ac:dyDescent="0.2">
      <c r="A20" s="18">
        <v>19</v>
      </c>
      <c r="B20" s="18">
        <v>19</v>
      </c>
      <c r="C20" s="18">
        <v>19</v>
      </c>
      <c r="D20" s="18">
        <v>613</v>
      </c>
      <c r="E20" s="18" t="s">
        <v>707</v>
      </c>
      <c r="F20" s="18" t="s">
        <v>709</v>
      </c>
      <c r="G20" s="18">
        <v>5600</v>
      </c>
      <c r="H20" s="18">
        <v>0</v>
      </c>
      <c r="I20" s="18">
        <v>70.67</v>
      </c>
      <c r="J20" s="18">
        <v>65.37</v>
      </c>
      <c r="K20" s="18">
        <v>0</v>
      </c>
      <c r="L20" s="18">
        <v>33.42</v>
      </c>
      <c r="M20" s="18">
        <v>1.1599999999999999</v>
      </c>
      <c r="N20" s="18">
        <v>0.04</v>
      </c>
      <c r="O20" s="18">
        <v>0</v>
      </c>
      <c r="P20" s="18">
        <v>0</v>
      </c>
      <c r="Q20" s="18">
        <v>1</v>
      </c>
      <c r="R20" s="18">
        <v>0</v>
      </c>
      <c r="S20" s="18">
        <v>0</v>
      </c>
      <c r="T20" s="18">
        <v>0</v>
      </c>
      <c r="U20" s="18">
        <v>143</v>
      </c>
      <c r="V20" s="18">
        <v>8302.69</v>
      </c>
      <c r="W20" s="18">
        <v>0.5</v>
      </c>
      <c r="X20" s="18">
        <v>72</v>
      </c>
      <c r="Y20" s="18">
        <v>4151.3500000000004</v>
      </c>
      <c r="Z20" s="18">
        <v>1.02</v>
      </c>
      <c r="AA20" s="18">
        <v>4151.3500000000004</v>
      </c>
      <c r="AB20" s="18">
        <v>1153.1500000000001</v>
      </c>
      <c r="AC20" s="18">
        <v>56872.399933710207</v>
      </c>
      <c r="AD20" s="18">
        <v>121175564.1154895</v>
      </c>
      <c r="AE20" s="18" t="s">
        <v>1082</v>
      </c>
    </row>
    <row r="21" spans="1:31" x14ac:dyDescent="0.2">
      <c r="A21" s="18">
        <v>20</v>
      </c>
      <c r="B21" s="18">
        <v>20</v>
      </c>
      <c r="C21" s="18">
        <v>20</v>
      </c>
      <c r="D21" s="18">
        <v>620</v>
      </c>
      <c r="E21" s="18" t="s">
        <v>731</v>
      </c>
      <c r="F21" s="18" t="s">
        <v>733</v>
      </c>
      <c r="G21" s="18">
        <v>5600</v>
      </c>
      <c r="H21" s="18">
        <v>0</v>
      </c>
      <c r="I21" s="18">
        <v>0.59</v>
      </c>
      <c r="J21" s="18">
        <v>72.88</v>
      </c>
      <c r="K21" s="18">
        <v>0</v>
      </c>
      <c r="L21" s="18">
        <v>5.08</v>
      </c>
      <c r="M21" s="18">
        <v>0</v>
      </c>
      <c r="N21" s="18">
        <v>22.03</v>
      </c>
      <c r="O21" s="18">
        <v>0</v>
      </c>
      <c r="P21" s="18">
        <v>0</v>
      </c>
      <c r="Q21" s="18">
        <v>1</v>
      </c>
      <c r="R21" s="18">
        <v>0</v>
      </c>
      <c r="S21" s="18">
        <v>0</v>
      </c>
      <c r="T21" s="18">
        <v>0</v>
      </c>
      <c r="U21" s="18">
        <v>7</v>
      </c>
      <c r="V21" s="18">
        <v>373.97</v>
      </c>
      <c r="W21" s="18">
        <v>0.5</v>
      </c>
      <c r="X21" s="18">
        <v>4</v>
      </c>
      <c r="Y21" s="18">
        <v>186.98</v>
      </c>
      <c r="Z21" s="18">
        <v>6.78</v>
      </c>
      <c r="AA21" s="18">
        <v>186.98</v>
      </c>
      <c r="AB21" s="18">
        <v>51.94</v>
      </c>
      <c r="AC21" s="18">
        <v>43605.926137916853</v>
      </c>
      <c r="AD21" s="18">
        <v>45495221.307883531</v>
      </c>
      <c r="AE21" s="18" t="s">
        <v>1083</v>
      </c>
    </row>
    <row r="22" spans="1:31" x14ac:dyDescent="0.2">
      <c r="A22" s="18">
        <v>21</v>
      </c>
      <c r="B22" s="18">
        <v>21</v>
      </c>
      <c r="C22" s="18">
        <v>21</v>
      </c>
      <c r="D22" s="18">
        <v>632</v>
      </c>
      <c r="E22" s="18" t="s">
        <v>773</v>
      </c>
      <c r="F22" s="18" t="s">
        <v>775</v>
      </c>
      <c r="G22" s="18">
        <v>5600</v>
      </c>
      <c r="H22" s="18">
        <v>0</v>
      </c>
      <c r="I22" s="18">
        <v>11.3</v>
      </c>
      <c r="J22" s="18">
        <v>78.05</v>
      </c>
      <c r="K22" s="18">
        <v>0</v>
      </c>
      <c r="L22" s="18">
        <v>20.88</v>
      </c>
      <c r="M22" s="18">
        <v>0</v>
      </c>
      <c r="N22" s="18">
        <v>1.06</v>
      </c>
      <c r="O22" s="18">
        <v>0</v>
      </c>
      <c r="P22" s="18">
        <v>0</v>
      </c>
      <c r="Q22" s="18">
        <v>1</v>
      </c>
      <c r="R22" s="18">
        <v>0</v>
      </c>
      <c r="S22" s="18">
        <v>0</v>
      </c>
      <c r="T22" s="18">
        <v>0</v>
      </c>
      <c r="U22" s="18">
        <v>19</v>
      </c>
      <c r="V22" s="18">
        <v>1015.06</v>
      </c>
      <c r="W22" s="18">
        <v>0.5</v>
      </c>
      <c r="X22" s="18">
        <v>10</v>
      </c>
      <c r="Y22" s="18">
        <v>507.53</v>
      </c>
      <c r="Z22" s="18">
        <v>0.88</v>
      </c>
      <c r="AA22" s="18">
        <v>507.53</v>
      </c>
      <c r="AB22" s="18">
        <v>140.97999999999999</v>
      </c>
      <c r="AC22" s="18">
        <v>34669.95538073135</v>
      </c>
      <c r="AD22" s="18">
        <v>36905643.899520412</v>
      </c>
      <c r="AE22" s="18" t="s">
        <v>1083</v>
      </c>
    </row>
    <row r="23" spans="1:31" x14ac:dyDescent="0.2">
      <c r="A23" s="18">
        <v>22</v>
      </c>
      <c r="B23" s="18">
        <v>22</v>
      </c>
      <c r="C23" s="18">
        <v>22</v>
      </c>
      <c r="D23" s="18">
        <v>677</v>
      </c>
      <c r="E23" s="18" t="s">
        <v>911</v>
      </c>
      <c r="F23" s="18" t="s">
        <v>913</v>
      </c>
      <c r="G23" s="18">
        <v>5600</v>
      </c>
      <c r="H23" s="18">
        <v>0</v>
      </c>
      <c r="I23" s="18">
        <v>29.85</v>
      </c>
      <c r="J23" s="18">
        <v>76.849999999999994</v>
      </c>
      <c r="K23" s="18">
        <v>0</v>
      </c>
      <c r="L23" s="18">
        <v>13.03</v>
      </c>
      <c r="M23" s="18">
        <v>9.7200000000000006</v>
      </c>
      <c r="N23" s="18">
        <v>0.4</v>
      </c>
      <c r="O23" s="18">
        <v>0</v>
      </c>
      <c r="P23" s="18">
        <v>0</v>
      </c>
      <c r="Q23" s="18">
        <v>1</v>
      </c>
      <c r="R23" s="18">
        <v>0</v>
      </c>
      <c r="S23" s="18">
        <v>0</v>
      </c>
      <c r="T23" s="18">
        <v>0</v>
      </c>
      <c r="U23" s="18">
        <v>98</v>
      </c>
      <c r="V23" s="18">
        <v>5689.96</v>
      </c>
      <c r="W23" s="18">
        <v>0.5</v>
      </c>
      <c r="X23" s="18">
        <v>49</v>
      </c>
      <c r="Y23" s="18">
        <v>2844.98</v>
      </c>
      <c r="Z23" s="18">
        <v>1.64</v>
      </c>
      <c r="AA23" s="18">
        <v>2844.98</v>
      </c>
      <c r="AB23" s="18">
        <v>790.27</v>
      </c>
      <c r="AC23" s="18">
        <v>65186.935525730332</v>
      </c>
      <c r="AD23" s="18">
        <v>118380016.85590871</v>
      </c>
      <c r="AE23" s="18" t="s">
        <v>1066</v>
      </c>
    </row>
    <row r="24" spans="1:31" x14ac:dyDescent="0.2">
      <c r="A24" s="18">
        <v>23</v>
      </c>
      <c r="B24" s="18">
        <v>23</v>
      </c>
      <c r="C24" s="18">
        <v>23</v>
      </c>
      <c r="D24" s="18">
        <v>678</v>
      </c>
      <c r="E24" s="18" t="s">
        <v>914</v>
      </c>
      <c r="F24" s="18" t="s">
        <v>916</v>
      </c>
      <c r="G24" s="18">
        <v>5600</v>
      </c>
      <c r="H24" s="18">
        <v>0</v>
      </c>
      <c r="I24" s="18">
        <v>62.71</v>
      </c>
      <c r="J24" s="18">
        <v>76.510000000000005</v>
      </c>
      <c r="K24" s="18">
        <v>0.02</v>
      </c>
      <c r="L24" s="18">
        <v>22.34</v>
      </c>
      <c r="M24" s="18">
        <v>1.1299999999999999</v>
      </c>
      <c r="N24" s="18">
        <v>0</v>
      </c>
      <c r="O24" s="18">
        <v>0</v>
      </c>
      <c r="P24" s="18">
        <v>0</v>
      </c>
      <c r="Q24" s="18">
        <v>1</v>
      </c>
      <c r="R24" s="18">
        <v>0</v>
      </c>
      <c r="S24" s="18">
        <v>0</v>
      </c>
      <c r="T24" s="18">
        <v>0</v>
      </c>
      <c r="U24" s="18">
        <v>175</v>
      </c>
      <c r="V24" s="18">
        <v>9349.2000000000007</v>
      </c>
      <c r="W24" s="18">
        <v>0.5</v>
      </c>
      <c r="X24" s="18">
        <v>88</v>
      </c>
      <c r="Y24" s="18">
        <v>4674.6000000000004</v>
      </c>
      <c r="Z24" s="18">
        <v>1.4</v>
      </c>
      <c r="AA24" s="18">
        <v>4674.6000000000004</v>
      </c>
      <c r="AB24" s="18">
        <v>1298.5</v>
      </c>
      <c r="AC24" s="18">
        <v>88490.83121764769</v>
      </c>
      <c r="AD24" s="18">
        <v>176805922.2070668</v>
      </c>
      <c r="AE24" s="18" t="s">
        <v>1067</v>
      </c>
    </row>
    <row r="25" spans="1:31" x14ac:dyDescent="0.2">
      <c r="A25" s="18">
        <v>24</v>
      </c>
      <c r="B25" s="18">
        <v>24</v>
      </c>
      <c r="C25" s="18">
        <v>24</v>
      </c>
      <c r="D25" s="18">
        <v>401</v>
      </c>
      <c r="E25" s="18" t="s">
        <v>851</v>
      </c>
      <c r="F25" s="18" t="s">
        <v>853</v>
      </c>
      <c r="G25" s="18">
        <v>5600</v>
      </c>
      <c r="H25" s="18">
        <v>0</v>
      </c>
      <c r="I25" s="18">
        <v>382.87</v>
      </c>
      <c r="J25" s="18">
        <v>35.92</v>
      </c>
      <c r="K25" s="18">
        <v>0.02</v>
      </c>
      <c r="L25" s="18">
        <v>61.48</v>
      </c>
      <c r="M25" s="18">
        <v>2.5499999999999998</v>
      </c>
      <c r="N25" s="18">
        <v>0.04</v>
      </c>
      <c r="O25" s="18">
        <v>0</v>
      </c>
      <c r="P25" s="18">
        <v>0</v>
      </c>
      <c r="Q25" s="18">
        <v>1</v>
      </c>
      <c r="R25" s="18">
        <v>0</v>
      </c>
      <c r="S25" s="18">
        <v>0</v>
      </c>
      <c r="T25" s="18">
        <v>0</v>
      </c>
      <c r="U25" s="18">
        <v>494</v>
      </c>
      <c r="V25" s="18">
        <v>31570.16</v>
      </c>
      <c r="W25" s="18">
        <v>0.5</v>
      </c>
      <c r="X25" s="18">
        <v>247</v>
      </c>
      <c r="Y25" s="18">
        <v>15785.08</v>
      </c>
      <c r="Z25" s="18">
        <v>0.65</v>
      </c>
      <c r="AA25" s="18">
        <v>15785.08</v>
      </c>
      <c r="AB25" s="18">
        <v>4384.75</v>
      </c>
      <c r="AC25" s="18">
        <v>98147.562127334371</v>
      </c>
      <c r="AD25" s="18">
        <v>282747320.28425223</v>
      </c>
      <c r="AE25" s="18" t="s">
        <v>1065</v>
      </c>
    </row>
    <row r="26" spans="1:31" x14ac:dyDescent="0.2">
      <c r="A26" s="18">
        <v>25</v>
      </c>
      <c r="B26" s="18">
        <v>25</v>
      </c>
      <c r="C26" s="18">
        <v>25</v>
      </c>
      <c r="D26" s="18">
        <v>445</v>
      </c>
      <c r="E26" s="18" t="s">
        <v>236</v>
      </c>
      <c r="F26" s="18" t="s">
        <v>238</v>
      </c>
      <c r="G26" s="18">
        <v>5600</v>
      </c>
      <c r="H26" s="18">
        <v>0</v>
      </c>
      <c r="I26" s="18">
        <v>4.07</v>
      </c>
      <c r="J26" s="18">
        <v>93.37</v>
      </c>
      <c r="K26" s="18">
        <v>0.98</v>
      </c>
      <c r="L26" s="18">
        <v>2.21</v>
      </c>
      <c r="M26" s="18">
        <v>0.25</v>
      </c>
      <c r="N26" s="18">
        <v>3.19</v>
      </c>
      <c r="O26" s="18">
        <v>0</v>
      </c>
      <c r="P26" s="18">
        <v>0</v>
      </c>
      <c r="Q26" s="18">
        <v>1</v>
      </c>
      <c r="R26" s="18">
        <v>0</v>
      </c>
      <c r="S26" s="18">
        <v>0</v>
      </c>
      <c r="T26" s="18">
        <v>0</v>
      </c>
      <c r="U26" s="18">
        <v>10</v>
      </c>
      <c r="V26" s="18">
        <v>580.61</v>
      </c>
      <c r="W26" s="18">
        <v>0.5</v>
      </c>
      <c r="X26" s="18">
        <v>5</v>
      </c>
      <c r="Y26" s="18">
        <v>290.3</v>
      </c>
      <c r="Z26" s="18">
        <v>1.23</v>
      </c>
      <c r="AA26" s="18">
        <v>290.3</v>
      </c>
      <c r="AB26" s="18">
        <v>80.64</v>
      </c>
      <c r="AC26" s="18">
        <v>32094.789451104851</v>
      </c>
      <c r="AD26" s="18">
        <v>35540710.379457027</v>
      </c>
      <c r="AE26" s="18" t="s">
        <v>1069</v>
      </c>
    </row>
    <row r="27" spans="1:31" x14ac:dyDescent="0.2">
      <c r="A27" s="18">
        <v>26</v>
      </c>
      <c r="B27" s="18">
        <v>26</v>
      </c>
      <c r="C27" s="18">
        <v>26</v>
      </c>
      <c r="D27" s="18">
        <v>432</v>
      </c>
      <c r="E27" s="18" t="s">
        <v>206</v>
      </c>
      <c r="F27" s="18" t="s">
        <v>208</v>
      </c>
      <c r="G27" s="18">
        <v>5600</v>
      </c>
      <c r="H27" s="18">
        <v>0</v>
      </c>
      <c r="I27" s="18">
        <v>45.61</v>
      </c>
      <c r="J27" s="18">
        <v>49.27</v>
      </c>
      <c r="K27" s="18">
        <v>0</v>
      </c>
      <c r="L27" s="18">
        <v>49.29</v>
      </c>
      <c r="M27" s="18">
        <v>1.1599999999999999</v>
      </c>
      <c r="N27" s="18">
        <v>0.28999999999999998</v>
      </c>
      <c r="O27" s="18">
        <v>0</v>
      </c>
      <c r="P27" s="18">
        <v>0</v>
      </c>
      <c r="Q27" s="18">
        <v>1</v>
      </c>
      <c r="R27" s="18">
        <v>0</v>
      </c>
      <c r="S27" s="18">
        <v>0</v>
      </c>
      <c r="T27" s="18">
        <v>0</v>
      </c>
      <c r="U27" s="18">
        <v>145</v>
      </c>
      <c r="V27" s="18">
        <v>7746.48</v>
      </c>
      <c r="W27" s="18">
        <v>0.5</v>
      </c>
      <c r="X27" s="18">
        <v>73</v>
      </c>
      <c r="Y27" s="18">
        <v>3873.24</v>
      </c>
      <c r="Z27" s="18">
        <v>1.6</v>
      </c>
      <c r="AA27" s="18">
        <v>3873.24</v>
      </c>
      <c r="AB27" s="18">
        <v>1075.9000000000001</v>
      </c>
      <c r="AC27" s="18">
        <v>87550.154743688661</v>
      </c>
      <c r="AD27" s="18">
        <v>216017448.22373441</v>
      </c>
      <c r="AE27" s="18" t="s">
        <v>1068</v>
      </c>
    </row>
    <row r="28" spans="1:31" x14ac:dyDescent="0.2">
      <c r="A28" s="18">
        <v>27</v>
      </c>
      <c r="B28" s="18">
        <v>27</v>
      </c>
      <c r="C28" s="18">
        <v>27</v>
      </c>
      <c r="D28" s="18">
        <v>548</v>
      </c>
      <c r="E28" s="18" t="s">
        <v>569</v>
      </c>
      <c r="F28" s="18" t="s">
        <v>571</v>
      </c>
      <c r="G28" s="18">
        <v>5600</v>
      </c>
      <c r="H28" s="18">
        <v>64.040000000000006</v>
      </c>
      <c r="I28" s="18">
        <v>41.32</v>
      </c>
      <c r="J28" s="18">
        <v>74.25</v>
      </c>
      <c r="K28" s="18">
        <v>1.69</v>
      </c>
      <c r="L28" s="18">
        <v>20.14</v>
      </c>
      <c r="M28" s="18">
        <v>3.39</v>
      </c>
      <c r="N28" s="18">
        <v>0.53</v>
      </c>
      <c r="O28" s="18">
        <v>183</v>
      </c>
      <c r="P28" s="18">
        <v>15568.76</v>
      </c>
      <c r="Q28" s="18">
        <v>1</v>
      </c>
      <c r="R28" s="18">
        <v>183</v>
      </c>
      <c r="S28" s="18">
        <v>15568.76</v>
      </c>
      <c r="T28" s="18">
        <v>2.86</v>
      </c>
      <c r="U28" s="18">
        <v>83</v>
      </c>
      <c r="V28" s="18">
        <v>5304.3</v>
      </c>
      <c r="W28" s="18">
        <v>0.5</v>
      </c>
      <c r="X28" s="18">
        <v>42</v>
      </c>
      <c r="Y28" s="18">
        <v>2652.15</v>
      </c>
      <c r="Z28" s="18">
        <v>1.02</v>
      </c>
      <c r="AA28" s="18">
        <v>18220.91</v>
      </c>
      <c r="AB28" s="18">
        <v>5061.37</v>
      </c>
      <c r="AC28" s="18">
        <v>73382.668739365763</v>
      </c>
      <c r="AD28" s="18">
        <v>102686011.1112055</v>
      </c>
      <c r="AE28" s="18" t="s">
        <v>1079</v>
      </c>
    </row>
    <row r="29" spans="1:31" x14ac:dyDescent="0.2">
      <c r="A29" s="18">
        <v>28</v>
      </c>
      <c r="B29" s="18">
        <v>28</v>
      </c>
      <c r="C29" s="18">
        <v>36</v>
      </c>
      <c r="D29" s="18">
        <v>689</v>
      </c>
      <c r="E29" s="18" t="s">
        <v>947</v>
      </c>
      <c r="F29" s="18" t="s">
        <v>949</v>
      </c>
      <c r="G29" s="18">
        <v>5600</v>
      </c>
      <c r="H29" s="18">
        <v>0.55000000000000004</v>
      </c>
      <c r="I29" s="18">
        <v>72.319999999999993</v>
      </c>
      <c r="J29" s="18">
        <v>87.82</v>
      </c>
      <c r="K29" s="18">
        <v>0.06</v>
      </c>
      <c r="L29" s="18">
        <v>9.26</v>
      </c>
      <c r="M29" s="18">
        <v>2.3199999999999998</v>
      </c>
      <c r="N29" s="18">
        <v>0.54</v>
      </c>
      <c r="O29" s="18">
        <v>2</v>
      </c>
      <c r="P29" s="18">
        <v>170.15</v>
      </c>
      <c r="Q29" s="18">
        <v>1</v>
      </c>
      <c r="R29" s="18">
        <v>2</v>
      </c>
      <c r="S29" s="18">
        <v>170.15</v>
      </c>
      <c r="T29" s="18">
        <v>3.64</v>
      </c>
      <c r="U29" s="18">
        <v>113</v>
      </c>
      <c r="V29" s="18">
        <v>7221.51</v>
      </c>
      <c r="W29" s="18">
        <v>0.5</v>
      </c>
      <c r="X29" s="18">
        <v>57</v>
      </c>
      <c r="Y29" s="18">
        <v>3610.76</v>
      </c>
      <c r="Z29" s="18">
        <v>0.79</v>
      </c>
      <c r="AA29" s="18">
        <v>3780.91</v>
      </c>
      <c r="AB29" s="18">
        <v>1050.25</v>
      </c>
      <c r="AC29" s="18">
        <v>53453.935451466081</v>
      </c>
      <c r="AD29" s="18">
        <v>87909523.7135773</v>
      </c>
      <c r="AE29" s="18" t="s">
        <v>1066</v>
      </c>
    </row>
    <row r="30" spans="1:31" x14ac:dyDescent="0.2">
      <c r="A30" s="18">
        <v>29</v>
      </c>
      <c r="B30" s="18">
        <v>29</v>
      </c>
      <c r="C30" s="18">
        <v>37</v>
      </c>
      <c r="D30" s="18">
        <v>709</v>
      </c>
      <c r="E30" s="18" t="s">
        <v>1025</v>
      </c>
      <c r="F30" s="18" t="s">
        <v>1089</v>
      </c>
      <c r="G30" s="18">
        <v>5600</v>
      </c>
      <c r="H30" s="18">
        <v>9.33</v>
      </c>
      <c r="I30" s="18">
        <v>255.35</v>
      </c>
      <c r="J30" s="18">
        <v>76.98</v>
      </c>
      <c r="K30" s="18">
        <v>0.24</v>
      </c>
      <c r="L30" s="18">
        <v>20.89</v>
      </c>
      <c r="M30" s="18">
        <v>1.1100000000000001</v>
      </c>
      <c r="N30" s="18">
        <v>0.78</v>
      </c>
      <c r="O30" s="18">
        <v>21</v>
      </c>
      <c r="P30" s="18">
        <v>1786.58</v>
      </c>
      <c r="Q30" s="18">
        <v>1</v>
      </c>
      <c r="R30" s="18">
        <v>21</v>
      </c>
      <c r="S30" s="18">
        <v>1786.58</v>
      </c>
      <c r="T30" s="18">
        <v>2.25</v>
      </c>
      <c r="U30" s="18">
        <v>455</v>
      </c>
      <c r="V30" s="18">
        <v>35315.279999999999</v>
      </c>
      <c r="W30" s="18">
        <v>0.5</v>
      </c>
      <c r="X30" s="18">
        <v>228</v>
      </c>
      <c r="Y30" s="18">
        <v>17657.64</v>
      </c>
      <c r="Z30" s="18">
        <v>0.89</v>
      </c>
      <c r="AA30" s="18">
        <v>19444.22</v>
      </c>
      <c r="AB30" s="18">
        <v>5401.18</v>
      </c>
      <c r="AC30" s="18">
        <v>148939.53298875951</v>
      </c>
      <c r="AD30" s="18">
        <v>377312766.23159218</v>
      </c>
      <c r="AE30" s="18" t="s">
        <v>1064</v>
      </c>
    </row>
    <row r="31" spans="1:31" x14ac:dyDescent="0.2">
      <c r="A31" s="18">
        <v>30</v>
      </c>
      <c r="B31" s="18">
        <v>30</v>
      </c>
      <c r="C31" s="18">
        <v>38</v>
      </c>
      <c r="D31" s="18">
        <v>701</v>
      </c>
      <c r="E31" s="18" t="s">
        <v>992</v>
      </c>
      <c r="F31" s="18" t="s">
        <v>994</v>
      </c>
      <c r="G31" s="18">
        <v>5600</v>
      </c>
      <c r="H31" s="18">
        <v>0</v>
      </c>
      <c r="I31" s="18">
        <v>96.15</v>
      </c>
      <c r="J31" s="18">
        <v>98.56</v>
      </c>
      <c r="K31" s="18">
        <v>7.0000000000000007E-2</v>
      </c>
      <c r="L31" s="18">
        <v>0.2</v>
      </c>
      <c r="M31" s="18">
        <v>1.1000000000000001</v>
      </c>
      <c r="N31" s="18">
        <v>0.06</v>
      </c>
      <c r="O31" s="18">
        <v>0</v>
      </c>
      <c r="P31" s="18">
        <v>0</v>
      </c>
      <c r="Q31" s="18">
        <v>1</v>
      </c>
      <c r="R31" s="18">
        <v>0</v>
      </c>
      <c r="S31" s="18">
        <v>0</v>
      </c>
      <c r="T31" s="18">
        <v>0</v>
      </c>
      <c r="U31" s="18">
        <v>196</v>
      </c>
      <c r="V31" s="18">
        <v>15212.74</v>
      </c>
      <c r="W31" s="18">
        <v>0.5</v>
      </c>
      <c r="X31" s="18">
        <v>98</v>
      </c>
      <c r="Y31" s="18">
        <v>7606.37</v>
      </c>
      <c r="Z31" s="18">
        <v>1.02</v>
      </c>
      <c r="AA31" s="18">
        <v>7606.37</v>
      </c>
      <c r="AB31" s="18">
        <v>2112.88</v>
      </c>
      <c r="AC31" s="18">
        <v>101453.10351676551</v>
      </c>
      <c r="AD31" s="18">
        <v>285189738.93290973</v>
      </c>
      <c r="AE31" s="18" t="s">
        <v>1064</v>
      </c>
    </row>
    <row r="32" spans="1:31" x14ac:dyDescent="0.2">
      <c r="A32" s="18">
        <v>31</v>
      </c>
      <c r="B32" s="18">
        <v>31</v>
      </c>
      <c r="C32" s="18">
        <v>39</v>
      </c>
      <c r="D32" s="18">
        <v>704</v>
      </c>
      <c r="E32" s="18" t="s">
        <v>1010</v>
      </c>
      <c r="F32" s="18" t="s">
        <v>1012</v>
      </c>
      <c r="G32" s="18">
        <v>5600</v>
      </c>
      <c r="H32" s="18">
        <v>0</v>
      </c>
      <c r="I32" s="18">
        <v>115.39</v>
      </c>
      <c r="J32" s="18">
        <v>85.36</v>
      </c>
      <c r="K32" s="18">
        <v>0.13</v>
      </c>
      <c r="L32" s="18">
        <v>10.62</v>
      </c>
      <c r="M32" s="18">
        <v>3.58</v>
      </c>
      <c r="N32" s="18">
        <v>0.31</v>
      </c>
      <c r="O32" s="18">
        <v>0</v>
      </c>
      <c r="P32" s="18">
        <v>0</v>
      </c>
      <c r="Q32" s="18">
        <v>1</v>
      </c>
      <c r="R32" s="18">
        <v>0</v>
      </c>
      <c r="S32" s="18">
        <v>0</v>
      </c>
      <c r="T32" s="18">
        <v>0</v>
      </c>
      <c r="U32" s="18">
        <v>249</v>
      </c>
      <c r="V32" s="18">
        <v>15912.89</v>
      </c>
      <c r="W32" s="18">
        <v>0.5</v>
      </c>
      <c r="X32" s="18">
        <v>125</v>
      </c>
      <c r="Y32" s="18">
        <v>7956.45</v>
      </c>
      <c r="Z32" s="18">
        <v>1.08</v>
      </c>
      <c r="AA32" s="18">
        <v>7956.45</v>
      </c>
      <c r="AB32" s="18">
        <v>2210.13</v>
      </c>
      <c r="AC32" s="18">
        <v>88668.816313281248</v>
      </c>
      <c r="AD32" s="18">
        <v>229216802.2097463</v>
      </c>
      <c r="AE32" s="18" t="s">
        <v>1069</v>
      </c>
    </row>
    <row r="33" spans="1:31" x14ac:dyDescent="0.2">
      <c r="A33" s="18">
        <v>32</v>
      </c>
      <c r="B33" s="18">
        <v>32</v>
      </c>
      <c r="C33" s="18">
        <v>40</v>
      </c>
      <c r="D33" s="18">
        <v>705</v>
      </c>
      <c r="E33" s="18" t="s">
        <v>1013</v>
      </c>
      <c r="F33" s="18" t="s">
        <v>1015</v>
      </c>
      <c r="G33" s="18">
        <v>5600</v>
      </c>
      <c r="H33" s="18">
        <v>0</v>
      </c>
      <c r="I33" s="18">
        <v>121.36</v>
      </c>
      <c r="J33" s="18">
        <v>92.47</v>
      </c>
      <c r="K33" s="18">
        <v>0</v>
      </c>
      <c r="L33" s="18">
        <v>5.88</v>
      </c>
      <c r="M33" s="18">
        <v>1.47</v>
      </c>
      <c r="N33" s="18">
        <v>0.19</v>
      </c>
      <c r="O33" s="18">
        <v>0</v>
      </c>
      <c r="P33" s="18">
        <v>0</v>
      </c>
      <c r="Q33" s="18">
        <v>1</v>
      </c>
      <c r="R33" s="18">
        <v>0</v>
      </c>
      <c r="S33" s="18">
        <v>0</v>
      </c>
      <c r="T33" s="18">
        <v>0</v>
      </c>
      <c r="U33" s="18">
        <v>199</v>
      </c>
      <c r="V33" s="18">
        <v>12717.53</v>
      </c>
      <c r="W33" s="18">
        <v>0.5</v>
      </c>
      <c r="X33" s="18">
        <v>100</v>
      </c>
      <c r="Y33" s="18">
        <v>6358.77</v>
      </c>
      <c r="Z33" s="18">
        <v>0.82</v>
      </c>
      <c r="AA33" s="18">
        <v>6358.77</v>
      </c>
      <c r="AB33" s="18">
        <v>1766.33</v>
      </c>
      <c r="AC33" s="18">
        <v>62745.105080141017</v>
      </c>
      <c r="AD33" s="18">
        <v>153180742.0254544</v>
      </c>
      <c r="AE33" s="18" t="s">
        <v>1074</v>
      </c>
    </row>
    <row r="34" spans="1:31" x14ac:dyDescent="0.2">
      <c r="A34" s="18">
        <v>33</v>
      </c>
      <c r="B34" s="18">
        <v>33</v>
      </c>
      <c r="C34" s="18">
        <v>41</v>
      </c>
      <c r="D34" s="18">
        <v>549</v>
      </c>
      <c r="E34" s="18" t="s">
        <v>572</v>
      </c>
      <c r="F34" s="18" t="s">
        <v>574</v>
      </c>
      <c r="G34" s="18">
        <v>5600</v>
      </c>
      <c r="H34" s="18">
        <v>0</v>
      </c>
      <c r="I34" s="18">
        <v>194.06</v>
      </c>
      <c r="J34" s="18">
        <v>86.7</v>
      </c>
      <c r="K34" s="18">
        <v>0.87</v>
      </c>
      <c r="L34" s="18">
        <v>5.59</v>
      </c>
      <c r="M34" s="18">
        <v>4.9000000000000004</v>
      </c>
      <c r="N34" s="18">
        <v>1.94</v>
      </c>
      <c r="O34" s="18">
        <v>0</v>
      </c>
      <c r="P34" s="18">
        <v>0</v>
      </c>
      <c r="Q34" s="18">
        <v>1</v>
      </c>
      <c r="R34" s="18">
        <v>0</v>
      </c>
      <c r="S34" s="18">
        <v>0</v>
      </c>
      <c r="T34" s="18">
        <v>0</v>
      </c>
      <c r="U34" s="18">
        <v>354</v>
      </c>
      <c r="V34" s="18">
        <v>22623.15</v>
      </c>
      <c r="W34" s="18">
        <v>0.5</v>
      </c>
      <c r="X34" s="18">
        <v>177</v>
      </c>
      <c r="Y34" s="18">
        <v>11311.57</v>
      </c>
      <c r="Z34" s="18">
        <v>0.91</v>
      </c>
      <c r="AA34" s="18">
        <v>11311.57</v>
      </c>
      <c r="AB34" s="18">
        <v>3142.11</v>
      </c>
      <c r="AC34" s="18">
        <v>97247.751855915092</v>
      </c>
      <c r="AD34" s="18">
        <v>262865499.68938911</v>
      </c>
      <c r="AE34" s="18" t="s">
        <v>1079</v>
      </c>
    </row>
    <row r="35" spans="1:31" x14ac:dyDescent="0.2">
      <c r="A35" s="18">
        <v>34</v>
      </c>
      <c r="B35" s="18">
        <v>34</v>
      </c>
      <c r="C35" s="18">
        <v>42</v>
      </c>
      <c r="D35" s="18">
        <v>421</v>
      </c>
      <c r="E35" s="18" t="s">
        <v>173</v>
      </c>
      <c r="F35" s="18" t="s">
        <v>175</v>
      </c>
      <c r="G35" s="18">
        <v>5600</v>
      </c>
      <c r="H35" s="18">
        <v>0</v>
      </c>
      <c r="I35" s="18">
        <v>7.08</v>
      </c>
      <c r="J35" s="18">
        <v>40.68</v>
      </c>
      <c r="K35" s="18">
        <v>0</v>
      </c>
      <c r="L35" s="18">
        <v>57.63</v>
      </c>
      <c r="M35" s="18">
        <v>0.28000000000000003</v>
      </c>
      <c r="N35" s="18">
        <v>1.41</v>
      </c>
      <c r="O35" s="18">
        <v>0</v>
      </c>
      <c r="P35" s="18">
        <v>0</v>
      </c>
      <c r="Q35" s="18">
        <v>1</v>
      </c>
      <c r="R35" s="18">
        <v>0</v>
      </c>
      <c r="S35" s="18">
        <v>0</v>
      </c>
      <c r="T35" s="18">
        <v>0</v>
      </c>
      <c r="U35" s="18">
        <v>24</v>
      </c>
      <c r="V35" s="18">
        <v>1282.18</v>
      </c>
      <c r="W35" s="18">
        <v>0.5</v>
      </c>
      <c r="X35" s="18">
        <v>12</v>
      </c>
      <c r="Y35" s="18">
        <v>641.09</v>
      </c>
      <c r="Z35" s="18">
        <v>1.69</v>
      </c>
      <c r="AA35" s="18">
        <v>641.09</v>
      </c>
      <c r="AB35" s="18">
        <v>178.08</v>
      </c>
      <c r="AC35" s="18">
        <v>60802.06485908934</v>
      </c>
      <c r="AD35" s="18">
        <v>79666139.713255048</v>
      </c>
      <c r="AE35" s="18" t="s">
        <v>1070</v>
      </c>
    </row>
    <row r="36" spans="1:31" x14ac:dyDescent="0.2">
      <c r="A36" s="18">
        <v>35</v>
      </c>
      <c r="B36" s="18">
        <v>35</v>
      </c>
      <c r="C36" s="18">
        <v>43</v>
      </c>
      <c r="D36" s="18">
        <v>450</v>
      </c>
      <c r="E36" s="18" t="s">
        <v>269</v>
      </c>
      <c r="F36" s="18" t="s">
        <v>271</v>
      </c>
      <c r="G36" s="18">
        <v>5600</v>
      </c>
      <c r="H36" s="18">
        <v>0</v>
      </c>
      <c r="I36" s="18">
        <v>14.97</v>
      </c>
      <c r="J36" s="18">
        <v>66.53</v>
      </c>
      <c r="K36" s="18">
        <v>6.61</v>
      </c>
      <c r="L36" s="18">
        <v>25.25</v>
      </c>
      <c r="M36" s="18">
        <v>0.67</v>
      </c>
      <c r="N36" s="18">
        <v>0.94</v>
      </c>
      <c r="O36" s="18">
        <v>0</v>
      </c>
      <c r="P36" s="18">
        <v>0</v>
      </c>
      <c r="Q36" s="18">
        <v>1</v>
      </c>
      <c r="R36" s="18">
        <v>0</v>
      </c>
      <c r="S36" s="18">
        <v>0</v>
      </c>
      <c r="T36" s="18">
        <v>0</v>
      </c>
      <c r="U36" s="18">
        <v>26</v>
      </c>
      <c r="V36" s="18">
        <v>1389.02</v>
      </c>
      <c r="W36" s="18">
        <v>0.5</v>
      </c>
      <c r="X36" s="18">
        <v>13</v>
      </c>
      <c r="Y36" s="18">
        <v>694.51</v>
      </c>
      <c r="Z36" s="18">
        <v>0.87</v>
      </c>
      <c r="AA36" s="18">
        <v>694.51</v>
      </c>
      <c r="AB36" s="18">
        <v>192.92</v>
      </c>
      <c r="AC36" s="18">
        <v>52857.728861137039</v>
      </c>
      <c r="AD36" s="18">
        <v>63783010.325164467</v>
      </c>
      <c r="AE36" s="18" t="s">
        <v>1072</v>
      </c>
    </row>
    <row r="37" spans="1:31" x14ac:dyDescent="0.2">
      <c r="A37" s="18">
        <v>36</v>
      </c>
      <c r="B37" s="18">
        <v>36</v>
      </c>
      <c r="C37" s="18">
        <v>44</v>
      </c>
      <c r="D37" s="18">
        <v>368</v>
      </c>
      <c r="E37" s="18" t="s">
        <v>68</v>
      </c>
      <c r="F37" s="18" t="s">
        <v>70</v>
      </c>
      <c r="G37" s="18">
        <v>5600</v>
      </c>
      <c r="H37" s="18">
        <v>0</v>
      </c>
      <c r="I37" s="18">
        <v>171.14</v>
      </c>
      <c r="J37" s="18">
        <v>75.930000000000007</v>
      </c>
      <c r="K37" s="18">
        <v>0</v>
      </c>
      <c r="L37" s="18">
        <v>17.97</v>
      </c>
      <c r="M37" s="18">
        <v>5.9</v>
      </c>
      <c r="N37" s="18">
        <v>0.2</v>
      </c>
      <c r="O37" s="18">
        <v>0</v>
      </c>
      <c r="P37" s="18">
        <v>0</v>
      </c>
      <c r="Q37" s="18">
        <v>1</v>
      </c>
      <c r="R37" s="18">
        <v>0</v>
      </c>
      <c r="S37" s="18">
        <v>0</v>
      </c>
      <c r="T37" s="18">
        <v>0</v>
      </c>
      <c r="U37" s="18">
        <v>302</v>
      </c>
      <c r="V37" s="18">
        <v>19299.97</v>
      </c>
      <c r="W37" s="18">
        <v>0.5</v>
      </c>
      <c r="X37" s="18">
        <v>151</v>
      </c>
      <c r="Y37" s="18">
        <v>9649.99</v>
      </c>
      <c r="Z37" s="18">
        <v>0.88</v>
      </c>
      <c r="AA37" s="18">
        <v>9649.99</v>
      </c>
      <c r="AB37" s="18">
        <v>2680.55</v>
      </c>
      <c r="AC37" s="18">
        <v>85121.394203726464</v>
      </c>
      <c r="AD37" s="18">
        <v>228355560.83678189</v>
      </c>
      <c r="AE37" s="18" t="s">
        <v>1064</v>
      </c>
    </row>
    <row r="38" spans="1:31" x14ac:dyDescent="0.2">
      <c r="A38" s="18">
        <v>37</v>
      </c>
      <c r="B38" s="18">
        <v>37</v>
      </c>
      <c r="C38" s="18">
        <v>28</v>
      </c>
      <c r="D38" s="18">
        <v>553</v>
      </c>
      <c r="E38" s="18" t="s">
        <v>575</v>
      </c>
      <c r="F38" s="18" t="s">
        <v>577</v>
      </c>
      <c r="G38" s="18">
        <v>5600</v>
      </c>
      <c r="H38" s="18">
        <v>73.930000000000007</v>
      </c>
      <c r="I38" s="18">
        <v>125.65</v>
      </c>
      <c r="J38" s="18">
        <v>79.239999999999995</v>
      </c>
      <c r="K38" s="18">
        <v>0</v>
      </c>
      <c r="L38" s="18">
        <v>17.21</v>
      </c>
      <c r="M38" s="18">
        <v>3.23</v>
      </c>
      <c r="N38" s="18">
        <v>0.32</v>
      </c>
      <c r="O38" s="18">
        <v>236</v>
      </c>
      <c r="P38" s="18">
        <v>20077.75</v>
      </c>
      <c r="Q38" s="18">
        <v>1</v>
      </c>
      <c r="R38" s="18">
        <v>236</v>
      </c>
      <c r="S38" s="18">
        <v>20077.75</v>
      </c>
      <c r="T38" s="18">
        <v>3.19</v>
      </c>
      <c r="U38" s="18">
        <v>203</v>
      </c>
      <c r="V38" s="18">
        <v>12973.16</v>
      </c>
      <c r="W38" s="18">
        <v>0.5</v>
      </c>
      <c r="X38" s="18">
        <v>102</v>
      </c>
      <c r="Y38" s="18">
        <v>6486.58</v>
      </c>
      <c r="Z38" s="18">
        <v>0.81</v>
      </c>
      <c r="AA38" s="18">
        <v>26564.33</v>
      </c>
      <c r="AB38" s="18">
        <v>7378.99</v>
      </c>
      <c r="AC38" s="18">
        <v>77254.687651164102</v>
      </c>
      <c r="AD38" s="18">
        <v>146861101.6230368</v>
      </c>
      <c r="AE38" s="18" t="s">
        <v>1079</v>
      </c>
    </row>
    <row r="39" spans="1:31" x14ac:dyDescent="0.2">
      <c r="A39" s="18">
        <v>38</v>
      </c>
      <c r="B39" s="18">
        <v>38</v>
      </c>
      <c r="C39" s="18">
        <v>29</v>
      </c>
      <c r="D39" s="18">
        <v>587</v>
      </c>
      <c r="E39" s="18" t="s">
        <v>641</v>
      </c>
      <c r="F39" s="18" t="s">
        <v>643</v>
      </c>
      <c r="G39" s="18">
        <v>5600</v>
      </c>
      <c r="H39" s="18">
        <v>0</v>
      </c>
      <c r="I39" s="18">
        <v>34.85</v>
      </c>
      <c r="J39" s="18">
        <v>74.150000000000006</v>
      </c>
      <c r="K39" s="18">
        <v>0.4</v>
      </c>
      <c r="L39" s="18">
        <v>11.85</v>
      </c>
      <c r="M39" s="18">
        <v>11.45</v>
      </c>
      <c r="N39" s="18">
        <v>2.15</v>
      </c>
      <c r="O39" s="18">
        <v>0</v>
      </c>
      <c r="P39" s="18">
        <v>0</v>
      </c>
      <c r="Q39" s="18">
        <v>1</v>
      </c>
      <c r="R39" s="18">
        <v>0</v>
      </c>
      <c r="S39" s="18">
        <v>0</v>
      </c>
      <c r="T39" s="18">
        <v>0</v>
      </c>
      <c r="U39" s="18">
        <v>83</v>
      </c>
      <c r="V39" s="18">
        <v>4434.1899999999996</v>
      </c>
      <c r="W39" s="18">
        <v>0.5</v>
      </c>
      <c r="X39" s="18">
        <v>42</v>
      </c>
      <c r="Y39" s="18">
        <v>2217.1</v>
      </c>
      <c r="Z39" s="18">
        <v>1.21</v>
      </c>
      <c r="AA39" s="18">
        <v>2217.1</v>
      </c>
      <c r="AB39" s="18">
        <v>615.86</v>
      </c>
      <c r="AC39" s="18">
        <v>69558.366196964736</v>
      </c>
      <c r="AD39" s="18">
        <v>118044027.105768</v>
      </c>
      <c r="AE39" s="18" t="s">
        <v>1080</v>
      </c>
    </row>
    <row r="40" spans="1:31" x14ac:dyDescent="0.2">
      <c r="A40" s="18">
        <v>39</v>
      </c>
      <c r="B40" s="18">
        <v>39</v>
      </c>
      <c r="C40" s="18">
        <v>30</v>
      </c>
      <c r="D40" s="18">
        <v>367</v>
      </c>
      <c r="E40" s="18" t="s">
        <v>65</v>
      </c>
      <c r="F40" s="18" t="s">
        <v>67</v>
      </c>
      <c r="G40" s="18">
        <v>5600</v>
      </c>
      <c r="H40" s="18">
        <v>0</v>
      </c>
      <c r="I40" s="18">
        <v>32.94</v>
      </c>
      <c r="J40" s="18">
        <v>0.33</v>
      </c>
      <c r="K40" s="18">
        <v>0.21</v>
      </c>
      <c r="L40" s="18">
        <v>93.62</v>
      </c>
      <c r="M40" s="18">
        <v>5.83</v>
      </c>
      <c r="N40" s="18">
        <v>0</v>
      </c>
      <c r="O40" s="18">
        <v>0</v>
      </c>
      <c r="P40" s="18">
        <v>0</v>
      </c>
      <c r="Q40" s="18">
        <v>1</v>
      </c>
      <c r="R40" s="18">
        <v>0</v>
      </c>
      <c r="S40" s="18">
        <v>0</v>
      </c>
      <c r="T40" s="18">
        <v>0</v>
      </c>
      <c r="U40" s="18">
        <v>46</v>
      </c>
      <c r="V40" s="18">
        <v>3570.34</v>
      </c>
      <c r="W40" s="18">
        <v>0.5</v>
      </c>
      <c r="X40" s="18">
        <v>23</v>
      </c>
      <c r="Y40" s="18">
        <v>1785.17</v>
      </c>
      <c r="Z40" s="18">
        <v>0.7</v>
      </c>
      <c r="AA40" s="18">
        <v>1785.17</v>
      </c>
      <c r="AB40" s="18">
        <v>495.88</v>
      </c>
      <c r="AC40" s="18">
        <v>44907.341376623161</v>
      </c>
      <c r="AD40" s="18">
        <v>37439651.274483167</v>
      </c>
      <c r="AE40" s="18" t="s">
        <v>1064</v>
      </c>
    </row>
    <row r="41" spans="1:31" x14ac:dyDescent="0.2">
      <c r="A41" s="18">
        <v>40</v>
      </c>
      <c r="B41" s="18">
        <v>40</v>
      </c>
      <c r="C41" s="18">
        <v>31</v>
      </c>
      <c r="D41" s="18">
        <v>472</v>
      </c>
      <c r="E41" s="18" t="s">
        <v>347</v>
      </c>
      <c r="F41" s="18" t="s">
        <v>349</v>
      </c>
      <c r="G41" s="18">
        <v>5600</v>
      </c>
      <c r="H41" s="18">
        <v>4.22</v>
      </c>
      <c r="I41" s="18">
        <v>6.14</v>
      </c>
      <c r="J41" s="18">
        <v>67.260000000000005</v>
      </c>
      <c r="K41" s="18">
        <v>0</v>
      </c>
      <c r="L41" s="18">
        <v>28.01</v>
      </c>
      <c r="M41" s="18">
        <v>0.49</v>
      </c>
      <c r="N41" s="18">
        <v>4.2300000000000004</v>
      </c>
      <c r="O41" s="18">
        <v>12</v>
      </c>
      <c r="P41" s="18">
        <v>1020.9</v>
      </c>
      <c r="Q41" s="18">
        <v>1</v>
      </c>
      <c r="R41" s="18">
        <v>12</v>
      </c>
      <c r="S41" s="18">
        <v>1020.9</v>
      </c>
      <c r="T41" s="18">
        <v>2.84</v>
      </c>
      <c r="U41" s="18">
        <v>9</v>
      </c>
      <c r="V41" s="18">
        <v>480.82</v>
      </c>
      <c r="W41" s="18">
        <v>0.5</v>
      </c>
      <c r="X41" s="18">
        <v>5</v>
      </c>
      <c r="Y41" s="18">
        <v>240.41</v>
      </c>
      <c r="Z41" s="18">
        <v>0.81</v>
      </c>
      <c r="AA41" s="18">
        <v>1261.31</v>
      </c>
      <c r="AB41" s="18">
        <v>350.36</v>
      </c>
      <c r="AC41" s="18">
        <v>20844.057476629991</v>
      </c>
      <c r="AD41" s="18">
        <v>9986970.9507401232</v>
      </c>
      <c r="AE41" s="18" t="s">
        <v>1076</v>
      </c>
    </row>
    <row r="42" spans="1:31" x14ac:dyDescent="0.2">
      <c r="A42" s="18">
        <v>41</v>
      </c>
      <c r="B42" s="18">
        <v>41</v>
      </c>
      <c r="C42" s="18">
        <v>32</v>
      </c>
      <c r="D42" s="18">
        <v>564</v>
      </c>
      <c r="E42" s="18" t="s">
        <v>584</v>
      </c>
      <c r="F42" s="18" t="s">
        <v>586</v>
      </c>
      <c r="G42" s="18">
        <v>5600</v>
      </c>
      <c r="H42" s="18">
        <v>2.76</v>
      </c>
      <c r="I42" s="18">
        <v>64.14</v>
      </c>
      <c r="J42" s="18">
        <v>82.51</v>
      </c>
      <c r="K42" s="18">
        <v>0</v>
      </c>
      <c r="L42" s="18">
        <v>3.62</v>
      </c>
      <c r="M42" s="18">
        <v>13.78</v>
      </c>
      <c r="N42" s="18">
        <v>0.09</v>
      </c>
      <c r="O42" s="18">
        <v>10</v>
      </c>
      <c r="P42" s="18">
        <v>850.75</v>
      </c>
      <c r="Q42" s="18">
        <v>1</v>
      </c>
      <c r="R42" s="18">
        <v>10</v>
      </c>
      <c r="S42" s="18">
        <v>850.75</v>
      </c>
      <c r="T42" s="18">
        <v>3.62</v>
      </c>
      <c r="U42" s="18">
        <v>117</v>
      </c>
      <c r="V42" s="18">
        <v>7477.14</v>
      </c>
      <c r="W42" s="18">
        <v>0.5</v>
      </c>
      <c r="X42" s="18">
        <v>59</v>
      </c>
      <c r="Y42" s="18">
        <v>3738.57</v>
      </c>
      <c r="Z42" s="18">
        <v>0.92</v>
      </c>
      <c r="AA42" s="18">
        <v>4589.32</v>
      </c>
      <c r="AB42" s="18">
        <v>1274.81</v>
      </c>
      <c r="AC42" s="18">
        <v>56632.469043122728</v>
      </c>
      <c r="AD42" s="18">
        <v>116900897.91313291</v>
      </c>
      <c r="AE42" s="18" t="s">
        <v>1074</v>
      </c>
    </row>
    <row r="43" spans="1:31" x14ac:dyDescent="0.2">
      <c r="A43" s="18">
        <v>42</v>
      </c>
      <c r="B43" s="18">
        <v>42</v>
      </c>
      <c r="C43" s="18">
        <v>33</v>
      </c>
      <c r="D43" s="18">
        <v>656</v>
      </c>
      <c r="E43" s="18" t="s">
        <v>860</v>
      </c>
      <c r="F43" s="18" t="s">
        <v>862</v>
      </c>
      <c r="G43" s="18">
        <v>5600</v>
      </c>
      <c r="H43" s="18">
        <v>12.78</v>
      </c>
      <c r="I43" s="18">
        <v>310.33999999999997</v>
      </c>
      <c r="J43" s="18">
        <v>49.81</v>
      </c>
      <c r="K43" s="18">
        <v>0.48</v>
      </c>
      <c r="L43" s="18">
        <v>42.24</v>
      </c>
      <c r="M43" s="18">
        <v>7.4</v>
      </c>
      <c r="N43" s="18">
        <v>0.06</v>
      </c>
      <c r="O43" s="18">
        <v>36</v>
      </c>
      <c r="P43" s="18">
        <v>3062.71</v>
      </c>
      <c r="Q43" s="18">
        <v>1</v>
      </c>
      <c r="R43" s="18">
        <v>36</v>
      </c>
      <c r="S43" s="18">
        <v>3062.71</v>
      </c>
      <c r="T43" s="18">
        <v>2.82</v>
      </c>
      <c r="U43" s="18">
        <v>448</v>
      </c>
      <c r="V43" s="18">
        <v>28630.43</v>
      </c>
      <c r="W43" s="18">
        <v>0.5</v>
      </c>
      <c r="X43" s="18">
        <v>224</v>
      </c>
      <c r="Y43" s="18">
        <v>14315.21</v>
      </c>
      <c r="Z43" s="18">
        <v>0.72</v>
      </c>
      <c r="AA43" s="18">
        <v>17377.919999999998</v>
      </c>
      <c r="AB43" s="18">
        <v>4827.2</v>
      </c>
      <c r="AC43" s="18">
        <v>100466.1889947516</v>
      </c>
      <c r="AD43" s="18">
        <v>321685868.15085518</v>
      </c>
      <c r="AE43" s="18" t="s">
        <v>1066</v>
      </c>
    </row>
    <row r="44" spans="1:31" x14ac:dyDescent="0.2">
      <c r="A44" s="18">
        <v>43</v>
      </c>
      <c r="B44" s="18">
        <v>43</v>
      </c>
      <c r="C44" s="18">
        <v>34</v>
      </c>
      <c r="D44" s="18">
        <v>657</v>
      </c>
      <c r="E44" s="18" t="s">
        <v>863</v>
      </c>
      <c r="F44" s="18" t="s">
        <v>865</v>
      </c>
      <c r="G44" s="18">
        <v>5600</v>
      </c>
      <c r="H44" s="18">
        <v>1.41</v>
      </c>
      <c r="I44" s="18">
        <v>84.6</v>
      </c>
      <c r="J44" s="18">
        <v>89.08</v>
      </c>
      <c r="K44" s="18">
        <v>1.52</v>
      </c>
      <c r="L44" s="18">
        <v>5.84</v>
      </c>
      <c r="M44" s="18">
        <v>1.91</v>
      </c>
      <c r="N44" s="18">
        <v>1.64</v>
      </c>
      <c r="O44" s="18">
        <v>7</v>
      </c>
      <c r="P44" s="18">
        <v>595.53</v>
      </c>
      <c r="Q44" s="18">
        <v>1</v>
      </c>
      <c r="R44" s="18">
        <v>7</v>
      </c>
      <c r="S44" s="18">
        <v>595.53</v>
      </c>
      <c r="T44" s="18">
        <v>4.96</v>
      </c>
      <c r="U44" s="18">
        <v>199</v>
      </c>
      <c r="V44" s="18">
        <v>12717.53</v>
      </c>
      <c r="W44" s="18">
        <v>0.5</v>
      </c>
      <c r="X44" s="18">
        <v>100</v>
      </c>
      <c r="Y44" s="18">
        <v>6358.77</v>
      </c>
      <c r="Z44" s="18">
        <v>1.18</v>
      </c>
      <c r="AA44" s="18">
        <v>6954.3</v>
      </c>
      <c r="AB44" s="18">
        <v>1931.75</v>
      </c>
      <c r="AC44" s="18">
        <v>79097.917083024309</v>
      </c>
      <c r="AD44" s="18">
        <v>161204763.09712881</v>
      </c>
      <c r="AE44" s="18" t="s">
        <v>1082</v>
      </c>
    </row>
    <row r="45" spans="1:31" x14ac:dyDescent="0.2">
      <c r="A45" s="18">
        <v>44</v>
      </c>
      <c r="B45" s="18">
        <v>44</v>
      </c>
      <c r="C45" s="18">
        <v>35</v>
      </c>
      <c r="D45" s="18">
        <v>670</v>
      </c>
      <c r="E45" s="18" t="s">
        <v>890</v>
      </c>
      <c r="F45" s="18" t="s">
        <v>892</v>
      </c>
      <c r="G45" s="18">
        <v>5600</v>
      </c>
      <c r="H45" s="18">
        <v>0.69</v>
      </c>
      <c r="I45" s="18">
        <v>41.81</v>
      </c>
      <c r="J45" s="18">
        <v>86.68</v>
      </c>
      <c r="K45" s="18">
        <v>1.24</v>
      </c>
      <c r="L45" s="18">
        <v>9.9700000000000006</v>
      </c>
      <c r="M45" s="18">
        <v>0.86</v>
      </c>
      <c r="N45" s="18">
        <v>1.24</v>
      </c>
      <c r="O45" s="18">
        <v>2</v>
      </c>
      <c r="P45" s="18">
        <v>170.15</v>
      </c>
      <c r="Q45" s="18">
        <v>1</v>
      </c>
      <c r="R45" s="18">
        <v>2</v>
      </c>
      <c r="S45" s="18">
        <v>170.15</v>
      </c>
      <c r="T45" s="18">
        <v>2.9</v>
      </c>
      <c r="U45" s="18">
        <v>66</v>
      </c>
      <c r="V45" s="18">
        <v>4217.88</v>
      </c>
      <c r="W45" s="18">
        <v>0.5</v>
      </c>
      <c r="X45" s="18">
        <v>33</v>
      </c>
      <c r="Y45" s="18">
        <v>2108.94</v>
      </c>
      <c r="Z45" s="18">
        <v>0.79</v>
      </c>
      <c r="AA45" s="18">
        <v>2279.09</v>
      </c>
      <c r="AB45" s="18">
        <v>633.08000000000004</v>
      </c>
      <c r="AC45" s="18">
        <v>92411.139082742302</v>
      </c>
      <c r="AD45" s="18">
        <v>147654987.4578371</v>
      </c>
      <c r="AE45" s="18" t="s">
        <v>1065</v>
      </c>
    </row>
    <row r="46" spans="1:31" x14ac:dyDescent="0.2">
      <c r="A46" s="18">
        <v>45</v>
      </c>
      <c r="B46" s="18">
        <v>45</v>
      </c>
      <c r="C46" s="18">
        <v>45</v>
      </c>
      <c r="D46" s="18">
        <v>369</v>
      </c>
      <c r="E46" s="18" t="s">
        <v>71</v>
      </c>
      <c r="F46" s="18" t="s">
        <v>73</v>
      </c>
      <c r="G46" s="18">
        <v>5600</v>
      </c>
      <c r="H46" s="18">
        <v>0</v>
      </c>
      <c r="I46" s="18">
        <v>47.9</v>
      </c>
      <c r="J46" s="18">
        <v>44.18</v>
      </c>
      <c r="K46" s="18">
        <v>0.17</v>
      </c>
      <c r="L46" s="18">
        <v>42.36</v>
      </c>
      <c r="M46" s="18">
        <v>2.17</v>
      </c>
      <c r="N46" s="18">
        <v>11.13</v>
      </c>
      <c r="O46" s="18">
        <v>0</v>
      </c>
      <c r="P46" s="18">
        <v>0</v>
      </c>
      <c r="Q46" s="18">
        <v>1</v>
      </c>
      <c r="R46" s="18">
        <v>0</v>
      </c>
      <c r="S46" s="18">
        <v>0</v>
      </c>
      <c r="T46" s="18">
        <v>0</v>
      </c>
      <c r="U46" s="18">
        <v>83</v>
      </c>
      <c r="V46" s="18">
        <v>5304.3</v>
      </c>
      <c r="W46" s="18">
        <v>0.5</v>
      </c>
      <c r="X46" s="18">
        <v>42</v>
      </c>
      <c r="Y46" s="18">
        <v>2652.15</v>
      </c>
      <c r="Z46" s="18">
        <v>0.88</v>
      </c>
      <c r="AA46" s="18">
        <v>2652.15</v>
      </c>
      <c r="AB46" s="18">
        <v>736.71</v>
      </c>
      <c r="AC46" s="18">
        <v>55104.00087845276</v>
      </c>
      <c r="AD46" s="18">
        <v>83450661.479290247</v>
      </c>
      <c r="AE46" s="18" t="s">
        <v>1065</v>
      </c>
    </row>
    <row r="47" spans="1:31" x14ac:dyDescent="0.2">
      <c r="A47" s="18">
        <v>46</v>
      </c>
      <c r="B47" s="18">
        <v>46</v>
      </c>
      <c r="C47" s="18">
        <v>46</v>
      </c>
      <c r="D47" s="18">
        <v>425</v>
      </c>
      <c r="E47" s="18" t="s">
        <v>182</v>
      </c>
      <c r="F47" s="18" t="s">
        <v>184</v>
      </c>
      <c r="G47" s="18">
        <v>5600</v>
      </c>
      <c r="H47" s="18">
        <v>0</v>
      </c>
      <c r="I47" s="18">
        <v>221.12</v>
      </c>
      <c r="J47" s="18">
        <v>6.42</v>
      </c>
      <c r="K47" s="18">
        <v>0.34</v>
      </c>
      <c r="L47" s="18">
        <v>92.98</v>
      </c>
      <c r="M47" s="18">
        <v>7.0000000000000007E-2</v>
      </c>
      <c r="N47" s="18">
        <v>0.18</v>
      </c>
      <c r="O47" s="18">
        <v>0</v>
      </c>
      <c r="P47" s="18">
        <v>0</v>
      </c>
      <c r="Q47" s="18">
        <v>1</v>
      </c>
      <c r="R47" s="18">
        <v>0</v>
      </c>
      <c r="S47" s="18">
        <v>0</v>
      </c>
      <c r="T47" s="18">
        <v>0</v>
      </c>
      <c r="U47" s="18">
        <v>277</v>
      </c>
      <c r="V47" s="18">
        <v>14798.45</v>
      </c>
      <c r="W47" s="18">
        <v>0.5</v>
      </c>
      <c r="X47" s="18">
        <v>139</v>
      </c>
      <c r="Y47" s="18">
        <v>7399.22</v>
      </c>
      <c r="Z47" s="18">
        <v>0.63</v>
      </c>
      <c r="AA47" s="18">
        <v>7399.22</v>
      </c>
      <c r="AB47" s="18">
        <v>2055.34</v>
      </c>
      <c r="AC47" s="18">
        <v>87511.610981196456</v>
      </c>
      <c r="AD47" s="18">
        <v>318677847.40961492</v>
      </c>
      <c r="AE47" s="18" t="s">
        <v>1071</v>
      </c>
    </row>
    <row r="48" spans="1:31" x14ac:dyDescent="0.2">
      <c r="A48" s="18">
        <v>47</v>
      </c>
      <c r="B48" s="18">
        <v>47</v>
      </c>
      <c r="C48" s="18">
        <v>47</v>
      </c>
      <c r="D48" s="18">
        <v>426</v>
      </c>
      <c r="E48" s="18" t="s">
        <v>314</v>
      </c>
      <c r="F48" s="18" t="s">
        <v>316</v>
      </c>
      <c r="G48" s="18">
        <v>5600</v>
      </c>
      <c r="H48" s="18">
        <v>0</v>
      </c>
      <c r="I48" s="18">
        <v>19.52</v>
      </c>
      <c r="J48" s="18">
        <v>28.13</v>
      </c>
      <c r="K48" s="18">
        <v>0</v>
      </c>
      <c r="L48" s="18">
        <v>70.650000000000006</v>
      </c>
      <c r="M48" s="18">
        <v>0.82</v>
      </c>
      <c r="N48" s="18">
        <v>0.41</v>
      </c>
      <c r="O48" s="18">
        <v>0</v>
      </c>
      <c r="P48" s="18">
        <v>0</v>
      </c>
      <c r="Q48" s="18">
        <v>1</v>
      </c>
      <c r="R48" s="18">
        <v>0</v>
      </c>
      <c r="S48" s="18">
        <v>0</v>
      </c>
      <c r="T48" s="18">
        <v>0</v>
      </c>
      <c r="U48" s="18">
        <v>40</v>
      </c>
      <c r="V48" s="18">
        <v>2136.96</v>
      </c>
      <c r="W48" s="18">
        <v>0.5</v>
      </c>
      <c r="X48" s="18">
        <v>20</v>
      </c>
      <c r="Y48" s="18">
        <v>1068.48</v>
      </c>
      <c r="Z48" s="18">
        <v>1.02</v>
      </c>
      <c r="AA48" s="18">
        <v>1068.48</v>
      </c>
      <c r="AB48" s="18">
        <v>296.8</v>
      </c>
      <c r="AC48" s="18">
        <v>49851.135590935613</v>
      </c>
      <c r="AD48" s="18">
        <v>36724609.166041449</v>
      </c>
      <c r="AE48" s="18" t="s">
        <v>1072</v>
      </c>
    </row>
    <row r="49" spans="1:31" x14ac:dyDescent="0.2">
      <c r="A49" s="18">
        <v>48</v>
      </c>
      <c r="B49" s="18">
        <v>48</v>
      </c>
      <c r="C49" s="18">
        <v>48</v>
      </c>
      <c r="D49" s="18">
        <v>529</v>
      </c>
      <c r="E49" s="18" t="s">
        <v>506</v>
      </c>
      <c r="F49" s="18" t="s">
        <v>508</v>
      </c>
      <c r="G49" s="18">
        <v>5600</v>
      </c>
      <c r="H49" s="18">
        <v>0</v>
      </c>
      <c r="I49" s="18">
        <v>0.22</v>
      </c>
      <c r="J49" s="18">
        <v>63.64</v>
      </c>
      <c r="K49" s="18">
        <v>0</v>
      </c>
      <c r="L49" s="18">
        <v>36.36</v>
      </c>
      <c r="M49" s="18">
        <v>0</v>
      </c>
      <c r="N49" s="18">
        <v>0</v>
      </c>
      <c r="O49" s="18">
        <v>0</v>
      </c>
      <c r="P49" s="18">
        <v>0</v>
      </c>
      <c r="Q49" s="18">
        <v>1</v>
      </c>
      <c r="R49" s="18">
        <v>0</v>
      </c>
      <c r="S49" s="18">
        <v>0</v>
      </c>
      <c r="T49" s="18">
        <v>0</v>
      </c>
      <c r="U49" s="18">
        <v>1</v>
      </c>
      <c r="V49" s="18">
        <v>58.06</v>
      </c>
      <c r="W49" s="18">
        <v>0.5</v>
      </c>
      <c r="X49" s="18">
        <v>1</v>
      </c>
      <c r="Y49" s="18">
        <v>29.03</v>
      </c>
      <c r="Z49" s="18">
        <v>4.55</v>
      </c>
      <c r="AA49" s="18">
        <v>29.03</v>
      </c>
      <c r="AB49" s="18">
        <v>8.06</v>
      </c>
      <c r="AC49" s="18">
        <v>14935.014962566151</v>
      </c>
      <c r="AD49" s="18">
        <v>10769938.432464991</v>
      </c>
      <c r="AE49" s="18" t="s">
        <v>1101</v>
      </c>
    </row>
    <row r="50" spans="1:31" x14ac:dyDescent="0.2">
      <c r="A50" s="18">
        <v>49</v>
      </c>
      <c r="B50" s="18">
        <v>49</v>
      </c>
      <c r="C50" s="18">
        <v>49</v>
      </c>
      <c r="D50" s="18">
        <v>665</v>
      </c>
      <c r="E50" s="18" t="s">
        <v>998</v>
      </c>
      <c r="F50" s="18" t="s">
        <v>1000</v>
      </c>
      <c r="G50" s="18">
        <v>5600</v>
      </c>
      <c r="H50" s="18">
        <v>3.41</v>
      </c>
      <c r="I50" s="18">
        <v>158.69999999999999</v>
      </c>
      <c r="J50" s="18">
        <v>85.49</v>
      </c>
      <c r="K50" s="18">
        <v>7.0000000000000007E-2</v>
      </c>
      <c r="L50" s="18">
        <v>10.06</v>
      </c>
      <c r="M50" s="18">
        <v>4.1100000000000003</v>
      </c>
      <c r="N50" s="18">
        <v>0.26</v>
      </c>
      <c r="O50" s="18">
        <v>11</v>
      </c>
      <c r="P50" s="18">
        <v>935.83</v>
      </c>
      <c r="Q50" s="18">
        <v>1</v>
      </c>
      <c r="R50" s="18">
        <v>11</v>
      </c>
      <c r="S50" s="18">
        <v>935.83</v>
      </c>
      <c r="T50" s="18">
        <v>3.23</v>
      </c>
      <c r="U50" s="18">
        <v>298</v>
      </c>
      <c r="V50" s="18">
        <v>19044.349999999999</v>
      </c>
      <c r="W50" s="18">
        <v>0.5</v>
      </c>
      <c r="X50" s="18">
        <v>149</v>
      </c>
      <c r="Y50" s="18">
        <v>9522.17</v>
      </c>
      <c r="Z50" s="18">
        <v>0.94</v>
      </c>
      <c r="AA50" s="18">
        <v>10458</v>
      </c>
      <c r="AB50" s="18">
        <v>2905</v>
      </c>
      <c r="AC50" s="18">
        <v>100444.65712716689</v>
      </c>
      <c r="AD50" s="18">
        <v>295782656.76481771</v>
      </c>
      <c r="AE50" s="18" t="s">
        <v>1086</v>
      </c>
    </row>
    <row r="51" spans="1:31" x14ac:dyDescent="0.2">
      <c r="A51" s="18">
        <v>50</v>
      </c>
      <c r="B51" s="18">
        <v>50</v>
      </c>
      <c r="C51" s="18">
        <v>50</v>
      </c>
      <c r="D51" s="18">
        <v>436</v>
      </c>
      <c r="E51" s="18" t="s">
        <v>212</v>
      </c>
      <c r="F51" s="18" t="s">
        <v>214</v>
      </c>
      <c r="G51" s="18">
        <v>5600</v>
      </c>
      <c r="H51" s="18">
        <v>1.32</v>
      </c>
      <c r="I51" s="18">
        <v>34.49</v>
      </c>
      <c r="J51" s="18">
        <v>88.32</v>
      </c>
      <c r="K51" s="18">
        <v>0</v>
      </c>
      <c r="L51" s="18">
        <v>11.08</v>
      </c>
      <c r="M51" s="18">
        <v>0.55000000000000004</v>
      </c>
      <c r="N51" s="18">
        <v>0.06</v>
      </c>
      <c r="O51" s="18">
        <v>4</v>
      </c>
      <c r="P51" s="18">
        <v>340.3</v>
      </c>
      <c r="Q51" s="18">
        <v>1</v>
      </c>
      <c r="R51" s="18">
        <v>4</v>
      </c>
      <c r="S51" s="18">
        <v>340.3</v>
      </c>
      <c r="T51" s="18">
        <v>3.03</v>
      </c>
      <c r="U51" s="18">
        <v>61</v>
      </c>
      <c r="V51" s="18">
        <v>3541.71</v>
      </c>
      <c r="W51" s="18">
        <v>0.5</v>
      </c>
      <c r="X51" s="18">
        <v>31</v>
      </c>
      <c r="Y51" s="18">
        <v>1770.85</v>
      </c>
      <c r="Z51" s="18">
        <v>0.9</v>
      </c>
      <c r="AA51" s="18">
        <v>2111.15</v>
      </c>
      <c r="AB51" s="18">
        <v>586.42999999999995</v>
      </c>
      <c r="AC51" s="18">
        <v>55453.147517179663</v>
      </c>
      <c r="AD51" s="18">
        <v>69940709.421238914</v>
      </c>
      <c r="AE51" s="18" t="s">
        <v>1071</v>
      </c>
    </row>
    <row r="52" spans="1:31" x14ac:dyDescent="0.2">
      <c r="A52" s="18">
        <v>51</v>
      </c>
      <c r="B52" s="18">
        <v>51</v>
      </c>
      <c r="C52" s="18">
        <v>51</v>
      </c>
      <c r="D52" s="18">
        <v>686</v>
      </c>
      <c r="E52" s="18" t="s">
        <v>938</v>
      </c>
      <c r="F52" s="18" t="s">
        <v>940</v>
      </c>
      <c r="G52" s="18">
        <v>5600</v>
      </c>
      <c r="H52" s="18">
        <v>0.61</v>
      </c>
      <c r="I52" s="18">
        <v>12.13</v>
      </c>
      <c r="J52" s="18">
        <v>92.25</v>
      </c>
      <c r="K52" s="18">
        <v>0</v>
      </c>
      <c r="L52" s="18">
        <v>0.74</v>
      </c>
      <c r="M52" s="18">
        <v>6.76</v>
      </c>
      <c r="N52" s="18">
        <v>0.25</v>
      </c>
      <c r="O52" s="18">
        <v>1</v>
      </c>
      <c r="P52" s="18">
        <v>85.08</v>
      </c>
      <c r="Q52" s="18">
        <v>1</v>
      </c>
      <c r="R52" s="18">
        <v>1</v>
      </c>
      <c r="S52" s="18">
        <v>85.08</v>
      </c>
      <c r="T52" s="18">
        <v>1.64</v>
      </c>
      <c r="U52" s="18">
        <v>33</v>
      </c>
      <c r="V52" s="18">
        <v>2108.94</v>
      </c>
      <c r="W52" s="18">
        <v>0.5</v>
      </c>
      <c r="X52" s="18">
        <v>17</v>
      </c>
      <c r="Y52" s="18">
        <v>1054.47</v>
      </c>
      <c r="Z52" s="18">
        <v>1.4</v>
      </c>
      <c r="AA52" s="18">
        <v>1139.55</v>
      </c>
      <c r="AB52" s="18">
        <v>316.54000000000002</v>
      </c>
      <c r="AC52" s="18">
        <v>56773.045128803933</v>
      </c>
      <c r="AD52" s="18">
        <v>63990367.562682644</v>
      </c>
      <c r="AE52" s="18" t="s">
        <v>1087</v>
      </c>
    </row>
    <row r="53" spans="1:31" x14ac:dyDescent="0.2">
      <c r="A53" s="18">
        <v>52</v>
      </c>
      <c r="B53" s="18">
        <v>52</v>
      </c>
      <c r="C53" s="18">
        <v>52</v>
      </c>
      <c r="D53" s="18">
        <v>524</v>
      </c>
      <c r="E53" s="18" t="s">
        <v>494</v>
      </c>
      <c r="F53" s="18" t="s">
        <v>496</v>
      </c>
      <c r="G53" s="18">
        <v>5600</v>
      </c>
      <c r="H53" s="18">
        <v>2.02</v>
      </c>
      <c r="I53" s="18">
        <v>41.43</v>
      </c>
      <c r="J53" s="18">
        <v>54.98</v>
      </c>
      <c r="K53" s="18">
        <v>0</v>
      </c>
      <c r="L53" s="18">
        <v>32.03</v>
      </c>
      <c r="M53" s="18">
        <v>12.91</v>
      </c>
      <c r="N53" s="18">
        <v>7.0000000000000007E-2</v>
      </c>
      <c r="O53" s="18">
        <v>7</v>
      </c>
      <c r="P53" s="18">
        <v>595.53</v>
      </c>
      <c r="Q53" s="18">
        <v>1</v>
      </c>
      <c r="R53" s="18">
        <v>7</v>
      </c>
      <c r="S53" s="18">
        <v>595.53</v>
      </c>
      <c r="T53" s="18">
        <v>3.47</v>
      </c>
      <c r="U53" s="18">
        <v>65</v>
      </c>
      <c r="V53" s="18">
        <v>4153.97</v>
      </c>
      <c r="W53" s="18">
        <v>0.5</v>
      </c>
      <c r="X53" s="18">
        <v>33</v>
      </c>
      <c r="Y53" s="18">
        <v>2076.98</v>
      </c>
      <c r="Z53" s="18">
        <v>0.8</v>
      </c>
      <c r="AA53" s="18">
        <v>2672.51</v>
      </c>
      <c r="AB53" s="18">
        <v>742.36</v>
      </c>
      <c r="AC53" s="18">
        <v>55359.797735438777</v>
      </c>
      <c r="AD53" s="18">
        <v>91172379.586807802</v>
      </c>
      <c r="AE53" s="18" t="s">
        <v>1078</v>
      </c>
    </row>
    <row r="54" spans="1:31" x14ac:dyDescent="0.2">
      <c r="A54" s="18">
        <v>53</v>
      </c>
      <c r="B54" s="18">
        <v>53</v>
      </c>
      <c r="C54" s="18">
        <v>53</v>
      </c>
      <c r="D54" s="18">
        <v>669</v>
      </c>
      <c r="E54" s="18" t="s">
        <v>887</v>
      </c>
      <c r="F54" s="18" t="s">
        <v>889</v>
      </c>
      <c r="G54" s="18">
        <v>5600</v>
      </c>
      <c r="H54" s="18">
        <v>0</v>
      </c>
      <c r="I54" s="18">
        <v>46.55</v>
      </c>
      <c r="J54" s="18">
        <v>69.97</v>
      </c>
      <c r="K54" s="18">
        <v>0</v>
      </c>
      <c r="L54" s="18">
        <v>28.81</v>
      </c>
      <c r="M54" s="18">
        <v>0.04</v>
      </c>
      <c r="N54" s="18">
        <v>1.18</v>
      </c>
      <c r="O54" s="18">
        <v>0</v>
      </c>
      <c r="P54" s="18">
        <v>0</v>
      </c>
      <c r="Q54" s="18">
        <v>1</v>
      </c>
      <c r="R54" s="18">
        <v>0</v>
      </c>
      <c r="S54" s="18">
        <v>0</v>
      </c>
      <c r="T54" s="18">
        <v>0</v>
      </c>
      <c r="U54" s="18">
        <v>90</v>
      </c>
      <c r="V54" s="18">
        <v>4808.16</v>
      </c>
      <c r="W54" s="18">
        <v>0.5</v>
      </c>
      <c r="X54" s="18">
        <v>45</v>
      </c>
      <c r="Y54" s="18">
        <v>2404.08</v>
      </c>
      <c r="Z54" s="18">
        <v>0.97</v>
      </c>
      <c r="AA54" s="18">
        <v>2404.08</v>
      </c>
      <c r="AB54" s="18">
        <v>667.8</v>
      </c>
      <c r="AC54" s="18">
        <v>50376.480403014117</v>
      </c>
      <c r="AD54" s="18">
        <v>73366286.702668622</v>
      </c>
      <c r="AE54" s="18" t="s">
        <v>1083</v>
      </c>
    </row>
    <row r="55" spans="1:31" x14ac:dyDescent="0.2">
      <c r="A55" s="18">
        <v>54</v>
      </c>
      <c r="B55" s="18">
        <v>54</v>
      </c>
      <c r="C55" s="18">
        <v>54</v>
      </c>
      <c r="D55" s="18">
        <v>396</v>
      </c>
      <c r="E55" s="18" t="s">
        <v>104</v>
      </c>
      <c r="F55" s="18" t="s">
        <v>106</v>
      </c>
      <c r="G55" s="18">
        <v>5600</v>
      </c>
      <c r="H55" s="18">
        <v>0</v>
      </c>
      <c r="I55" s="18">
        <v>85.8</v>
      </c>
      <c r="J55" s="18">
        <v>84.46</v>
      </c>
      <c r="K55" s="18">
        <v>0.41</v>
      </c>
      <c r="L55" s="18">
        <v>11.88</v>
      </c>
      <c r="M55" s="18">
        <v>2.67</v>
      </c>
      <c r="N55" s="18">
        <v>0.57999999999999996</v>
      </c>
      <c r="O55" s="18">
        <v>0</v>
      </c>
      <c r="P55" s="18">
        <v>0</v>
      </c>
      <c r="Q55" s="18">
        <v>1</v>
      </c>
      <c r="R55" s="18">
        <v>0</v>
      </c>
      <c r="S55" s="18">
        <v>0</v>
      </c>
      <c r="T55" s="18">
        <v>0</v>
      </c>
      <c r="U55" s="18">
        <v>230</v>
      </c>
      <c r="V55" s="18">
        <v>14698.66</v>
      </c>
      <c r="W55" s="18">
        <v>0.5</v>
      </c>
      <c r="X55" s="18">
        <v>115</v>
      </c>
      <c r="Y55" s="18">
        <v>7349.33</v>
      </c>
      <c r="Z55" s="18">
        <v>1.34</v>
      </c>
      <c r="AA55" s="18">
        <v>7349.33</v>
      </c>
      <c r="AB55" s="18">
        <v>2041.48</v>
      </c>
      <c r="AC55" s="18">
        <v>122593.308202371</v>
      </c>
      <c r="AD55" s="18">
        <v>317244631.83105308</v>
      </c>
      <c r="AE55" s="18" t="s">
        <v>1066</v>
      </c>
    </row>
    <row r="56" spans="1:31" x14ac:dyDescent="0.2">
      <c r="A56" s="18">
        <v>55</v>
      </c>
      <c r="B56" s="18">
        <v>55</v>
      </c>
      <c r="C56" s="18">
        <v>55</v>
      </c>
      <c r="D56" s="18">
        <v>699</v>
      </c>
      <c r="E56" s="18" t="s">
        <v>986</v>
      </c>
      <c r="F56" s="18" t="s">
        <v>988</v>
      </c>
      <c r="G56" s="18">
        <v>5600</v>
      </c>
      <c r="H56" s="18">
        <v>0</v>
      </c>
      <c r="I56" s="18">
        <v>49.85</v>
      </c>
      <c r="J56" s="18">
        <v>41.42</v>
      </c>
      <c r="K56" s="18">
        <v>0.94</v>
      </c>
      <c r="L56" s="18">
        <v>48.18</v>
      </c>
      <c r="M56" s="18">
        <v>8.1999999999999993</v>
      </c>
      <c r="N56" s="18">
        <v>1.24</v>
      </c>
      <c r="O56" s="18">
        <v>0</v>
      </c>
      <c r="P56" s="18">
        <v>0</v>
      </c>
      <c r="Q56" s="18">
        <v>1</v>
      </c>
      <c r="R56" s="18">
        <v>0</v>
      </c>
      <c r="S56" s="18">
        <v>0</v>
      </c>
      <c r="T56" s="18">
        <v>0</v>
      </c>
      <c r="U56" s="18">
        <v>108</v>
      </c>
      <c r="V56" s="18">
        <v>5769.79</v>
      </c>
      <c r="W56" s="18">
        <v>0.5</v>
      </c>
      <c r="X56" s="18">
        <v>54</v>
      </c>
      <c r="Y56" s="18">
        <v>2884.9</v>
      </c>
      <c r="Z56" s="18">
        <v>1.08</v>
      </c>
      <c r="AA56" s="18">
        <v>2884.9</v>
      </c>
      <c r="AB56" s="18">
        <v>801.36</v>
      </c>
      <c r="AC56" s="18">
        <v>64832.776112837309</v>
      </c>
      <c r="AD56" s="18">
        <v>93242739.81477727</v>
      </c>
      <c r="AE56" s="18" t="s">
        <v>1073</v>
      </c>
    </row>
    <row r="57" spans="1:31" x14ac:dyDescent="0.2">
      <c r="A57" s="18">
        <v>56</v>
      </c>
      <c r="B57" s="18">
        <v>56</v>
      </c>
      <c r="C57" s="18">
        <v>56</v>
      </c>
      <c r="D57" s="18">
        <v>599</v>
      </c>
      <c r="E57" s="18" t="s">
        <v>665</v>
      </c>
      <c r="F57" s="18" t="s">
        <v>667</v>
      </c>
      <c r="G57" s="18">
        <v>5600</v>
      </c>
      <c r="H57" s="18">
        <v>0.61</v>
      </c>
      <c r="I57" s="18">
        <v>100.93</v>
      </c>
      <c r="J57" s="18">
        <v>85.43</v>
      </c>
      <c r="K57" s="18">
        <v>0.34</v>
      </c>
      <c r="L57" s="18">
        <v>9.4700000000000006</v>
      </c>
      <c r="M57" s="18">
        <v>2.97</v>
      </c>
      <c r="N57" s="18">
        <v>1.79</v>
      </c>
      <c r="O57" s="18">
        <v>4</v>
      </c>
      <c r="P57" s="18">
        <v>340.3</v>
      </c>
      <c r="Q57" s="18">
        <v>1</v>
      </c>
      <c r="R57" s="18">
        <v>4</v>
      </c>
      <c r="S57" s="18">
        <v>340.3</v>
      </c>
      <c r="T57" s="18">
        <v>6.56</v>
      </c>
      <c r="U57" s="18">
        <v>172</v>
      </c>
      <c r="V57" s="18">
        <v>9986.4599999999991</v>
      </c>
      <c r="W57" s="18">
        <v>0.5</v>
      </c>
      <c r="X57" s="18">
        <v>86</v>
      </c>
      <c r="Y57" s="18">
        <v>4993.2299999999996</v>
      </c>
      <c r="Z57" s="18">
        <v>0.85</v>
      </c>
      <c r="AA57" s="18">
        <v>5333.53</v>
      </c>
      <c r="AB57" s="18">
        <v>1481.54</v>
      </c>
      <c r="AC57" s="18">
        <v>72298.37791184675</v>
      </c>
      <c r="AD57" s="18">
        <v>170971132.0747976</v>
      </c>
      <c r="AE57" s="18" t="s">
        <v>1080</v>
      </c>
    </row>
    <row r="58" spans="1:31" x14ac:dyDescent="0.2">
      <c r="A58" s="18">
        <v>57</v>
      </c>
      <c r="B58" s="18">
        <v>57</v>
      </c>
      <c r="C58" s="18">
        <v>57</v>
      </c>
      <c r="D58" s="18">
        <v>376</v>
      </c>
      <c r="E58" s="18" t="s">
        <v>83</v>
      </c>
      <c r="F58" s="18" t="s">
        <v>85</v>
      </c>
      <c r="G58" s="18">
        <v>5600</v>
      </c>
      <c r="H58" s="18">
        <v>0</v>
      </c>
      <c r="I58" s="18">
        <v>22.96</v>
      </c>
      <c r="J58" s="18">
        <v>96.78</v>
      </c>
      <c r="K58" s="18">
        <v>0</v>
      </c>
      <c r="L58" s="18">
        <v>1.22</v>
      </c>
      <c r="M58" s="18">
        <v>1.96</v>
      </c>
      <c r="N58" s="18">
        <v>0.04</v>
      </c>
      <c r="O58" s="18">
        <v>0</v>
      </c>
      <c r="P58" s="18">
        <v>0</v>
      </c>
      <c r="Q58" s="18">
        <v>1</v>
      </c>
      <c r="R58" s="18">
        <v>0</v>
      </c>
      <c r="S58" s="18">
        <v>0</v>
      </c>
      <c r="T58" s="18">
        <v>0</v>
      </c>
      <c r="U58" s="18">
        <v>49</v>
      </c>
      <c r="V58" s="18">
        <v>3131.45</v>
      </c>
      <c r="W58" s="18">
        <v>0.5</v>
      </c>
      <c r="X58" s="18">
        <v>25</v>
      </c>
      <c r="Y58" s="18">
        <v>1565.73</v>
      </c>
      <c r="Z58" s="18">
        <v>1.0900000000000001</v>
      </c>
      <c r="AA58" s="18">
        <v>1565.73</v>
      </c>
      <c r="AB58" s="18">
        <v>434.93</v>
      </c>
      <c r="AC58" s="18">
        <v>53026.575572264337</v>
      </c>
      <c r="AD58" s="18">
        <v>56984399.109606363</v>
      </c>
      <c r="AE58" s="18" t="s">
        <v>1065</v>
      </c>
    </row>
    <row r="59" spans="1:31" x14ac:dyDescent="0.2">
      <c r="A59" s="18">
        <v>58</v>
      </c>
      <c r="B59" s="18">
        <v>58</v>
      </c>
      <c r="C59" s="18">
        <v>58</v>
      </c>
      <c r="D59" s="18">
        <v>378</v>
      </c>
      <c r="E59" s="18" t="s">
        <v>830</v>
      </c>
      <c r="F59" s="18" t="s">
        <v>832</v>
      </c>
      <c r="G59" s="18">
        <v>5600</v>
      </c>
      <c r="H59" s="18">
        <v>0</v>
      </c>
      <c r="I59" s="18">
        <v>319.39</v>
      </c>
      <c r="J59" s="18">
        <v>55.36</v>
      </c>
      <c r="K59" s="18">
        <v>0.03</v>
      </c>
      <c r="L59" s="18">
        <v>42.62</v>
      </c>
      <c r="M59" s="18">
        <v>1.58</v>
      </c>
      <c r="N59" s="18">
        <v>0.41</v>
      </c>
      <c r="O59" s="18">
        <v>0</v>
      </c>
      <c r="P59" s="18">
        <v>0</v>
      </c>
      <c r="Q59" s="18">
        <v>1</v>
      </c>
      <c r="R59" s="18">
        <v>0</v>
      </c>
      <c r="S59" s="18">
        <v>0</v>
      </c>
      <c r="T59" s="18">
        <v>0</v>
      </c>
      <c r="U59" s="18">
        <v>444</v>
      </c>
      <c r="V59" s="18">
        <v>28374.799999999999</v>
      </c>
      <c r="W59" s="18">
        <v>0.5</v>
      </c>
      <c r="X59" s="18">
        <v>222</v>
      </c>
      <c r="Y59" s="18">
        <v>14187.4</v>
      </c>
      <c r="Z59" s="18">
        <v>0.7</v>
      </c>
      <c r="AA59" s="18">
        <v>14187.4</v>
      </c>
      <c r="AB59" s="18">
        <v>3940.95</v>
      </c>
      <c r="AC59" s="18">
        <v>92821.771160893913</v>
      </c>
      <c r="AD59" s="18">
        <v>278860605.4753086</v>
      </c>
      <c r="AE59" s="18" t="s">
        <v>1065</v>
      </c>
    </row>
    <row r="60" spans="1:31" x14ac:dyDescent="0.2">
      <c r="A60" s="18">
        <v>59</v>
      </c>
      <c r="B60" s="18">
        <v>59</v>
      </c>
      <c r="C60" s="18">
        <v>59</v>
      </c>
      <c r="D60" s="18">
        <v>644</v>
      </c>
      <c r="E60" s="18" t="s">
        <v>809</v>
      </c>
      <c r="F60" s="18" t="s">
        <v>811</v>
      </c>
      <c r="G60" s="18">
        <v>5600</v>
      </c>
      <c r="H60" s="18">
        <v>0</v>
      </c>
      <c r="I60" s="18">
        <v>22.78</v>
      </c>
      <c r="J60" s="18">
        <v>96.53</v>
      </c>
      <c r="K60" s="18">
        <v>0.09</v>
      </c>
      <c r="L60" s="18">
        <v>2.63</v>
      </c>
      <c r="M60" s="18">
        <v>0.56999999999999995</v>
      </c>
      <c r="N60" s="18">
        <v>0.18</v>
      </c>
      <c r="O60" s="18">
        <v>0</v>
      </c>
      <c r="P60" s="18">
        <v>0</v>
      </c>
      <c r="Q60" s="18">
        <v>1</v>
      </c>
      <c r="R60" s="18">
        <v>0</v>
      </c>
      <c r="S60" s="18">
        <v>0</v>
      </c>
      <c r="T60" s="18">
        <v>0</v>
      </c>
      <c r="U60" s="18">
        <v>56</v>
      </c>
      <c r="V60" s="18">
        <v>3251.4</v>
      </c>
      <c r="W60" s="18">
        <v>0.5</v>
      </c>
      <c r="X60" s="18">
        <v>28</v>
      </c>
      <c r="Y60" s="18">
        <v>1625.7</v>
      </c>
      <c r="Z60" s="18">
        <v>1.23</v>
      </c>
      <c r="AA60" s="18">
        <v>1625.7</v>
      </c>
      <c r="AB60" s="18">
        <v>451.58</v>
      </c>
      <c r="AC60" s="18">
        <v>44056.595791952983</v>
      </c>
      <c r="AD60" s="18">
        <v>75241828.720626682</v>
      </c>
      <c r="AE60" s="18" t="s">
        <v>1082</v>
      </c>
    </row>
    <row r="61" spans="1:31" x14ac:dyDescent="0.2">
      <c r="A61" s="18">
        <v>60</v>
      </c>
      <c r="B61" s="18">
        <v>60</v>
      </c>
      <c r="C61" s="18">
        <v>60</v>
      </c>
      <c r="D61" s="18">
        <v>637</v>
      </c>
      <c r="E61" s="18" t="s">
        <v>821</v>
      </c>
      <c r="F61" s="18" t="s">
        <v>823</v>
      </c>
      <c r="G61" s="18">
        <v>5600</v>
      </c>
      <c r="H61" s="18">
        <v>0</v>
      </c>
      <c r="I61" s="18">
        <v>87.96</v>
      </c>
      <c r="J61" s="18">
        <v>40.770000000000003</v>
      </c>
      <c r="K61" s="18">
        <v>0.01</v>
      </c>
      <c r="L61" s="18">
        <v>57.76</v>
      </c>
      <c r="M61" s="18">
        <v>0.56999999999999995</v>
      </c>
      <c r="N61" s="18">
        <v>0.89</v>
      </c>
      <c r="O61" s="18">
        <v>0</v>
      </c>
      <c r="P61" s="18">
        <v>0</v>
      </c>
      <c r="Q61" s="18">
        <v>1</v>
      </c>
      <c r="R61" s="18">
        <v>0</v>
      </c>
      <c r="S61" s="18">
        <v>0</v>
      </c>
      <c r="T61" s="18">
        <v>0</v>
      </c>
      <c r="U61" s="18">
        <v>138</v>
      </c>
      <c r="V61" s="18">
        <v>7372.51</v>
      </c>
      <c r="W61" s="18">
        <v>0.5</v>
      </c>
      <c r="X61" s="18">
        <v>69</v>
      </c>
      <c r="Y61" s="18">
        <v>3686.26</v>
      </c>
      <c r="Z61" s="18">
        <v>0.78</v>
      </c>
      <c r="AA61" s="18">
        <v>3686.26</v>
      </c>
      <c r="AB61" s="18">
        <v>1023.96</v>
      </c>
      <c r="AC61" s="18">
        <v>68626.195704770376</v>
      </c>
      <c r="AD61" s="18">
        <v>88700790.601287663</v>
      </c>
      <c r="AE61" s="18" t="s">
        <v>1085</v>
      </c>
    </row>
    <row r="62" spans="1:31" x14ac:dyDescent="0.2">
      <c r="A62" s="18">
        <v>61</v>
      </c>
      <c r="B62" s="18">
        <v>61</v>
      </c>
      <c r="C62" s="18">
        <v>61</v>
      </c>
      <c r="D62" s="18">
        <v>591</v>
      </c>
      <c r="E62" s="18" t="s">
        <v>653</v>
      </c>
      <c r="F62" s="18" t="s">
        <v>655</v>
      </c>
      <c r="G62" s="18">
        <v>5600</v>
      </c>
      <c r="H62" s="18">
        <v>0</v>
      </c>
      <c r="I62" s="18">
        <v>10.85</v>
      </c>
      <c r="J62" s="18">
        <v>57.6</v>
      </c>
      <c r="K62" s="18">
        <v>0</v>
      </c>
      <c r="L62" s="18">
        <v>41.11</v>
      </c>
      <c r="M62" s="18">
        <v>0.09</v>
      </c>
      <c r="N62" s="18">
        <v>1.2</v>
      </c>
      <c r="O62" s="18">
        <v>0</v>
      </c>
      <c r="P62" s="18">
        <v>0</v>
      </c>
      <c r="Q62" s="18">
        <v>1</v>
      </c>
      <c r="R62" s="18">
        <v>0</v>
      </c>
      <c r="S62" s="18">
        <v>0</v>
      </c>
      <c r="T62" s="18">
        <v>0</v>
      </c>
      <c r="U62" s="18">
        <v>24</v>
      </c>
      <c r="V62" s="18">
        <v>1282.18</v>
      </c>
      <c r="W62" s="18">
        <v>0.5</v>
      </c>
      <c r="X62" s="18">
        <v>12</v>
      </c>
      <c r="Y62" s="18">
        <v>641.09</v>
      </c>
      <c r="Z62" s="18">
        <v>1.1100000000000001</v>
      </c>
      <c r="AA62" s="18">
        <v>641.09</v>
      </c>
      <c r="AB62" s="18">
        <v>178.08</v>
      </c>
      <c r="AC62" s="18">
        <v>35028.670521253713</v>
      </c>
      <c r="AD62" s="18">
        <v>33916239.756012224</v>
      </c>
      <c r="AE62" s="18" t="s">
        <v>1081</v>
      </c>
    </row>
    <row r="63" spans="1:31" x14ac:dyDescent="0.2">
      <c r="A63" s="18">
        <v>62</v>
      </c>
      <c r="B63" s="18">
        <v>62</v>
      </c>
      <c r="C63" s="18">
        <v>62</v>
      </c>
      <c r="D63" s="18">
        <v>652</v>
      </c>
      <c r="E63" s="18" t="s">
        <v>956</v>
      </c>
      <c r="F63" s="18" t="s">
        <v>958</v>
      </c>
      <c r="G63" s="18">
        <v>5600</v>
      </c>
      <c r="H63" s="18">
        <v>0.36</v>
      </c>
      <c r="I63" s="18">
        <v>39.18</v>
      </c>
      <c r="J63" s="18">
        <v>81.040000000000006</v>
      </c>
      <c r="K63" s="18">
        <v>0</v>
      </c>
      <c r="L63" s="18">
        <v>16.18</v>
      </c>
      <c r="M63" s="18">
        <v>0.64</v>
      </c>
      <c r="N63" s="18">
        <v>2.14</v>
      </c>
      <c r="O63" s="18">
        <v>2</v>
      </c>
      <c r="P63" s="18">
        <v>170.15</v>
      </c>
      <c r="Q63" s="18">
        <v>1</v>
      </c>
      <c r="R63" s="18">
        <v>2</v>
      </c>
      <c r="S63" s="18">
        <v>170.15</v>
      </c>
      <c r="T63" s="18">
        <v>5.56</v>
      </c>
      <c r="U63" s="18">
        <v>79</v>
      </c>
      <c r="V63" s="18">
        <v>4220.5</v>
      </c>
      <c r="W63" s="18">
        <v>0.5</v>
      </c>
      <c r="X63" s="18">
        <v>40</v>
      </c>
      <c r="Y63" s="18">
        <v>2110.25</v>
      </c>
      <c r="Z63" s="18">
        <v>1.02</v>
      </c>
      <c r="AA63" s="18">
        <v>2280.4</v>
      </c>
      <c r="AB63" s="18">
        <v>633.44000000000005</v>
      </c>
      <c r="AC63" s="18">
        <v>57201.641288675717</v>
      </c>
      <c r="AD63" s="18">
        <v>78456738.135133371</v>
      </c>
      <c r="AE63" s="18" t="s">
        <v>1083</v>
      </c>
    </row>
    <row r="64" spans="1:31" x14ac:dyDescent="0.2">
      <c r="A64" s="18">
        <v>63</v>
      </c>
      <c r="B64" s="18">
        <v>63</v>
      </c>
      <c r="C64" s="18">
        <v>63</v>
      </c>
      <c r="D64" s="18">
        <v>414</v>
      </c>
      <c r="E64" s="18" t="s">
        <v>146</v>
      </c>
      <c r="F64" s="18" t="s">
        <v>148</v>
      </c>
      <c r="G64" s="18">
        <v>5600</v>
      </c>
      <c r="H64" s="18">
        <v>0</v>
      </c>
      <c r="I64" s="18">
        <v>13.6</v>
      </c>
      <c r="J64" s="18">
        <v>91.03</v>
      </c>
      <c r="K64" s="18">
        <v>0</v>
      </c>
      <c r="L64" s="18">
        <v>7.72</v>
      </c>
      <c r="M64" s="18">
        <v>0.88</v>
      </c>
      <c r="N64" s="18">
        <v>0.37</v>
      </c>
      <c r="O64" s="18">
        <v>0</v>
      </c>
      <c r="P64" s="18">
        <v>0</v>
      </c>
      <c r="Q64" s="18">
        <v>1</v>
      </c>
      <c r="R64" s="18">
        <v>0</v>
      </c>
      <c r="S64" s="18">
        <v>0</v>
      </c>
      <c r="T64" s="18">
        <v>0</v>
      </c>
      <c r="U64" s="18">
        <v>63</v>
      </c>
      <c r="V64" s="18">
        <v>4026.15</v>
      </c>
      <c r="W64" s="18">
        <v>0.5</v>
      </c>
      <c r="X64" s="18">
        <v>32</v>
      </c>
      <c r="Y64" s="18">
        <v>2013.08</v>
      </c>
      <c r="Z64" s="18">
        <v>2.35</v>
      </c>
      <c r="AA64" s="18">
        <v>2013.08</v>
      </c>
      <c r="AB64" s="18">
        <v>559.19000000000005</v>
      </c>
      <c r="AC64" s="18">
        <v>51821.761556255587</v>
      </c>
      <c r="AD64" s="18">
        <v>97089567.176831722</v>
      </c>
      <c r="AE64" s="18" t="s">
        <v>1070</v>
      </c>
    </row>
    <row r="65" spans="1:31" x14ac:dyDescent="0.2">
      <c r="A65" s="18">
        <v>64</v>
      </c>
      <c r="B65" s="18">
        <v>64</v>
      </c>
      <c r="C65" s="18">
        <v>64</v>
      </c>
      <c r="D65" s="18">
        <v>452</v>
      </c>
      <c r="E65" s="18" t="s">
        <v>257</v>
      </c>
      <c r="F65" s="18" t="s">
        <v>259</v>
      </c>
      <c r="G65" s="18">
        <v>5600</v>
      </c>
      <c r="H65" s="18">
        <v>1.68</v>
      </c>
      <c r="I65" s="18">
        <v>55.77</v>
      </c>
      <c r="J65" s="18">
        <v>73.59</v>
      </c>
      <c r="K65" s="18">
        <v>7.0000000000000007E-2</v>
      </c>
      <c r="L65" s="18">
        <v>6.63</v>
      </c>
      <c r="M65" s="18">
        <v>17.2</v>
      </c>
      <c r="N65" s="18">
        <v>2.5099999999999998</v>
      </c>
      <c r="O65" s="18">
        <v>5</v>
      </c>
      <c r="P65" s="18">
        <v>425.38</v>
      </c>
      <c r="Q65" s="18">
        <v>1</v>
      </c>
      <c r="R65" s="18">
        <v>5</v>
      </c>
      <c r="S65" s="18">
        <v>425.38</v>
      </c>
      <c r="T65" s="18">
        <v>2.98</v>
      </c>
      <c r="U65" s="18">
        <v>106</v>
      </c>
      <c r="V65" s="18">
        <v>6154.44</v>
      </c>
      <c r="W65" s="18">
        <v>0.5</v>
      </c>
      <c r="X65" s="18">
        <v>53</v>
      </c>
      <c r="Y65" s="18">
        <v>3077.22</v>
      </c>
      <c r="Z65" s="18">
        <v>0.95</v>
      </c>
      <c r="AA65" s="18">
        <v>3502.6</v>
      </c>
      <c r="AB65" s="18">
        <v>972.95</v>
      </c>
      <c r="AC65" s="18">
        <v>86292.188894488791</v>
      </c>
      <c r="AD65" s="18">
        <v>106157203.3370036</v>
      </c>
      <c r="AE65" s="18" t="s">
        <v>1073</v>
      </c>
    </row>
    <row r="66" spans="1:31" x14ac:dyDescent="0.2">
      <c r="A66" s="18">
        <v>65</v>
      </c>
      <c r="B66" s="18">
        <v>65</v>
      </c>
      <c r="C66" s="18">
        <v>65</v>
      </c>
      <c r="D66" s="18">
        <v>371</v>
      </c>
      <c r="E66" s="18" t="s">
        <v>77</v>
      </c>
      <c r="F66" s="18" t="s">
        <v>79</v>
      </c>
      <c r="G66" s="18">
        <v>5600</v>
      </c>
      <c r="H66" s="18">
        <v>0</v>
      </c>
      <c r="I66" s="18">
        <v>265.39999999999998</v>
      </c>
      <c r="J66" s="18">
        <v>72.06</v>
      </c>
      <c r="K66" s="18">
        <v>0.09</v>
      </c>
      <c r="L66" s="18">
        <v>20.48</v>
      </c>
      <c r="M66" s="18">
        <v>6.56</v>
      </c>
      <c r="N66" s="18">
        <v>0.8</v>
      </c>
      <c r="O66" s="18">
        <v>0</v>
      </c>
      <c r="P66" s="18">
        <v>0</v>
      </c>
      <c r="Q66" s="18">
        <v>1</v>
      </c>
      <c r="R66" s="18">
        <v>0</v>
      </c>
      <c r="S66" s="18">
        <v>0</v>
      </c>
      <c r="T66" s="18">
        <v>0</v>
      </c>
      <c r="U66" s="18">
        <v>433</v>
      </c>
      <c r="V66" s="18">
        <v>27671.82</v>
      </c>
      <c r="W66" s="18">
        <v>0.5</v>
      </c>
      <c r="X66" s="18">
        <v>217</v>
      </c>
      <c r="Y66" s="18">
        <v>13835.91</v>
      </c>
      <c r="Z66" s="18">
        <v>0.82</v>
      </c>
      <c r="AA66" s="18">
        <v>13835.91</v>
      </c>
      <c r="AB66" s="18">
        <v>3843.31</v>
      </c>
      <c r="AC66" s="18">
        <v>81363.701351710319</v>
      </c>
      <c r="AD66" s="18">
        <v>346288135.53727442</v>
      </c>
      <c r="AE66" s="18" t="s">
        <v>1065</v>
      </c>
    </row>
    <row r="67" spans="1:31" x14ac:dyDescent="0.2">
      <c r="A67" s="18">
        <v>66</v>
      </c>
      <c r="B67" s="18">
        <v>66</v>
      </c>
      <c r="C67" s="18">
        <v>66</v>
      </c>
      <c r="D67" s="18">
        <v>364</v>
      </c>
      <c r="E67" s="18" t="s">
        <v>35</v>
      </c>
      <c r="F67" s="18" t="s">
        <v>37</v>
      </c>
      <c r="G67" s="18">
        <v>5600</v>
      </c>
      <c r="H67" s="18">
        <v>0</v>
      </c>
      <c r="I67" s="18">
        <v>39.39</v>
      </c>
      <c r="J67" s="18">
        <v>86.06</v>
      </c>
      <c r="K67" s="18">
        <v>0.03</v>
      </c>
      <c r="L67" s="18">
        <v>12.08</v>
      </c>
      <c r="M67" s="18">
        <v>1.45</v>
      </c>
      <c r="N67" s="18">
        <v>0.38</v>
      </c>
      <c r="O67" s="18">
        <v>0</v>
      </c>
      <c r="P67" s="18">
        <v>0</v>
      </c>
      <c r="Q67" s="18">
        <v>1</v>
      </c>
      <c r="R67" s="18">
        <v>0</v>
      </c>
      <c r="S67" s="18">
        <v>0</v>
      </c>
      <c r="T67" s="18">
        <v>0</v>
      </c>
      <c r="U67" s="18">
        <v>88</v>
      </c>
      <c r="V67" s="18">
        <v>6209.28</v>
      </c>
      <c r="W67" s="18">
        <v>0.5</v>
      </c>
      <c r="X67" s="18">
        <v>44</v>
      </c>
      <c r="Y67" s="18">
        <v>3104.64</v>
      </c>
      <c r="Z67" s="18">
        <v>1.1200000000000001</v>
      </c>
      <c r="AA67" s="18">
        <v>3104.64</v>
      </c>
      <c r="AB67" s="18">
        <v>862.4</v>
      </c>
      <c r="AC67" s="18">
        <v>55966.775241455798</v>
      </c>
      <c r="AD67" s="18">
        <v>103995274.0289145</v>
      </c>
      <c r="AE67" s="18" t="s">
        <v>1064</v>
      </c>
    </row>
    <row r="68" spans="1:31" x14ac:dyDescent="0.2">
      <c r="A68" s="18">
        <v>67</v>
      </c>
      <c r="B68" s="18">
        <v>67</v>
      </c>
      <c r="C68" s="18">
        <v>67</v>
      </c>
      <c r="D68" s="18">
        <v>373</v>
      </c>
      <c r="E68" s="18" t="s">
        <v>44</v>
      </c>
      <c r="F68" s="18" t="s">
        <v>46</v>
      </c>
      <c r="G68" s="18">
        <v>5600</v>
      </c>
      <c r="H68" s="18">
        <v>0</v>
      </c>
      <c r="I68" s="18">
        <v>131.12</v>
      </c>
      <c r="J68" s="18">
        <v>80.7</v>
      </c>
      <c r="K68" s="18">
        <v>0.04</v>
      </c>
      <c r="L68" s="18">
        <v>12.61</v>
      </c>
      <c r="M68" s="18">
        <v>6.65</v>
      </c>
      <c r="N68" s="18">
        <v>0</v>
      </c>
      <c r="O68" s="18">
        <v>0</v>
      </c>
      <c r="P68" s="18">
        <v>0</v>
      </c>
      <c r="Q68" s="18">
        <v>1</v>
      </c>
      <c r="R68" s="18">
        <v>0</v>
      </c>
      <c r="S68" s="18">
        <v>0</v>
      </c>
      <c r="T68" s="18">
        <v>0</v>
      </c>
      <c r="U68" s="18">
        <v>233</v>
      </c>
      <c r="V68" s="18">
        <v>16440.48</v>
      </c>
      <c r="W68" s="18">
        <v>0.5</v>
      </c>
      <c r="X68" s="18">
        <v>117</v>
      </c>
      <c r="Y68" s="18">
        <v>8220.24</v>
      </c>
      <c r="Z68" s="18">
        <v>0.89</v>
      </c>
      <c r="AA68" s="18">
        <v>8220.24</v>
      </c>
      <c r="AB68" s="18">
        <v>2283.4</v>
      </c>
      <c r="AC68" s="18">
        <v>102967.38627710519</v>
      </c>
      <c r="AD68" s="18">
        <v>198169104.07957339</v>
      </c>
      <c r="AE68" s="18" t="s">
        <v>1064</v>
      </c>
    </row>
    <row r="69" spans="1:31" x14ac:dyDescent="0.2">
      <c r="A69" s="18">
        <v>68</v>
      </c>
      <c r="B69" s="18">
        <v>68</v>
      </c>
      <c r="C69" s="18">
        <v>68</v>
      </c>
      <c r="D69" s="18">
        <v>700</v>
      </c>
      <c r="E69" s="18" t="s">
        <v>989</v>
      </c>
      <c r="F69" s="18" t="s">
        <v>991</v>
      </c>
      <c r="G69" s="18">
        <v>5600</v>
      </c>
      <c r="H69" s="18">
        <v>0</v>
      </c>
      <c r="I69" s="18">
        <v>47.32</v>
      </c>
      <c r="J69" s="18">
        <v>56.36</v>
      </c>
      <c r="K69" s="18">
        <v>0.55000000000000004</v>
      </c>
      <c r="L69" s="18">
        <v>41.48</v>
      </c>
      <c r="M69" s="18">
        <v>0.66</v>
      </c>
      <c r="N69" s="18">
        <v>0.95</v>
      </c>
      <c r="O69" s="18">
        <v>0</v>
      </c>
      <c r="P69" s="18">
        <v>0</v>
      </c>
      <c r="Q69" s="18">
        <v>1</v>
      </c>
      <c r="R69" s="18">
        <v>0</v>
      </c>
      <c r="S69" s="18">
        <v>0</v>
      </c>
      <c r="T69" s="18">
        <v>0</v>
      </c>
      <c r="U69" s="18">
        <v>106</v>
      </c>
      <c r="V69" s="18">
        <v>5662.94</v>
      </c>
      <c r="W69" s="18">
        <v>0.5</v>
      </c>
      <c r="X69" s="18">
        <v>53</v>
      </c>
      <c r="Y69" s="18">
        <v>2831.47</v>
      </c>
      <c r="Z69" s="18">
        <v>1.1200000000000001</v>
      </c>
      <c r="AA69" s="18">
        <v>2831.47</v>
      </c>
      <c r="AB69" s="18">
        <v>786.52</v>
      </c>
      <c r="AC69" s="18">
        <v>78613.709590299564</v>
      </c>
      <c r="AD69" s="18">
        <v>185518112.99889341</v>
      </c>
      <c r="AE69" s="18" t="s">
        <v>1080</v>
      </c>
    </row>
    <row r="70" spans="1:31" x14ac:dyDescent="0.2">
      <c r="A70" s="18">
        <v>69</v>
      </c>
      <c r="B70" s="18">
        <v>69</v>
      </c>
      <c r="C70" s="18">
        <v>69</v>
      </c>
      <c r="D70" s="18">
        <v>708</v>
      </c>
      <c r="E70" s="18" t="s">
        <v>1022</v>
      </c>
      <c r="F70" s="18" t="s">
        <v>1024</v>
      </c>
      <c r="G70" s="18">
        <v>5600</v>
      </c>
      <c r="H70" s="18">
        <v>0.01</v>
      </c>
      <c r="I70" s="18">
        <v>142.66999999999999</v>
      </c>
      <c r="J70" s="18">
        <v>95.25</v>
      </c>
      <c r="K70" s="18">
        <v>0.13</v>
      </c>
      <c r="L70" s="18">
        <v>3.13</v>
      </c>
      <c r="M70" s="18">
        <v>1.08</v>
      </c>
      <c r="N70" s="18">
        <v>0.41</v>
      </c>
      <c r="O70" s="18">
        <v>0</v>
      </c>
      <c r="P70" s="18">
        <v>0</v>
      </c>
      <c r="Q70" s="18">
        <v>1</v>
      </c>
      <c r="R70" s="18">
        <v>0</v>
      </c>
      <c r="S70" s="18">
        <v>0</v>
      </c>
      <c r="T70" s="18">
        <v>0</v>
      </c>
      <c r="U70" s="18">
        <v>359</v>
      </c>
      <c r="V70" s="18">
        <v>25331.040000000001</v>
      </c>
      <c r="W70" s="18">
        <v>0.5</v>
      </c>
      <c r="X70" s="18">
        <v>180</v>
      </c>
      <c r="Y70" s="18">
        <v>12665.52</v>
      </c>
      <c r="Z70" s="18">
        <v>1.26</v>
      </c>
      <c r="AA70" s="18">
        <v>12665.52</v>
      </c>
      <c r="AB70" s="18">
        <v>3518.2</v>
      </c>
      <c r="AC70" s="18">
        <v>98128.312583847932</v>
      </c>
      <c r="AD70" s="18">
        <v>368756174.89702278</v>
      </c>
      <c r="AE70" s="18" t="s">
        <v>1086</v>
      </c>
    </row>
    <row r="71" spans="1:31" x14ac:dyDescent="0.2">
      <c r="A71" s="18">
        <v>70</v>
      </c>
      <c r="B71" s="18">
        <v>70</v>
      </c>
      <c r="C71" s="18">
        <v>70</v>
      </c>
      <c r="D71" s="18">
        <v>547</v>
      </c>
      <c r="E71" s="18" t="s">
        <v>539</v>
      </c>
      <c r="F71" s="18" t="s">
        <v>541</v>
      </c>
      <c r="G71" s="18">
        <v>5600</v>
      </c>
      <c r="H71" s="18">
        <v>0</v>
      </c>
      <c r="I71" s="18">
        <v>75.739999999999995</v>
      </c>
      <c r="J71" s="18">
        <v>96.62</v>
      </c>
      <c r="K71" s="18">
        <v>0</v>
      </c>
      <c r="L71" s="18">
        <v>0.4</v>
      </c>
      <c r="M71" s="18">
        <v>2.93</v>
      </c>
      <c r="N71" s="18">
        <v>0.05</v>
      </c>
      <c r="O71" s="18">
        <v>0</v>
      </c>
      <c r="P71" s="18">
        <v>0</v>
      </c>
      <c r="Q71" s="18">
        <v>1</v>
      </c>
      <c r="R71" s="18">
        <v>0</v>
      </c>
      <c r="S71" s="18">
        <v>0</v>
      </c>
      <c r="T71" s="18">
        <v>0</v>
      </c>
      <c r="U71" s="18">
        <v>112</v>
      </c>
      <c r="V71" s="18">
        <v>7157.61</v>
      </c>
      <c r="W71" s="18">
        <v>0.5</v>
      </c>
      <c r="X71" s="18">
        <v>56</v>
      </c>
      <c r="Y71" s="18">
        <v>3578.8</v>
      </c>
      <c r="Z71" s="18">
        <v>0.74</v>
      </c>
      <c r="AA71" s="18">
        <v>3578.8</v>
      </c>
      <c r="AB71" s="18">
        <v>994.11</v>
      </c>
      <c r="AC71" s="18">
        <v>51177.563613681232</v>
      </c>
      <c r="AD71" s="18">
        <v>92890674.818340898</v>
      </c>
      <c r="AE71" s="18" t="s">
        <v>1074</v>
      </c>
    </row>
    <row r="72" spans="1:31" x14ac:dyDescent="0.2">
      <c r="A72" s="18">
        <v>71</v>
      </c>
      <c r="B72" s="18">
        <v>71</v>
      </c>
      <c r="C72" s="18">
        <v>71</v>
      </c>
      <c r="D72" s="18">
        <v>390</v>
      </c>
      <c r="E72" s="18" t="s">
        <v>155</v>
      </c>
      <c r="F72" s="18" t="s">
        <v>157</v>
      </c>
      <c r="G72" s="18">
        <v>5600</v>
      </c>
      <c r="H72" s="18">
        <v>0</v>
      </c>
      <c r="I72" s="18">
        <v>117.8</v>
      </c>
      <c r="J72" s="18">
        <v>6.32</v>
      </c>
      <c r="K72" s="18">
        <v>2.1</v>
      </c>
      <c r="L72" s="18">
        <v>91.06</v>
      </c>
      <c r="M72" s="18">
        <v>0.39</v>
      </c>
      <c r="N72" s="18">
        <v>0.14000000000000001</v>
      </c>
      <c r="O72" s="18">
        <v>0</v>
      </c>
      <c r="P72" s="18">
        <v>0</v>
      </c>
      <c r="Q72" s="18">
        <v>1</v>
      </c>
      <c r="R72" s="18">
        <v>0</v>
      </c>
      <c r="S72" s="18">
        <v>0</v>
      </c>
      <c r="T72" s="18">
        <v>0</v>
      </c>
      <c r="U72" s="18">
        <v>169</v>
      </c>
      <c r="V72" s="18">
        <v>9028.66</v>
      </c>
      <c r="W72" s="18">
        <v>0.5</v>
      </c>
      <c r="X72" s="18">
        <v>85</v>
      </c>
      <c r="Y72" s="18">
        <v>4514.33</v>
      </c>
      <c r="Z72" s="18">
        <v>0.72</v>
      </c>
      <c r="AA72" s="18">
        <v>4514.33</v>
      </c>
      <c r="AB72" s="18">
        <v>1253.98</v>
      </c>
      <c r="AC72" s="18">
        <v>85601.59370548866</v>
      </c>
      <c r="AD72" s="18">
        <v>176716688.68530479</v>
      </c>
      <c r="AE72" s="18" t="s">
        <v>1071</v>
      </c>
    </row>
    <row r="73" spans="1:31" x14ac:dyDescent="0.2">
      <c r="A73" s="18">
        <v>72</v>
      </c>
      <c r="B73" s="18">
        <v>72</v>
      </c>
      <c r="C73" s="18">
        <v>72</v>
      </c>
      <c r="D73" s="18">
        <v>397</v>
      </c>
      <c r="E73" s="18" t="s">
        <v>107</v>
      </c>
      <c r="F73" s="18" t="s">
        <v>109</v>
      </c>
      <c r="G73" s="18">
        <v>5600</v>
      </c>
      <c r="H73" s="18">
        <v>0</v>
      </c>
      <c r="I73" s="18">
        <v>91.6</v>
      </c>
      <c r="J73" s="18">
        <v>16.97</v>
      </c>
      <c r="K73" s="18">
        <v>0.25</v>
      </c>
      <c r="L73" s="18">
        <v>82.33</v>
      </c>
      <c r="M73" s="18">
        <v>0.28999999999999998</v>
      </c>
      <c r="N73" s="18">
        <v>0.16</v>
      </c>
      <c r="O73" s="18">
        <v>0</v>
      </c>
      <c r="P73" s="18">
        <v>0</v>
      </c>
      <c r="Q73" s="18">
        <v>1</v>
      </c>
      <c r="R73" s="18">
        <v>0</v>
      </c>
      <c r="S73" s="18">
        <v>0</v>
      </c>
      <c r="T73" s="18">
        <v>0</v>
      </c>
      <c r="U73" s="18">
        <v>149</v>
      </c>
      <c r="V73" s="18">
        <v>8651.06</v>
      </c>
      <c r="W73" s="18">
        <v>0.5</v>
      </c>
      <c r="X73" s="18">
        <v>75</v>
      </c>
      <c r="Y73" s="18">
        <v>4325.53</v>
      </c>
      <c r="Z73" s="18">
        <v>0.82</v>
      </c>
      <c r="AA73" s="18">
        <v>4325.53</v>
      </c>
      <c r="AB73" s="18">
        <v>1201.54</v>
      </c>
      <c r="AC73" s="18">
        <v>67252.731236950422</v>
      </c>
      <c r="AD73" s="18">
        <v>139024978.0026564</v>
      </c>
      <c r="AE73" s="18" t="s">
        <v>1067</v>
      </c>
    </row>
    <row r="74" spans="1:31" x14ac:dyDescent="0.2">
      <c r="A74" s="18">
        <v>73</v>
      </c>
      <c r="B74" s="18">
        <v>73</v>
      </c>
      <c r="C74" s="18">
        <v>73</v>
      </c>
      <c r="D74" s="18">
        <v>400</v>
      </c>
      <c r="E74" s="18" t="s">
        <v>848</v>
      </c>
      <c r="F74" s="18" t="s">
        <v>850</v>
      </c>
      <c r="G74" s="18">
        <v>5600</v>
      </c>
      <c r="H74" s="18">
        <v>0</v>
      </c>
      <c r="I74" s="18">
        <v>55.47</v>
      </c>
      <c r="J74" s="18">
        <v>51</v>
      </c>
      <c r="K74" s="18">
        <v>0</v>
      </c>
      <c r="L74" s="18">
        <v>44.6</v>
      </c>
      <c r="M74" s="18">
        <v>4.22</v>
      </c>
      <c r="N74" s="18">
        <v>0.18</v>
      </c>
      <c r="O74" s="18">
        <v>0</v>
      </c>
      <c r="P74" s="18">
        <v>0</v>
      </c>
      <c r="Q74" s="18">
        <v>1</v>
      </c>
      <c r="R74" s="18">
        <v>0</v>
      </c>
      <c r="S74" s="18">
        <v>0</v>
      </c>
      <c r="T74" s="18">
        <v>0</v>
      </c>
      <c r="U74" s="18">
        <v>88</v>
      </c>
      <c r="V74" s="18">
        <v>5109.3500000000004</v>
      </c>
      <c r="W74" s="18">
        <v>0.5</v>
      </c>
      <c r="X74" s="18">
        <v>44</v>
      </c>
      <c r="Y74" s="18">
        <v>2554.6799999999998</v>
      </c>
      <c r="Z74" s="18">
        <v>0.79</v>
      </c>
      <c r="AA74" s="18">
        <v>2554.6799999999998</v>
      </c>
      <c r="AB74" s="18">
        <v>709.63</v>
      </c>
      <c r="AC74" s="18">
        <v>72130.348105770026</v>
      </c>
      <c r="AD74" s="18">
        <v>108166760.09495629</v>
      </c>
      <c r="AE74" s="18" t="s">
        <v>1067</v>
      </c>
    </row>
    <row r="75" spans="1:31" x14ac:dyDescent="0.2">
      <c r="A75" s="18">
        <v>74</v>
      </c>
      <c r="B75" s="18">
        <v>74</v>
      </c>
      <c r="C75" s="18">
        <v>74</v>
      </c>
      <c r="D75" s="18">
        <v>437</v>
      </c>
      <c r="E75" s="18" t="s">
        <v>239</v>
      </c>
      <c r="F75" s="18" t="s">
        <v>241</v>
      </c>
      <c r="G75" s="18">
        <v>5600</v>
      </c>
      <c r="H75" s="18">
        <v>0</v>
      </c>
      <c r="I75" s="18">
        <v>32.299999999999997</v>
      </c>
      <c r="J75" s="18">
        <v>68.3</v>
      </c>
      <c r="K75" s="18">
        <v>0.84</v>
      </c>
      <c r="L75" s="18">
        <v>18.510000000000002</v>
      </c>
      <c r="M75" s="18">
        <v>10.15</v>
      </c>
      <c r="N75" s="18">
        <v>2.2000000000000002</v>
      </c>
      <c r="O75" s="18">
        <v>0</v>
      </c>
      <c r="P75" s="18">
        <v>0</v>
      </c>
      <c r="Q75" s="18">
        <v>1</v>
      </c>
      <c r="R75" s="18">
        <v>0</v>
      </c>
      <c r="S75" s="18">
        <v>0</v>
      </c>
      <c r="T75" s="18">
        <v>0</v>
      </c>
      <c r="U75" s="18">
        <v>79</v>
      </c>
      <c r="V75" s="18">
        <v>4220.5</v>
      </c>
      <c r="W75" s="18">
        <v>0.5</v>
      </c>
      <c r="X75" s="18">
        <v>40</v>
      </c>
      <c r="Y75" s="18">
        <v>2110.25</v>
      </c>
      <c r="Z75" s="18">
        <v>1.24</v>
      </c>
      <c r="AA75" s="18">
        <v>2110.25</v>
      </c>
      <c r="AB75" s="18">
        <v>586.17999999999995</v>
      </c>
      <c r="AC75" s="18">
        <v>68744.130382785021</v>
      </c>
      <c r="AD75" s="18">
        <v>126522087.7377478</v>
      </c>
      <c r="AE75" s="18" t="s">
        <v>1068</v>
      </c>
    </row>
    <row r="76" spans="1:31" x14ac:dyDescent="0.2">
      <c r="A76" s="18">
        <v>75</v>
      </c>
      <c r="B76" s="18">
        <v>75</v>
      </c>
      <c r="C76" s="18">
        <v>75</v>
      </c>
      <c r="D76" s="18">
        <v>638</v>
      </c>
      <c r="E76" s="18" t="s">
        <v>785</v>
      </c>
      <c r="F76" s="18" t="s">
        <v>787</v>
      </c>
      <c r="G76" s="18">
        <v>5600</v>
      </c>
      <c r="H76" s="18">
        <v>0</v>
      </c>
      <c r="I76" s="18">
        <v>9.81</v>
      </c>
      <c r="J76" s="18">
        <v>58.41</v>
      </c>
      <c r="K76" s="18">
        <v>0</v>
      </c>
      <c r="L76" s="18">
        <v>1.73</v>
      </c>
      <c r="M76" s="18">
        <v>39.549999999999997</v>
      </c>
      <c r="N76" s="18">
        <v>0.31</v>
      </c>
      <c r="O76" s="18">
        <v>0</v>
      </c>
      <c r="P76" s="18">
        <v>0</v>
      </c>
      <c r="Q76" s="18">
        <v>1</v>
      </c>
      <c r="R76" s="18">
        <v>0</v>
      </c>
      <c r="S76" s="18">
        <v>0</v>
      </c>
      <c r="T76" s="18">
        <v>0</v>
      </c>
      <c r="U76" s="18">
        <v>23</v>
      </c>
      <c r="V76" s="18">
        <v>1469.87</v>
      </c>
      <c r="W76" s="18">
        <v>0.5</v>
      </c>
      <c r="X76" s="18">
        <v>12</v>
      </c>
      <c r="Y76" s="18">
        <v>734.93</v>
      </c>
      <c r="Z76" s="18">
        <v>1.22</v>
      </c>
      <c r="AA76" s="18">
        <v>734.93</v>
      </c>
      <c r="AB76" s="18">
        <v>204.15</v>
      </c>
      <c r="AC76" s="18">
        <v>31006.427846156828</v>
      </c>
      <c r="AD76" s="18">
        <v>33461443.87685639</v>
      </c>
      <c r="AE76" s="18" t="s">
        <v>1078</v>
      </c>
    </row>
    <row r="77" spans="1:31" x14ac:dyDescent="0.2">
      <c r="A77" s="18">
        <v>76</v>
      </c>
      <c r="B77" s="18">
        <v>76</v>
      </c>
      <c r="C77" s="18">
        <v>76</v>
      </c>
      <c r="D77" s="18">
        <v>537</v>
      </c>
      <c r="E77" s="18" t="s">
        <v>512</v>
      </c>
      <c r="F77" s="18" t="s">
        <v>514</v>
      </c>
      <c r="G77" s="18">
        <v>5600</v>
      </c>
      <c r="H77" s="18">
        <v>3.56</v>
      </c>
      <c r="I77" s="18">
        <v>22.87</v>
      </c>
      <c r="J77" s="18">
        <v>8.44</v>
      </c>
      <c r="K77" s="18">
        <v>40.1</v>
      </c>
      <c r="L77" s="18">
        <v>12.59</v>
      </c>
      <c r="M77" s="18">
        <v>35.770000000000003</v>
      </c>
      <c r="N77" s="18">
        <v>3.1</v>
      </c>
      <c r="O77" s="18">
        <v>16</v>
      </c>
      <c r="P77" s="18">
        <v>1361.2</v>
      </c>
      <c r="Q77" s="18">
        <v>1</v>
      </c>
      <c r="R77" s="18">
        <v>16</v>
      </c>
      <c r="S77" s="18">
        <v>1361.2</v>
      </c>
      <c r="T77" s="18">
        <v>4.49</v>
      </c>
      <c r="U77" s="18">
        <v>89</v>
      </c>
      <c r="V77" s="18">
        <v>6162.11</v>
      </c>
      <c r="W77" s="18">
        <v>0.5</v>
      </c>
      <c r="X77" s="18">
        <v>45</v>
      </c>
      <c r="Y77" s="18">
        <v>3081.05</v>
      </c>
      <c r="Z77" s="18">
        <v>1.97</v>
      </c>
      <c r="AA77" s="18">
        <v>4442.25</v>
      </c>
      <c r="AB77" s="18">
        <v>1233.96</v>
      </c>
      <c r="AC77" s="18">
        <v>156877.04303764089</v>
      </c>
      <c r="AD77" s="18">
        <v>295684343.26804942</v>
      </c>
      <c r="AE77" s="18" t="s">
        <v>1077</v>
      </c>
    </row>
    <row r="78" spans="1:31" x14ac:dyDescent="0.2">
      <c r="A78" s="18">
        <v>77</v>
      </c>
      <c r="B78" s="18">
        <v>77</v>
      </c>
      <c r="C78" s="18">
        <v>77</v>
      </c>
      <c r="D78" s="18">
        <v>573</v>
      </c>
      <c r="E78" s="18" t="s">
        <v>608</v>
      </c>
      <c r="F78" s="18" t="s">
        <v>610</v>
      </c>
      <c r="G78" s="18">
        <v>5600</v>
      </c>
      <c r="H78" s="18">
        <v>0</v>
      </c>
      <c r="I78" s="18">
        <v>42.24</v>
      </c>
      <c r="J78" s="18">
        <v>58.21</v>
      </c>
      <c r="K78" s="18">
        <v>0.02</v>
      </c>
      <c r="L78" s="18">
        <v>36.67</v>
      </c>
      <c r="M78" s="18">
        <v>3.76</v>
      </c>
      <c r="N78" s="18">
        <v>1.33</v>
      </c>
      <c r="O78" s="18">
        <v>0</v>
      </c>
      <c r="P78" s="18">
        <v>0</v>
      </c>
      <c r="Q78" s="18">
        <v>1</v>
      </c>
      <c r="R78" s="18">
        <v>0</v>
      </c>
      <c r="S78" s="18">
        <v>0</v>
      </c>
      <c r="T78" s="18">
        <v>0</v>
      </c>
      <c r="U78" s="18">
        <v>72</v>
      </c>
      <c r="V78" s="18">
        <v>3846.53</v>
      </c>
      <c r="W78" s="18">
        <v>0.5</v>
      </c>
      <c r="X78" s="18">
        <v>36</v>
      </c>
      <c r="Y78" s="18">
        <v>1923.26</v>
      </c>
      <c r="Z78" s="18">
        <v>0.85</v>
      </c>
      <c r="AA78" s="18">
        <v>1923.26</v>
      </c>
      <c r="AB78" s="18">
        <v>534.24</v>
      </c>
      <c r="AC78" s="18">
        <v>65598.227645941792</v>
      </c>
      <c r="AD78" s="18">
        <v>128729559.2547538</v>
      </c>
      <c r="AE78" s="18" t="s">
        <v>1082</v>
      </c>
    </row>
    <row r="79" spans="1:31" x14ac:dyDescent="0.2">
      <c r="A79" s="18">
        <v>78</v>
      </c>
      <c r="B79" s="18">
        <v>78</v>
      </c>
      <c r="C79" s="18">
        <v>78</v>
      </c>
      <c r="D79" s="18">
        <v>607</v>
      </c>
      <c r="E79" s="18" t="s">
        <v>689</v>
      </c>
      <c r="F79" s="18" t="s">
        <v>691</v>
      </c>
      <c r="G79" s="18">
        <v>5600</v>
      </c>
      <c r="H79" s="18">
        <v>0</v>
      </c>
      <c r="I79" s="18">
        <v>51.83</v>
      </c>
      <c r="J79" s="18">
        <v>32.28</v>
      </c>
      <c r="K79" s="18">
        <v>0.12</v>
      </c>
      <c r="L79" s="18">
        <v>62.8</v>
      </c>
      <c r="M79" s="18">
        <v>4.8</v>
      </c>
      <c r="N79" s="18">
        <v>0</v>
      </c>
      <c r="O79" s="18">
        <v>0</v>
      </c>
      <c r="P79" s="18">
        <v>0</v>
      </c>
      <c r="Q79" s="18">
        <v>1</v>
      </c>
      <c r="R79" s="18">
        <v>0</v>
      </c>
      <c r="S79" s="18">
        <v>0</v>
      </c>
      <c r="T79" s="18">
        <v>0</v>
      </c>
      <c r="U79" s="18">
        <v>73</v>
      </c>
      <c r="V79" s="18">
        <v>3899.95</v>
      </c>
      <c r="W79" s="18">
        <v>0.5</v>
      </c>
      <c r="X79" s="18">
        <v>37</v>
      </c>
      <c r="Y79" s="18">
        <v>1949.98</v>
      </c>
      <c r="Z79" s="18">
        <v>0.71</v>
      </c>
      <c r="AA79" s="18">
        <v>1949.98</v>
      </c>
      <c r="AB79" s="18">
        <v>541.66</v>
      </c>
      <c r="AC79" s="18">
        <v>45074.346480718537</v>
      </c>
      <c r="AD79" s="18">
        <v>56444628.745673053</v>
      </c>
      <c r="AE79" s="18" t="s">
        <v>1081</v>
      </c>
    </row>
    <row r="80" spans="1:31" x14ac:dyDescent="0.2">
      <c r="A80" s="18">
        <v>79</v>
      </c>
      <c r="B80" s="18">
        <v>79</v>
      </c>
      <c r="C80" s="18">
        <v>79</v>
      </c>
      <c r="D80" s="18">
        <v>627</v>
      </c>
      <c r="E80" s="18" t="s">
        <v>758</v>
      </c>
      <c r="F80" s="18" t="s">
        <v>760</v>
      </c>
      <c r="G80" s="18">
        <v>5600</v>
      </c>
      <c r="H80" s="18">
        <v>0</v>
      </c>
      <c r="I80" s="18">
        <v>17.28</v>
      </c>
      <c r="J80" s="18">
        <v>25.41</v>
      </c>
      <c r="K80" s="18">
        <v>0</v>
      </c>
      <c r="L80" s="18">
        <v>72.86</v>
      </c>
      <c r="M80" s="18">
        <v>0</v>
      </c>
      <c r="N80" s="18">
        <v>1.74</v>
      </c>
      <c r="O80" s="18">
        <v>0</v>
      </c>
      <c r="P80" s="18">
        <v>0</v>
      </c>
      <c r="Q80" s="18">
        <v>1</v>
      </c>
      <c r="R80" s="18">
        <v>0</v>
      </c>
      <c r="S80" s="18">
        <v>0</v>
      </c>
      <c r="T80" s="18">
        <v>0</v>
      </c>
      <c r="U80" s="18">
        <v>26</v>
      </c>
      <c r="V80" s="18">
        <v>1389.02</v>
      </c>
      <c r="W80" s="18">
        <v>0.5</v>
      </c>
      <c r="X80" s="18">
        <v>13</v>
      </c>
      <c r="Y80" s="18">
        <v>694.51</v>
      </c>
      <c r="Z80" s="18">
        <v>0.75</v>
      </c>
      <c r="AA80" s="18">
        <v>694.51</v>
      </c>
      <c r="AB80" s="18">
        <v>192.92</v>
      </c>
      <c r="AC80" s="18">
        <v>27068.372771783132</v>
      </c>
      <c r="AD80" s="18">
        <v>23897165.880907129</v>
      </c>
      <c r="AE80" s="18" t="s">
        <v>1083</v>
      </c>
    </row>
    <row r="81" spans="1:31" x14ac:dyDescent="0.2">
      <c r="A81" s="18">
        <v>80</v>
      </c>
      <c r="B81" s="18">
        <v>80</v>
      </c>
      <c r="C81" s="18">
        <v>80</v>
      </c>
      <c r="D81" s="18">
        <v>410</v>
      </c>
      <c r="E81" s="18" t="s">
        <v>131</v>
      </c>
      <c r="F81" s="18" t="s">
        <v>133</v>
      </c>
      <c r="G81" s="18">
        <v>5600</v>
      </c>
      <c r="H81" s="18">
        <v>0</v>
      </c>
      <c r="I81" s="18">
        <v>123.1</v>
      </c>
      <c r="J81" s="18">
        <v>82.25</v>
      </c>
      <c r="K81" s="18">
        <v>0.21</v>
      </c>
      <c r="L81" s="18">
        <v>15.71</v>
      </c>
      <c r="M81" s="18">
        <v>1.66</v>
      </c>
      <c r="N81" s="18">
        <v>0.17</v>
      </c>
      <c r="O81" s="18">
        <v>0</v>
      </c>
      <c r="P81" s="18">
        <v>0</v>
      </c>
      <c r="Q81" s="18">
        <v>1</v>
      </c>
      <c r="R81" s="18">
        <v>0</v>
      </c>
      <c r="S81" s="18">
        <v>0</v>
      </c>
      <c r="T81" s="18">
        <v>0</v>
      </c>
      <c r="U81" s="18">
        <v>194</v>
      </c>
      <c r="V81" s="18">
        <v>12398</v>
      </c>
      <c r="W81" s="18">
        <v>0.5</v>
      </c>
      <c r="X81" s="18">
        <v>97</v>
      </c>
      <c r="Y81" s="18">
        <v>6199</v>
      </c>
      <c r="Z81" s="18">
        <v>0.79</v>
      </c>
      <c r="AA81" s="18">
        <v>6199</v>
      </c>
      <c r="AB81" s="18">
        <v>1721.95</v>
      </c>
      <c r="AC81" s="18">
        <v>59007.263112762499</v>
      </c>
      <c r="AD81" s="18">
        <v>135701358.7217432</v>
      </c>
      <c r="AE81" s="18" t="s">
        <v>1066</v>
      </c>
    </row>
    <row r="82" spans="1:31" x14ac:dyDescent="0.2">
      <c r="A82" s="18">
        <v>81</v>
      </c>
      <c r="B82" s="18">
        <v>81</v>
      </c>
      <c r="C82" s="18">
        <v>81</v>
      </c>
      <c r="D82" s="18">
        <v>680</v>
      </c>
      <c r="E82" s="18" t="s">
        <v>920</v>
      </c>
      <c r="F82" s="18" t="s">
        <v>922</v>
      </c>
      <c r="G82" s="18">
        <v>5600</v>
      </c>
      <c r="H82" s="18">
        <v>0</v>
      </c>
      <c r="I82" s="18">
        <v>21.31</v>
      </c>
      <c r="J82" s="18">
        <v>90.05</v>
      </c>
      <c r="K82" s="18">
        <v>0</v>
      </c>
      <c r="L82" s="18">
        <v>3.43</v>
      </c>
      <c r="M82" s="18">
        <v>5.49</v>
      </c>
      <c r="N82" s="18">
        <v>1.03</v>
      </c>
      <c r="O82" s="18">
        <v>0</v>
      </c>
      <c r="P82" s="18">
        <v>0</v>
      </c>
      <c r="Q82" s="18">
        <v>1</v>
      </c>
      <c r="R82" s="18">
        <v>0</v>
      </c>
      <c r="S82" s="18">
        <v>0</v>
      </c>
      <c r="T82" s="18">
        <v>0</v>
      </c>
      <c r="U82" s="18">
        <v>43</v>
      </c>
      <c r="V82" s="18">
        <v>2748.01</v>
      </c>
      <c r="W82" s="18">
        <v>0.5</v>
      </c>
      <c r="X82" s="18">
        <v>22</v>
      </c>
      <c r="Y82" s="18">
        <v>1374</v>
      </c>
      <c r="Z82" s="18">
        <v>1.03</v>
      </c>
      <c r="AA82" s="18">
        <v>1374</v>
      </c>
      <c r="AB82" s="18">
        <v>381.67</v>
      </c>
      <c r="AC82" s="18">
        <v>50120.407743890959</v>
      </c>
      <c r="AD82" s="18">
        <v>49375361.227295063</v>
      </c>
      <c r="AE82" s="18" t="s">
        <v>1077</v>
      </c>
    </row>
    <row r="83" spans="1:31" x14ac:dyDescent="0.2">
      <c r="A83" s="18">
        <v>82</v>
      </c>
      <c r="B83" s="18">
        <v>82</v>
      </c>
      <c r="C83" s="18">
        <v>82</v>
      </c>
      <c r="D83" s="18">
        <v>710</v>
      </c>
      <c r="E83" s="18" t="s">
        <v>1028</v>
      </c>
      <c r="F83" s="18" t="s">
        <v>1030</v>
      </c>
      <c r="G83" s="18">
        <v>5600</v>
      </c>
      <c r="H83" s="18">
        <v>0</v>
      </c>
      <c r="I83" s="18">
        <v>172.33</v>
      </c>
      <c r="J83" s="18">
        <v>96.9</v>
      </c>
      <c r="K83" s="18">
        <v>0.03</v>
      </c>
      <c r="L83" s="18">
        <v>0.78</v>
      </c>
      <c r="M83" s="18">
        <v>2.29</v>
      </c>
      <c r="N83" s="18">
        <v>0</v>
      </c>
      <c r="O83" s="18">
        <v>0</v>
      </c>
      <c r="P83" s="18">
        <v>0</v>
      </c>
      <c r="Q83" s="18">
        <v>1</v>
      </c>
      <c r="R83" s="18">
        <v>0</v>
      </c>
      <c r="S83" s="18">
        <v>0</v>
      </c>
      <c r="T83" s="18">
        <v>0</v>
      </c>
      <c r="U83" s="18">
        <v>280</v>
      </c>
      <c r="V83" s="18">
        <v>17894.02</v>
      </c>
      <c r="W83" s="18">
        <v>0.5</v>
      </c>
      <c r="X83" s="18">
        <v>140</v>
      </c>
      <c r="Y83" s="18">
        <v>8947.01</v>
      </c>
      <c r="Z83" s="18">
        <v>0.81</v>
      </c>
      <c r="AA83" s="18">
        <v>8947.01</v>
      </c>
      <c r="AB83" s="18">
        <v>2485.2800000000002</v>
      </c>
      <c r="AC83" s="18">
        <v>88300.805370605711</v>
      </c>
      <c r="AD83" s="18">
        <v>191657137.16472331</v>
      </c>
      <c r="AE83" s="18" t="s">
        <v>1090</v>
      </c>
    </row>
    <row r="84" spans="1:31" x14ac:dyDescent="0.2">
      <c r="A84" s="18">
        <v>83</v>
      </c>
      <c r="B84" s="18">
        <v>83</v>
      </c>
      <c r="C84" s="18">
        <v>83</v>
      </c>
      <c r="D84" s="18">
        <v>462</v>
      </c>
      <c r="E84" s="18" t="s">
        <v>308</v>
      </c>
      <c r="F84" s="18" t="s">
        <v>310</v>
      </c>
      <c r="G84" s="18">
        <v>5600</v>
      </c>
      <c r="H84" s="18">
        <v>0</v>
      </c>
      <c r="I84" s="18">
        <v>17.28</v>
      </c>
      <c r="J84" s="18">
        <v>85.88</v>
      </c>
      <c r="K84" s="18">
        <v>1.27</v>
      </c>
      <c r="L84" s="18">
        <v>2.08</v>
      </c>
      <c r="M84" s="18">
        <v>10.42</v>
      </c>
      <c r="N84" s="18">
        <v>0.35</v>
      </c>
      <c r="O84" s="18">
        <v>0</v>
      </c>
      <c r="P84" s="18">
        <v>0</v>
      </c>
      <c r="Q84" s="18">
        <v>1</v>
      </c>
      <c r="R84" s="18">
        <v>0</v>
      </c>
      <c r="S84" s="18">
        <v>0</v>
      </c>
      <c r="T84" s="18">
        <v>0</v>
      </c>
      <c r="U84" s="18">
        <v>37</v>
      </c>
      <c r="V84" s="18">
        <v>2148.25</v>
      </c>
      <c r="W84" s="18">
        <v>0.5</v>
      </c>
      <c r="X84" s="18">
        <v>19</v>
      </c>
      <c r="Y84" s="18">
        <v>1074.1199999999999</v>
      </c>
      <c r="Z84" s="18">
        <v>1.1000000000000001</v>
      </c>
      <c r="AA84" s="18">
        <v>1074.1199999999999</v>
      </c>
      <c r="AB84" s="18">
        <v>298.37</v>
      </c>
      <c r="AC84" s="18">
        <v>59611.279355390747</v>
      </c>
      <c r="AD84" s="18">
        <v>99214741.988537744</v>
      </c>
      <c r="AE84" s="18" t="s">
        <v>1074</v>
      </c>
    </row>
    <row r="85" spans="1:31" x14ac:dyDescent="0.2">
      <c r="A85" s="18">
        <v>84</v>
      </c>
      <c r="B85" s="18">
        <v>84</v>
      </c>
      <c r="C85" s="18">
        <v>84</v>
      </c>
      <c r="D85" s="18">
        <v>476</v>
      </c>
      <c r="E85" s="18" t="s">
        <v>338</v>
      </c>
      <c r="F85" s="18" t="s">
        <v>340</v>
      </c>
      <c r="G85" s="18">
        <v>5600</v>
      </c>
      <c r="H85" s="18">
        <v>15.85</v>
      </c>
      <c r="I85" s="18">
        <v>21.71</v>
      </c>
      <c r="J85" s="18">
        <v>71.349999999999994</v>
      </c>
      <c r="K85" s="18">
        <v>7.05</v>
      </c>
      <c r="L85" s="18">
        <v>5.9</v>
      </c>
      <c r="M85" s="18">
        <v>14.74</v>
      </c>
      <c r="N85" s="18">
        <v>0.97</v>
      </c>
      <c r="O85" s="18">
        <v>52</v>
      </c>
      <c r="P85" s="18">
        <v>4423.91</v>
      </c>
      <c r="Q85" s="18">
        <v>1</v>
      </c>
      <c r="R85" s="18">
        <v>52</v>
      </c>
      <c r="S85" s="18">
        <v>4423.91</v>
      </c>
      <c r="T85" s="18">
        <v>3.28</v>
      </c>
      <c r="U85" s="18">
        <v>48</v>
      </c>
      <c r="V85" s="18">
        <v>3067.55</v>
      </c>
      <c r="W85" s="18">
        <v>0.5</v>
      </c>
      <c r="X85" s="18">
        <v>24</v>
      </c>
      <c r="Y85" s="18">
        <v>1533.77</v>
      </c>
      <c r="Z85" s="18">
        <v>1.1100000000000001</v>
      </c>
      <c r="AA85" s="18">
        <v>5957.68</v>
      </c>
      <c r="AB85" s="18">
        <v>1654.91</v>
      </c>
      <c r="AC85" s="18">
        <v>109236.4469870692</v>
      </c>
      <c r="AD85" s="18">
        <v>197401175.1086458</v>
      </c>
      <c r="AE85" s="18" t="s">
        <v>1076</v>
      </c>
    </row>
    <row r="86" spans="1:31" x14ac:dyDescent="0.2">
      <c r="A86" s="18">
        <v>85</v>
      </c>
      <c r="B86" s="18">
        <v>85</v>
      </c>
      <c r="C86" s="18">
        <v>85</v>
      </c>
      <c r="D86" s="18">
        <v>576</v>
      </c>
      <c r="E86" s="18" t="s">
        <v>620</v>
      </c>
      <c r="F86" s="18" t="s">
        <v>622</v>
      </c>
      <c r="G86" s="18">
        <v>5600</v>
      </c>
      <c r="H86" s="18">
        <v>0</v>
      </c>
      <c r="I86" s="18">
        <v>23.71</v>
      </c>
      <c r="J86" s="18">
        <v>43.36</v>
      </c>
      <c r="K86" s="18">
        <v>0</v>
      </c>
      <c r="L86" s="18">
        <v>54.45</v>
      </c>
      <c r="M86" s="18">
        <v>2.19</v>
      </c>
      <c r="N86" s="18">
        <v>0</v>
      </c>
      <c r="O86" s="18">
        <v>0</v>
      </c>
      <c r="P86" s="18">
        <v>0</v>
      </c>
      <c r="Q86" s="18">
        <v>1</v>
      </c>
      <c r="R86" s="18">
        <v>0</v>
      </c>
      <c r="S86" s="18">
        <v>0</v>
      </c>
      <c r="T86" s="18">
        <v>0</v>
      </c>
      <c r="U86" s="18">
        <v>53</v>
      </c>
      <c r="V86" s="18">
        <v>2831.47</v>
      </c>
      <c r="W86" s="18">
        <v>0.5</v>
      </c>
      <c r="X86" s="18">
        <v>27</v>
      </c>
      <c r="Y86" s="18">
        <v>1415.74</v>
      </c>
      <c r="Z86" s="18">
        <v>1.1399999999999999</v>
      </c>
      <c r="AA86" s="18">
        <v>1415.74</v>
      </c>
      <c r="AB86" s="18">
        <v>393.26</v>
      </c>
      <c r="AC86" s="18">
        <v>62753.515870715157</v>
      </c>
      <c r="AD86" s="18">
        <v>83281848.599002987</v>
      </c>
      <c r="AE86" s="18" t="s">
        <v>1081</v>
      </c>
    </row>
    <row r="87" spans="1:31" x14ac:dyDescent="0.2">
      <c r="A87" s="18">
        <v>86</v>
      </c>
      <c r="B87" s="18">
        <v>86</v>
      </c>
      <c r="C87" s="18">
        <v>86</v>
      </c>
      <c r="D87" s="18">
        <v>577</v>
      </c>
      <c r="E87" s="18" t="s">
        <v>623</v>
      </c>
      <c r="F87" s="18" t="s">
        <v>625</v>
      </c>
      <c r="G87" s="18">
        <v>5600</v>
      </c>
      <c r="H87" s="18">
        <v>0</v>
      </c>
      <c r="I87" s="18">
        <v>3.63</v>
      </c>
      <c r="J87" s="18">
        <v>23.97</v>
      </c>
      <c r="K87" s="18">
        <v>0</v>
      </c>
      <c r="L87" s="18">
        <v>73.28</v>
      </c>
      <c r="M87" s="18">
        <v>2.48</v>
      </c>
      <c r="N87" s="18">
        <v>0.28000000000000003</v>
      </c>
      <c r="O87" s="18">
        <v>0</v>
      </c>
      <c r="P87" s="18">
        <v>0</v>
      </c>
      <c r="Q87" s="18">
        <v>1</v>
      </c>
      <c r="R87" s="18">
        <v>0</v>
      </c>
      <c r="S87" s="18">
        <v>0</v>
      </c>
      <c r="T87" s="18">
        <v>0</v>
      </c>
      <c r="U87" s="18">
        <v>13</v>
      </c>
      <c r="V87" s="18">
        <v>694.51</v>
      </c>
      <c r="W87" s="18">
        <v>0.5</v>
      </c>
      <c r="X87" s="18">
        <v>7</v>
      </c>
      <c r="Y87" s="18">
        <v>347.26</v>
      </c>
      <c r="Z87" s="18">
        <v>1.93</v>
      </c>
      <c r="AA87" s="18">
        <v>347.26</v>
      </c>
      <c r="AB87" s="18">
        <v>96.46</v>
      </c>
      <c r="AC87" s="18">
        <v>49851.723941032848</v>
      </c>
      <c r="AD87" s="18">
        <v>88839583.134338886</v>
      </c>
      <c r="AE87" s="18" t="s">
        <v>1081</v>
      </c>
    </row>
    <row r="88" spans="1:31" x14ac:dyDescent="0.2">
      <c r="A88" s="18">
        <v>87</v>
      </c>
      <c r="B88" s="18">
        <v>87</v>
      </c>
      <c r="C88" s="18">
        <v>87</v>
      </c>
      <c r="D88" s="18">
        <v>578</v>
      </c>
      <c r="E88" s="18" t="s">
        <v>626</v>
      </c>
      <c r="F88" s="18" t="s">
        <v>628</v>
      </c>
      <c r="G88" s="18">
        <v>5600</v>
      </c>
      <c r="H88" s="18">
        <v>0</v>
      </c>
      <c r="I88" s="18">
        <v>23.36</v>
      </c>
      <c r="J88" s="18">
        <v>85.53</v>
      </c>
      <c r="K88" s="18">
        <v>0.09</v>
      </c>
      <c r="L88" s="18">
        <v>11.69</v>
      </c>
      <c r="M88" s="18">
        <v>1.46</v>
      </c>
      <c r="N88" s="18">
        <v>1.24</v>
      </c>
      <c r="O88" s="18">
        <v>0</v>
      </c>
      <c r="P88" s="18">
        <v>0</v>
      </c>
      <c r="Q88" s="18">
        <v>1</v>
      </c>
      <c r="R88" s="18">
        <v>0</v>
      </c>
      <c r="S88" s="18">
        <v>0</v>
      </c>
      <c r="T88" s="18">
        <v>0</v>
      </c>
      <c r="U88" s="18">
        <v>45</v>
      </c>
      <c r="V88" s="18">
        <v>2612.7399999999998</v>
      </c>
      <c r="W88" s="18">
        <v>0.5</v>
      </c>
      <c r="X88" s="18">
        <v>23</v>
      </c>
      <c r="Y88" s="18">
        <v>1306.3699999999999</v>
      </c>
      <c r="Z88" s="18">
        <v>0.98</v>
      </c>
      <c r="AA88" s="18">
        <v>1306.3699999999999</v>
      </c>
      <c r="AB88" s="18">
        <v>362.88</v>
      </c>
      <c r="AC88" s="18">
        <v>38495.802790078218</v>
      </c>
      <c r="AD88" s="18">
        <v>55877219.574154787</v>
      </c>
      <c r="AE88" s="18" t="s">
        <v>1082</v>
      </c>
    </row>
    <row r="89" spans="1:31" x14ac:dyDescent="0.2">
      <c r="A89" s="18">
        <v>88</v>
      </c>
      <c r="B89" s="18">
        <v>88</v>
      </c>
      <c r="C89" s="18">
        <v>88</v>
      </c>
      <c r="D89" s="18">
        <v>696</v>
      </c>
      <c r="E89" s="18" t="s">
        <v>977</v>
      </c>
      <c r="F89" s="18" t="s">
        <v>979</v>
      </c>
      <c r="G89" s="18">
        <v>5600</v>
      </c>
      <c r="H89" s="18">
        <v>0</v>
      </c>
      <c r="I89" s="18">
        <v>142.05000000000001</v>
      </c>
      <c r="J89" s="18">
        <v>93.54</v>
      </c>
      <c r="K89" s="18">
        <v>0.04</v>
      </c>
      <c r="L89" s="18">
        <v>1.68</v>
      </c>
      <c r="M89" s="18">
        <v>4.7300000000000004</v>
      </c>
      <c r="N89" s="18">
        <v>0.01</v>
      </c>
      <c r="O89" s="18">
        <v>0</v>
      </c>
      <c r="P89" s="18">
        <v>0</v>
      </c>
      <c r="Q89" s="18">
        <v>1</v>
      </c>
      <c r="R89" s="18">
        <v>0</v>
      </c>
      <c r="S89" s="18">
        <v>0</v>
      </c>
      <c r="T89" s="18">
        <v>0</v>
      </c>
      <c r="U89" s="18">
        <v>223</v>
      </c>
      <c r="V89" s="18">
        <v>14251.31</v>
      </c>
      <c r="W89" s="18">
        <v>0.5</v>
      </c>
      <c r="X89" s="18">
        <v>112</v>
      </c>
      <c r="Y89" s="18">
        <v>7125.65</v>
      </c>
      <c r="Z89" s="18">
        <v>0.79</v>
      </c>
      <c r="AA89" s="18">
        <v>7125.65</v>
      </c>
      <c r="AB89" s="18">
        <v>1979.35</v>
      </c>
      <c r="AC89" s="18">
        <v>71172.190678959247</v>
      </c>
      <c r="AD89" s="18">
        <v>161514553.78558201</v>
      </c>
      <c r="AE89" s="18" t="s">
        <v>1087</v>
      </c>
    </row>
    <row r="90" spans="1:31" x14ac:dyDescent="0.2">
      <c r="A90" s="18">
        <v>89</v>
      </c>
      <c r="B90" s="18">
        <v>89</v>
      </c>
      <c r="C90" s="18">
        <v>89</v>
      </c>
      <c r="D90" s="18">
        <v>605</v>
      </c>
      <c r="E90" s="18" t="s">
        <v>686</v>
      </c>
      <c r="F90" s="18" t="s">
        <v>688</v>
      </c>
      <c r="G90" s="18">
        <v>5600</v>
      </c>
      <c r="H90" s="18">
        <v>0</v>
      </c>
      <c r="I90" s="18">
        <v>23.18</v>
      </c>
      <c r="J90" s="18">
        <v>47.54</v>
      </c>
      <c r="K90" s="18">
        <v>0.52</v>
      </c>
      <c r="L90" s="18">
        <v>49.87</v>
      </c>
      <c r="M90" s="18">
        <v>1.77</v>
      </c>
      <c r="N90" s="18">
        <v>0.3</v>
      </c>
      <c r="O90" s="18">
        <v>0</v>
      </c>
      <c r="P90" s="18">
        <v>0</v>
      </c>
      <c r="Q90" s="18">
        <v>1</v>
      </c>
      <c r="R90" s="18">
        <v>0</v>
      </c>
      <c r="S90" s="18">
        <v>0</v>
      </c>
      <c r="T90" s="18">
        <v>0</v>
      </c>
      <c r="U90" s="18">
        <v>46</v>
      </c>
      <c r="V90" s="18">
        <v>2457.5</v>
      </c>
      <c r="W90" s="18">
        <v>0.5</v>
      </c>
      <c r="X90" s="18">
        <v>23</v>
      </c>
      <c r="Y90" s="18">
        <v>1228.75</v>
      </c>
      <c r="Z90" s="18">
        <v>0.99</v>
      </c>
      <c r="AA90" s="18">
        <v>1228.75</v>
      </c>
      <c r="AB90" s="18">
        <v>341.32</v>
      </c>
      <c r="AC90" s="18">
        <v>64642.743995316392</v>
      </c>
      <c r="AD90" s="18">
        <v>119148885.264584</v>
      </c>
      <c r="AE90" s="18" t="s">
        <v>1084</v>
      </c>
    </row>
    <row r="91" spans="1:31" x14ac:dyDescent="0.2">
      <c r="A91" s="18">
        <v>90</v>
      </c>
      <c r="B91" s="18">
        <v>90</v>
      </c>
      <c r="C91" s="18">
        <v>90</v>
      </c>
      <c r="D91" s="18">
        <v>641</v>
      </c>
      <c r="E91" s="18" t="s">
        <v>824</v>
      </c>
      <c r="F91" s="18" t="s">
        <v>826</v>
      </c>
      <c r="G91" s="18">
        <v>5600</v>
      </c>
      <c r="H91" s="18">
        <v>0</v>
      </c>
      <c r="I91" s="18">
        <v>12.37</v>
      </c>
      <c r="J91" s="18">
        <v>94.91</v>
      </c>
      <c r="K91" s="18">
        <v>0.65</v>
      </c>
      <c r="L91" s="18">
        <v>2.2599999999999998</v>
      </c>
      <c r="M91" s="18">
        <v>1.78</v>
      </c>
      <c r="N91" s="18">
        <v>0.4</v>
      </c>
      <c r="O91" s="18">
        <v>0</v>
      </c>
      <c r="P91" s="18">
        <v>0</v>
      </c>
      <c r="Q91" s="18">
        <v>1</v>
      </c>
      <c r="R91" s="18">
        <v>0</v>
      </c>
      <c r="S91" s="18">
        <v>0</v>
      </c>
      <c r="T91" s="18">
        <v>0</v>
      </c>
      <c r="U91" s="18">
        <v>47</v>
      </c>
      <c r="V91" s="18">
        <v>2728.86</v>
      </c>
      <c r="W91" s="18">
        <v>0.5</v>
      </c>
      <c r="X91" s="18">
        <v>24</v>
      </c>
      <c r="Y91" s="18">
        <v>1364.43</v>
      </c>
      <c r="Z91" s="18">
        <v>1.94</v>
      </c>
      <c r="AA91" s="18">
        <v>1364.43</v>
      </c>
      <c r="AB91" s="18">
        <v>379.01</v>
      </c>
      <c r="AC91" s="18">
        <v>53339.602610172144</v>
      </c>
      <c r="AD91" s="18">
        <v>107208314.10770281</v>
      </c>
      <c r="AE91" s="18" t="s">
        <v>1082</v>
      </c>
    </row>
    <row r="92" spans="1:31" x14ac:dyDescent="0.2">
      <c r="A92" s="18">
        <v>91</v>
      </c>
      <c r="B92" s="18">
        <v>91</v>
      </c>
      <c r="C92" s="18">
        <v>91</v>
      </c>
      <c r="D92" s="18">
        <v>380</v>
      </c>
      <c r="E92" s="18" t="s">
        <v>53</v>
      </c>
      <c r="F92" s="18" t="s">
        <v>55</v>
      </c>
      <c r="G92" s="18">
        <v>5600</v>
      </c>
      <c r="H92" s="18">
        <v>0</v>
      </c>
      <c r="I92" s="18">
        <v>143.80000000000001</v>
      </c>
      <c r="J92" s="18">
        <v>66.58</v>
      </c>
      <c r="K92" s="18">
        <v>0</v>
      </c>
      <c r="L92" s="18">
        <v>30.9</v>
      </c>
      <c r="M92" s="18">
        <v>2.0699999999999998</v>
      </c>
      <c r="N92" s="18">
        <v>0.45</v>
      </c>
      <c r="O92" s="18">
        <v>0</v>
      </c>
      <c r="P92" s="18">
        <v>0</v>
      </c>
      <c r="Q92" s="18">
        <v>1</v>
      </c>
      <c r="R92" s="18">
        <v>0</v>
      </c>
      <c r="S92" s="18">
        <v>0</v>
      </c>
      <c r="T92" s="18">
        <v>0</v>
      </c>
      <c r="U92" s="18">
        <v>283</v>
      </c>
      <c r="V92" s="18">
        <v>19968.48</v>
      </c>
      <c r="W92" s="18">
        <v>0.5</v>
      </c>
      <c r="X92" s="18">
        <v>142</v>
      </c>
      <c r="Y92" s="18">
        <v>9984.24</v>
      </c>
      <c r="Z92" s="18">
        <v>0.99</v>
      </c>
      <c r="AA92" s="18">
        <v>9984.24</v>
      </c>
      <c r="AB92" s="18">
        <v>2773.4</v>
      </c>
      <c r="AC92" s="18">
        <v>84906.695837386287</v>
      </c>
      <c r="AD92" s="18">
        <v>227682630.43900821</v>
      </c>
      <c r="AE92" s="18" t="s">
        <v>1064</v>
      </c>
    </row>
    <row r="93" spans="1:31" x14ac:dyDescent="0.2">
      <c r="A93" s="18">
        <v>92</v>
      </c>
      <c r="B93" s="18">
        <v>92</v>
      </c>
      <c r="C93" s="18">
        <v>92</v>
      </c>
      <c r="D93" s="18">
        <v>399</v>
      </c>
      <c r="E93" s="18" t="s">
        <v>845</v>
      </c>
      <c r="F93" s="18" t="s">
        <v>847</v>
      </c>
      <c r="G93" s="18">
        <v>5600</v>
      </c>
      <c r="H93" s="18">
        <v>1.01</v>
      </c>
      <c r="I93" s="18">
        <v>145.69999999999999</v>
      </c>
      <c r="J93" s="18">
        <v>46.66</v>
      </c>
      <c r="K93" s="18">
        <v>0.16</v>
      </c>
      <c r="L93" s="18">
        <v>48.61</v>
      </c>
      <c r="M93" s="18">
        <v>4.37</v>
      </c>
      <c r="N93" s="18">
        <v>0.19</v>
      </c>
      <c r="O93" s="18">
        <v>4</v>
      </c>
      <c r="P93" s="18">
        <v>340.3</v>
      </c>
      <c r="Q93" s="18">
        <v>1</v>
      </c>
      <c r="R93" s="18">
        <v>4</v>
      </c>
      <c r="S93" s="18">
        <v>340.3</v>
      </c>
      <c r="T93" s="18">
        <v>3.96</v>
      </c>
      <c r="U93" s="18">
        <v>222</v>
      </c>
      <c r="V93" s="18">
        <v>14187.4</v>
      </c>
      <c r="W93" s="18">
        <v>0.5</v>
      </c>
      <c r="X93" s="18">
        <v>111</v>
      </c>
      <c r="Y93" s="18">
        <v>7093.7</v>
      </c>
      <c r="Z93" s="18">
        <v>0.76</v>
      </c>
      <c r="AA93" s="18">
        <v>7434</v>
      </c>
      <c r="AB93" s="18">
        <v>2065</v>
      </c>
      <c r="AC93" s="18">
        <v>74562.973193294776</v>
      </c>
      <c r="AD93" s="18">
        <v>205329232.91593659</v>
      </c>
      <c r="AE93" s="18" t="s">
        <v>1065</v>
      </c>
    </row>
    <row r="94" spans="1:31" x14ac:dyDescent="0.2">
      <c r="A94" s="18">
        <v>93</v>
      </c>
      <c r="B94" s="18">
        <v>93</v>
      </c>
      <c r="C94" s="18">
        <v>93</v>
      </c>
      <c r="D94" s="18">
        <v>688</v>
      </c>
      <c r="E94" s="18" t="s">
        <v>944</v>
      </c>
      <c r="F94" s="18" t="s">
        <v>946</v>
      </c>
      <c r="G94" s="18">
        <v>5600</v>
      </c>
      <c r="H94" s="18">
        <v>55.7</v>
      </c>
      <c r="I94" s="18">
        <v>252.21</v>
      </c>
      <c r="J94" s="18">
        <v>87.28</v>
      </c>
      <c r="K94" s="18">
        <v>0.06</v>
      </c>
      <c r="L94" s="18">
        <v>10.41</v>
      </c>
      <c r="M94" s="18">
        <v>1.94</v>
      </c>
      <c r="N94" s="18">
        <v>0.32</v>
      </c>
      <c r="O94" s="18">
        <v>162</v>
      </c>
      <c r="P94" s="18">
        <v>13782.18</v>
      </c>
      <c r="Q94" s="18">
        <v>1</v>
      </c>
      <c r="R94" s="18">
        <v>162</v>
      </c>
      <c r="S94" s="18">
        <v>13782.18</v>
      </c>
      <c r="T94" s="18">
        <v>2.91</v>
      </c>
      <c r="U94" s="18">
        <v>360</v>
      </c>
      <c r="V94" s="18">
        <v>25401.599999999999</v>
      </c>
      <c r="W94" s="18">
        <v>0.5</v>
      </c>
      <c r="X94" s="18">
        <v>180</v>
      </c>
      <c r="Y94" s="18">
        <v>12700.8</v>
      </c>
      <c r="Z94" s="18">
        <v>0.71</v>
      </c>
      <c r="AA94" s="18">
        <v>26482.98</v>
      </c>
      <c r="AB94" s="18">
        <v>7356.39</v>
      </c>
      <c r="AC94" s="18">
        <v>80077.037730897035</v>
      </c>
      <c r="AD94" s="18">
        <v>241280258.76132181</v>
      </c>
      <c r="AE94" s="18" t="s">
        <v>1086</v>
      </c>
    </row>
    <row r="95" spans="1:31" x14ac:dyDescent="0.2">
      <c r="A95" s="18">
        <v>94</v>
      </c>
      <c r="B95" s="18">
        <v>94</v>
      </c>
      <c r="C95" s="18">
        <v>94</v>
      </c>
      <c r="D95" s="18">
        <v>622</v>
      </c>
      <c r="E95" s="18" t="s">
        <v>737</v>
      </c>
      <c r="F95" s="18" t="s">
        <v>739</v>
      </c>
      <c r="G95" s="18">
        <v>5600</v>
      </c>
      <c r="H95" s="18">
        <v>0.35</v>
      </c>
      <c r="I95" s="18">
        <v>4.2300000000000004</v>
      </c>
      <c r="J95" s="18">
        <v>95.98</v>
      </c>
      <c r="K95" s="18">
        <v>0</v>
      </c>
      <c r="L95" s="18">
        <v>0.24</v>
      </c>
      <c r="M95" s="18">
        <v>0</v>
      </c>
      <c r="N95" s="18">
        <v>3.78</v>
      </c>
      <c r="O95" s="18">
        <v>1</v>
      </c>
      <c r="P95" s="18">
        <v>85.08</v>
      </c>
      <c r="Q95" s="18">
        <v>1</v>
      </c>
      <c r="R95" s="18">
        <v>1</v>
      </c>
      <c r="S95" s="18">
        <v>85.08</v>
      </c>
      <c r="T95" s="18">
        <v>2.86</v>
      </c>
      <c r="U95" s="18">
        <v>13</v>
      </c>
      <c r="V95" s="18">
        <v>694.51</v>
      </c>
      <c r="W95" s="18">
        <v>0.5</v>
      </c>
      <c r="X95" s="18">
        <v>7</v>
      </c>
      <c r="Y95" s="18">
        <v>347.26</v>
      </c>
      <c r="Z95" s="18">
        <v>1.65</v>
      </c>
      <c r="AA95" s="18">
        <v>432.34</v>
      </c>
      <c r="AB95" s="18">
        <v>120.09</v>
      </c>
      <c r="AC95" s="18">
        <v>42275.125963069433</v>
      </c>
      <c r="AD95" s="18">
        <v>60060712.098212443</v>
      </c>
      <c r="AE95" s="18" t="s">
        <v>1083</v>
      </c>
    </row>
    <row r="96" spans="1:31" x14ac:dyDescent="0.2">
      <c r="A96" s="18">
        <v>95</v>
      </c>
      <c r="B96" s="18">
        <v>95</v>
      </c>
      <c r="C96" s="18">
        <v>95</v>
      </c>
      <c r="D96" s="18">
        <v>659</v>
      </c>
      <c r="E96" s="18" t="s">
        <v>869</v>
      </c>
      <c r="F96" s="18" t="s">
        <v>871</v>
      </c>
      <c r="G96" s="18">
        <v>5600</v>
      </c>
      <c r="H96" s="18">
        <v>0</v>
      </c>
      <c r="I96" s="18">
        <v>225.47</v>
      </c>
      <c r="J96" s="18">
        <v>96.7</v>
      </c>
      <c r="K96" s="18">
        <v>0</v>
      </c>
      <c r="L96" s="18">
        <v>1.58</v>
      </c>
      <c r="M96" s="18">
        <v>1.71</v>
      </c>
      <c r="N96" s="18">
        <v>0.01</v>
      </c>
      <c r="O96" s="18">
        <v>0</v>
      </c>
      <c r="P96" s="18">
        <v>0</v>
      </c>
      <c r="Q96" s="18">
        <v>1</v>
      </c>
      <c r="R96" s="18">
        <v>0</v>
      </c>
      <c r="S96" s="18">
        <v>0</v>
      </c>
      <c r="T96" s="18">
        <v>0</v>
      </c>
      <c r="U96" s="18">
        <v>444</v>
      </c>
      <c r="V96" s="18">
        <v>28374.799999999999</v>
      </c>
      <c r="W96" s="18">
        <v>0.5</v>
      </c>
      <c r="X96" s="18">
        <v>222</v>
      </c>
      <c r="Y96" s="18">
        <v>14187.4</v>
      </c>
      <c r="Z96" s="18">
        <v>0.98</v>
      </c>
      <c r="AA96" s="18">
        <v>14187.4</v>
      </c>
      <c r="AB96" s="18">
        <v>3940.95</v>
      </c>
      <c r="AC96" s="18">
        <v>95575.015055399446</v>
      </c>
      <c r="AD96" s="18">
        <v>285861735.3880161</v>
      </c>
      <c r="AE96" s="18" t="s">
        <v>1079</v>
      </c>
    </row>
    <row r="97" spans="1:31" x14ac:dyDescent="0.2">
      <c r="A97" s="18">
        <v>96</v>
      </c>
      <c r="B97" s="18">
        <v>96</v>
      </c>
      <c r="C97" s="18">
        <v>96</v>
      </c>
      <c r="D97" s="18">
        <v>660</v>
      </c>
      <c r="E97" s="18" t="s">
        <v>872</v>
      </c>
      <c r="F97" s="18" t="s">
        <v>874</v>
      </c>
      <c r="G97" s="18">
        <v>5600</v>
      </c>
      <c r="H97" s="18">
        <v>4.71</v>
      </c>
      <c r="I97" s="18">
        <v>103.35</v>
      </c>
      <c r="J97" s="18">
        <v>49.67</v>
      </c>
      <c r="K97" s="18">
        <v>0.6</v>
      </c>
      <c r="L97" s="18">
        <v>35.369999999999997</v>
      </c>
      <c r="M97" s="18">
        <v>14.36</v>
      </c>
      <c r="N97" s="18">
        <v>0.01</v>
      </c>
      <c r="O97" s="18">
        <v>12</v>
      </c>
      <c r="P97" s="18">
        <v>1020.9</v>
      </c>
      <c r="Q97" s="18">
        <v>1</v>
      </c>
      <c r="R97" s="18">
        <v>12</v>
      </c>
      <c r="S97" s="18">
        <v>1020.9</v>
      </c>
      <c r="T97" s="18">
        <v>2.5499999999999998</v>
      </c>
      <c r="U97" s="18">
        <v>163</v>
      </c>
      <c r="V97" s="18">
        <v>9463.91</v>
      </c>
      <c r="W97" s="18">
        <v>0.5</v>
      </c>
      <c r="X97" s="18">
        <v>82</v>
      </c>
      <c r="Y97" s="18">
        <v>4731.96</v>
      </c>
      <c r="Z97" s="18">
        <v>0.79</v>
      </c>
      <c r="AA97" s="18">
        <v>5752.86</v>
      </c>
      <c r="AB97" s="18">
        <v>1598.02</v>
      </c>
      <c r="AC97" s="18">
        <v>59441.153505983893</v>
      </c>
      <c r="AD97" s="18">
        <v>119366672.6264146</v>
      </c>
      <c r="AE97" s="18" t="s">
        <v>1082</v>
      </c>
    </row>
    <row r="98" spans="1:31" x14ac:dyDescent="0.2">
      <c r="A98" s="18">
        <v>97</v>
      </c>
      <c r="B98" s="18">
        <v>97</v>
      </c>
      <c r="C98" s="18">
        <v>97</v>
      </c>
      <c r="D98" s="18">
        <v>408</v>
      </c>
      <c r="E98" s="18" t="s">
        <v>125</v>
      </c>
      <c r="F98" s="18" t="s">
        <v>127</v>
      </c>
      <c r="G98" s="18">
        <v>5600</v>
      </c>
      <c r="H98" s="18">
        <v>0</v>
      </c>
      <c r="I98" s="18">
        <v>130.88999999999999</v>
      </c>
      <c r="J98" s="18">
        <v>37.11</v>
      </c>
      <c r="K98" s="18">
        <v>0.08</v>
      </c>
      <c r="L98" s="18">
        <v>61.64</v>
      </c>
      <c r="M98" s="18">
        <v>1.05</v>
      </c>
      <c r="N98" s="18">
        <v>0.13</v>
      </c>
      <c r="O98" s="18">
        <v>0</v>
      </c>
      <c r="P98" s="18">
        <v>0</v>
      </c>
      <c r="Q98" s="18">
        <v>1</v>
      </c>
      <c r="R98" s="18">
        <v>0</v>
      </c>
      <c r="S98" s="18">
        <v>0</v>
      </c>
      <c r="T98" s="18">
        <v>0</v>
      </c>
      <c r="U98" s="18">
        <v>221</v>
      </c>
      <c r="V98" s="18">
        <v>12831.44</v>
      </c>
      <c r="W98" s="18">
        <v>0.5</v>
      </c>
      <c r="X98" s="18">
        <v>111</v>
      </c>
      <c r="Y98" s="18">
        <v>6415.72</v>
      </c>
      <c r="Z98" s="18">
        <v>0.85</v>
      </c>
      <c r="AA98" s="18">
        <v>6415.72</v>
      </c>
      <c r="AB98" s="18">
        <v>1782.15</v>
      </c>
      <c r="AC98" s="18">
        <v>77426.07342695925</v>
      </c>
      <c r="AD98" s="18">
        <v>181982345.35574499</v>
      </c>
      <c r="AE98" s="18" t="s">
        <v>1066</v>
      </c>
    </row>
    <row r="99" spans="1:31" x14ac:dyDescent="0.2">
      <c r="A99" s="18">
        <v>98</v>
      </c>
      <c r="B99" s="18">
        <v>98</v>
      </c>
      <c r="C99" s="18">
        <v>98</v>
      </c>
      <c r="D99" s="18">
        <v>409</v>
      </c>
      <c r="E99" s="18" t="s">
        <v>128</v>
      </c>
      <c r="F99" s="18" t="s">
        <v>130</v>
      </c>
      <c r="G99" s="18">
        <v>5600</v>
      </c>
      <c r="H99" s="18">
        <v>0</v>
      </c>
      <c r="I99" s="18">
        <v>32.770000000000003</v>
      </c>
      <c r="J99" s="18">
        <v>69.150000000000006</v>
      </c>
      <c r="K99" s="18">
        <v>0</v>
      </c>
      <c r="L99" s="18">
        <v>28.07</v>
      </c>
      <c r="M99" s="18">
        <v>2.44</v>
      </c>
      <c r="N99" s="18">
        <v>0.34</v>
      </c>
      <c r="O99" s="18">
        <v>0</v>
      </c>
      <c r="P99" s="18">
        <v>0</v>
      </c>
      <c r="Q99" s="18">
        <v>1</v>
      </c>
      <c r="R99" s="18">
        <v>0</v>
      </c>
      <c r="S99" s="18">
        <v>0</v>
      </c>
      <c r="T99" s="18">
        <v>0</v>
      </c>
      <c r="U99" s="18">
        <v>127</v>
      </c>
      <c r="V99" s="18">
        <v>7373.72</v>
      </c>
      <c r="W99" s="18">
        <v>0.5</v>
      </c>
      <c r="X99" s="18">
        <v>64</v>
      </c>
      <c r="Y99" s="18">
        <v>3686.86</v>
      </c>
      <c r="Z99" s="18">
        <v>1.95</v>
      </c>
      <c r="AA99" s="18">
        <v>3686.86</v>
      </c>
      <c r="AB99" s="18">
        <v>1024.1300000000001</v>
      </c>
      <c r="AC99" s="18">
        <v>75796.644623553177</v>
      </c>
      <c r="AD99" s="18">
        <v>172308253.32940799</v>
      </c>
      <c r="AE99" s="18" t="s">
        <v>1066</v>
      </c>
    </row>
    <row r="100" spans="1:31" x14ac:dyDescent="0.2">
      <c r="A100" s="18">
        <v>99</v>
      </c>
      <c r="B100" s="18">
        <v>99</v>
      </c>
      <c r="C100" s="18">
        <v>99</v>
      </c>
      <c r="D100" s="18">
        <v>666</v>
      </c>
      <c r="E100" s="18" t="s">
        <v>1001</v>
      </c>
      <c r="F100" s="18" t="s">
        <v>1003</v>
      </c>
      <c r="G100" s="18">
        <v>5600</v>
      </c>
      <c r="H100" s="18">
        <v>0</v>
      </c>
      <c r="I100" s="18">
        <v>5.22</v>
      </c>
      <c r="J100" s="18">
        <v>97.51</v>
      </c>
      <c r="K100" s="18">
        <v>0</v>
      </c>
      <c r="L100" s="18">
        <v>1.92</v>
      </c>
      <c r="M100" s="18">
        <v>0</v>
      </c>
      <c r="N100" s="18">
        <v>0.56999999999999995</v>
      </c>
      <c r="O100" s="18">
        <v>0</v>
      </c>
      <c r="P100" s="18">
        <v>0</v>
      </c>
      <c r="Q100" s="18">
        <v>1</v>
      </c>
      <c r="R100" s="18">
        <v>0</v>
      </c>
      <c r="S100" s="18">
        <v>0</v>
      </c>
      <c r="T100" s="18">
        <v>0</v>
      </c>
      <c r="U100" s="18">
        <v>14</v>
      </c>
      <c r="V100" s="18">
        <v>747.94</v>
      </c>
      <c r="W100" s="18">
        <v>0.5</v>
      </c>
      <c r="X100" s="18">
        <v>7</v>
      </c>
      <c r="Y100" s="18">
        <v>373.97</v>
      </c>
      <c r="Z100" s="18">
        <v>1.34</v>
      </c>
      <c r="AA100" s="18">
        <v>373.97</v>
      </c>
      <c r="AB100" s="18">
        <v>103.88</v>
      </c>
      <c r="AC100" s="18">
        <v>62093.920215781043</v>
      </c>
      <c r="AD100" s="18">
        <v>78542477.484043419</v>
      </c>
      <c r="AE100" s="18" t="s">
        <v>1083</v>
      </c>
    </row>
    <row r="101" spans="1:31" x14ac:dyDescent="0.2">
      <c r="A101" s="18">
        <v>100</v>
      </c>
      <c r="B101" s="18">
        <v>100</v>
      </c>
      <c r="C101" s="18">
        <v>100</v>
      </c>
      <c r="D101" s="18">
        <v>667</v>
      </c>
      <c r="E101" s="18" t="s">
        <v>1004</v>
      </c>
      <c r="F101" s="18" t="s">
        <v>1006</v>
      </c>
      <c r="G101" s="18">
        <v>5600</v>
      </c>
      <c r="H101" s="18">
        <v>0</v>
      </c>
      <c r="I101" s="18">
        <v>57.15</v>
      </c>
      <c r="J101" s="18">
        <v>26.35</v>
      </c>
      <c r="K101" s="18">
        <v>0.45</v>
      </c>
      <c r="L101" s="18">
        <v>71.09</v>
      </c>
      <c r="M101" s="18">
        <v>2.08</v>
      </c>
      <c r="N101" s="18">
        <v>0.02</v>
      </c>
      <c r="O101" s="18">
        <v>0</v>
      </c>
      <c r="P101" s="18">
        <v>0</v>
      </c>
      <c r="Q101" s="18">
        <v>1</v>
      </c>
      <c r="R101" s="18">
        <v>0</v>
      </c>
      <c r="S101" s="18">
        <v>0</v>
      </c>
      <c r="T101" s="18">
        <v>0</v>
      </c>
      <c r="U101" s="18">
        <v>98</v>
      </c>
      <c r="V101" s="18">
        <v>5235.55</v>
      </c>
      <c r="W101" s="18">
        <v>0.5</v>
      </c>
      <c r="X101" s="18">
        <v>49</v>
      </c>
      <c r="Y101" s="18">
        <v>2617.7800000000002</v>
      </c>
      <c r="Z101" s="18">
        <v>0.86</v>
      </c>
      <c r="AA101" s="18">
        <v>2617.7800000000002</v>
      </c>
      <c r="AB101" s="18">
        <v>727.16</v>
      </c>
      <c r="AC101" s="18">
        <v>60445.923969760552</v>
      </c>
      <c r="AD101" s="18">
        <v>106652101.303572</v>
      </c>
      <c r="AE101" s="18" t="s">
        <v>1070</v>
      </c>
    </row>
    <row r="102" spans="1:31" x14ac:dyDescent="0.2">
      <c r="A102" s="18">
        <v>101</v>
      </c>
      <c r="B102" s="18">
        <v>101</v>
      </c>
      <c r="C102" s="18">
        <v>101</v>
      </c>
      <c r="D102" s="18">
        <v>671</v>
      </c>
      <c r="E102" s="18" t="s">
        <v>893</v>
      </c>
      <c r="F102" s="18" t="s">
        <v>895</v>
      </c>
      <c r="G102" s="18">
        <v>5600</v>
      </c>
      <c r="H102" s="18">
        <v>0</v>
      </c>
      <c r="I102" s="18">
        <v>370.61</v>
      </c>
      <c r="J102" s="18">
        <v>63.51</v>
      </c>
      <c r="K102" s="18">
        <v>0.48</v>
      </c>
      <c r="L102" s="18">
        <v>32.81</v>
      </c>
      <c r="M102" s="18">
        <v>2.4900000000000002</v>
      </c>
      <c r="N102" s="18">
        <v>0.71</v>
      </c>
      <c r="O102" s="18">
        <v>0</v>
      </c>
      <c r="P102" s="18">
        <v>0</v>
      </c>
      <c r="Q102" s="18">
        <v>1</v>
      </c>
      <c r="R102" s="18">
        <v>0</v>
      </c>
      <c r="S102" s="18">
        <v>0</v>
      </c>
      <c r="T102" s="18">
        <v>0</v>
      </c>
      <c r="U102" s="18">
        <v>550</v>
      </c>
      <c r="V102" s="18">
        <v>35148.959999999999</v>
      </c>
      <c r="W102" s="18">
        <v>0.5</v>
      </c>
      <c r="X102" s="18">
        <v>275</v>
      </c>
      <c r="Y102" s="18">
        <v>17574.48</v>
      </c>
      <c r="Z102" s="18">
        <v>0.74</v>
      </c>
      <c r="AA102" s="18">
        <v>17574.48</v>
      </c>
      <c r="AB102" s="18">
        <v>4881.8</v>
      </c>
      <c r="AC102" s="18">
        <v>111904.77376888441</v>
      </c>
      <c r="AD102" s="18">
        <v>345845244.77481103</v>
      </c>
      <c r="AE102" s="18" t="s">
        <v>1065</v>
      </c>
    </row>
    <row r="103" spans="1:31" x14ac:dyDescent="0.2">
      <c r="A103" s="18">
        <v>102</v>
      </c>
      <c r="B103" s="18">
        <v>102</v>
      </c>
      <c r="C103" s="18">
        <v>102</v>
      </c>
      <c r="D103" s="18">
        <v>672</v>
      </c>
      <c r="E103" s="18" t="s">
        <v>896</v>
      </c>
      <c r="F103" s="18" t="s">
        <v>898</v>
      </c>
      <c r="G103" s="18">
        <v>5600</v>
      </c>
      <c r="H103" s="18">
        <v>0</v>
      </c>
      <c r="I103" s="18">
        <v>26.89</v>
      </c>
      <c r="J103" s="18">
        <v>88.55</v>
      </c>
      <c r="K103" s="18">
        <v>0.04</v>
      </c>
      <c r="L103" s="18">
        <v>1.71</v>
      </c>
      <c r="M103" s="18">
        <v>8.5500000000000007</v>
      </c>
      <c r="N103" s="18">
        <v>1.1499999999999999</v>
      </c>
      <c r="O103" s="18">
        <v>0</v>
      </c>
      <c r="P103" s="18">
        <v>0</v>
      </c>
      <c r="Q103" s="18">
        <v>1</v>
      </c>
      <c r="R103" s="18">
        <v>0</v>
      </c>
      <c r="S103" s="18">
        <v>0</v>
      </c>
      <c r="T103" s="18">
        <v>0</v>
      </c>
      <c r="U103" s="18">
        <v>78</v>
      </c>
      <c r="V103" s="18">
        <v>4528.74</v>
      </c>
      <c r="W103" s="18">
        <v>0.5</v>
      </c>
      <c r="X103" s="18">
        <v>39</v>
      </c>
      <c r="Y103" s="18">
        <v>2264.37</v>
      </c>
      <c r="Z103" s="18">
        <v>1.45</v>
      </c>
      <c r="AA103" s="18">
        <v>2264.37</v>
      </c>
      <c r="AB103" s="18">
        <v>628.99</v>
      </c>
      <c r="AC103" s="18">
        <v>60524.822274463353</v>
      </c>
      <c r="AD103" s="18">
        <v>115175942.2265981</v>
      </c>
      <c r="AE103" s="18" t="s">
        <v>1073</v>
      </c>
    </row>
    <row r="104" spans="1:31" x14ac:dyDescent="0.2">
      <c r="A104" s="18">
        <v>103</v>
      </c>
      <c r="B104" s="18">
        <v>103</v>
      </c>
      <c r="C104" s="18">
        <v>103</v>
      </c>
      <c r="D104" s="18">
        <v>673</v>
      </c>
      <c r="E104" s="18" t="s">
        <v>899</v>
      </c>
      <c r="F104" s="18" t="s">
        <v>901</v>
      </c>
      <c r="G104" s="18">
        <v>5600</v>
      </c>
      <c r="H104" s="18">
        <v>0</v>
      </c>
      <c r="I104" s="18">
        <v>63.71</v>
      </c>
      <c r="J104" s="18">
        <v>57.24</v>
      </c>
      <c r="K104" s="18">
        <v>0</v>
      </c>
      <c r="L104" s="18">
        <v>40.72</v>
      </c>
      <c r="M104" s="18">
        <v>1.32</v>
      </c>
      <c r="N104" s="18">
        <v>0.72</v>
      </c>
      <c r="O104" s="18">
        <v>0</v>
      </c>
      <c r="P104" s="18">
        <v>0</v>
      </c>
      <c r="Q104" s="18">
        <v>1</v>
      </c>
      <c r="R104" s="18">
        <v>0</v>
      </c>
      <c r="S104" s="18">
        <v>0</v>
      </c>
      <c r="T104" s="18">
        <v>0</v>
      </c>
      <c r="U104" s="18">
        <v>161</v>
      </c>
      <c r="V104" s="18">
        <v>8601.26</v>
      </c>
      <c r="W104" s="18">
        <v>0.5</v>
      </c>
      <c r="X104" s="18">
        <v>81</v>
      </c>
      <c r="Y104" s="18">
        <v>4300.63</v>
      </c>
      <c r="Z104" s="18">
        <v>1.27</v>
      </c>
      <c r="AA104" s="18">
        <v>4300.63</v>
      </c>
      <c r="AB104" s="18">
        <v>1194.6199999999999</v>
      </c>
      <c r="AC104" s="18">
        <v>74868.372766693574</v>
      </c>
      <c r="AD104" s="18">
        <v>215439899.55175689</v>
      </c>
      <c r="AE104" s="18" t="s">
        <v>1067</v>
      </c>
    </row>
    <row r="105" spans="1:31" x14ac:dyDescent="0.2">
      <c r="A105" s="18">
        <v>104</v>
      </c>
      <c r="B105" s="18">
        <v>104</v>
      </c>
      <c r="C105" s="18">
        <v>104</v>
      </c>
      <c r="D105" s="18">
        <v>674</v>
      </c>
      <c r="E105" s="18" t="s">
        <v>902</v>
      </c>
      <c r="F105" s="18" t="s">
        <v>904</v>
      </c>
      <c r="G105" s="18">
        <v>5600</v>
      </c>
      <c r="H105" s="18">
        <v>0</v>
      </c>
      <c r="I105" s="18">
        <v>20.94</v>
      </c>
      <c r="J105" s="18">
        <v>73.260000000000005</v>
      </c>
      <c r="K105" s="18">
        <v>1.72</v>
      </c>
      <c r="L105" s="18">
        <v>3.15</v>
      </c>
      <c r="M105" s="18">
        <v>21.3</v>
      </c>
      <c r="N105" s="18">
        <v>0.56999999999999995</v>
      </c>
      <c r="O105" s="18">
        <v>0</v>
      </c>
      <c r="P105" s="18">
        <v>0</v>
      </c>
      <c r="Q105" s="18">
        <v>1</v>
      </c>
      <c r="R105" s="18">
        <v>0</v>
      </c>
      <c r="S105" s="18">
        <v>0</v>
      </c>
      <c r="T105" s="18">
        <v>0</v>
      </c>
      <c r="U105" s="18">
        <v>57</v>
      </c>
      <c r="V105" s="18">
        <v>3309.47</v>
      </c>
      <c r="W105" s="18">
        <v>0.5</v>
      </c>
      <c r="X105" s="18">
        <v>29</v>
      </c>
      <c r="Y105" s="18">
        <v>1654.73</v>
      </c>
      <c r="Z105" s="18">
        <v>1.38</v>
      </c>
      <c r="AA105" s="18">
        <v>1654.73</v>
      </c>
      <c r="AB105" s="18">
        <v>459.65</v>
      </c>
      <c r="AC105" s="18">
        <v>65949.227657445284</v>
      </c>
      <c r="AD105" s="18">
        <v>67414667.951790199</v>
      </c>
      <c r="AE105" s="18" t="s">
        <v>1069</v>
      </c>
    </row>
    <row r="106" spans="1:31" x14ac:dyDescent="0.2">
      <c r="A106" s="18">
        <v>105</v>
      </c>
      <c r="B106" s="18">
        <v>105</v>
      </c>
      <c r="C106" s="18">
        <v>105</v>
      </c>
      <c r="D106" s="18">
        <v>406</v>
      </c>
      <c r="E106" s="18" t="s">
        <v>374</v>
      </c>
      <c r="F106" s="18" t="s">
        <v>376</v>
      </c>
      <c r="G106" s="18">
        <v>5600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1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0.5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13808.679722486761</v>
      </c>
      <c r="AD106" s="18">
        <v>9642813.4068228416</v>
      </c>
      <c r="AE106" s="18" t="s">
        <v>1076</v>
      </c>
    </row>
    <row r="107" spans="1:31" x14ac:dyDescent="0.2">
      <c r="A107" s="18">
        <v>106</v>
      </c>
      <c r="B107" s="18">
        <v>106</v>
      </c>
      <c r="C107" s="18">
        <v>106</v>
      </c>
      <c r="D107" s="18">
        <v>634</v>
      </c>
      <c r="E107" s="18" t="s">
        <v>779</v>
      </c>
      <c r="F107" s="18" t="s">
        <v>781</v>
      </c>
      <c r="G107" s="18">
        <v>5600</v>
      </c>
      <c r="H107" s="18">
        <v>0</v>
      </c>
      <c r="I107" s="18">
        <v>129.08000000000001</v>
      </c>
      <c r="J107" s="18">
        <v>49.11</v>
      </c>
      <c r="K107" s="18">
        <v>0.1</v>
      </c>
      <c r="L107" s="18">
        <v>46.75</v>
      </c>
      <c r="M107" s="18">
        <v>2.84</v>
      </c>
      <c r="N107" s="18">
        <v>1.2</v>
      </c>
      <c r="O107" s="18">
        <v>0</v>
      </c>
      <c r="P107" s="18">
        <v>0</v>
      </c>
      <c r="Q107" s="18">
        <v>1</v>
      </c>
      <c r="R107" s="18">
        <v>0</v>
      </c>
      <c r="S107" s="18">
        <v>0</v>
      </c>
      <c r="T107" s="18">
        <v>0</v>
      </c>
      <c r="U107" s="18">
        <v>226</v>
      </c>
      <c r="V107" s="18">
        <v>12073.82</v>
      </c>
      <c r="W107" s="18">
        <v>0.5</v>
      </c>
      <c r="X107" s="18">
        <v>113</v>
      </c>
      <c r="Y107" s="18">
        <v>6036.91</v>
      </c>
      <c r="Z107" s="18">
        <v>0.88</v>
      </c>
      <c r="AA107" s="18">
        <v>6036.91</v>
      </c>
      <c r="AB107" s="18">
        <v>1676.92</v>
      </c>
      <c r="AC107" s="18">
        <v>72095.691364410159</v>
      </c>
      <c r="AD107" s="18">
        <v>191941772.18507299</v>
      </c>
      <c r="AE107" s="18" t="s">
        <v>1085</v>
      </c>
    </row>
    <row r="108" spans="1:31" x14ac:dyDescent="0.2">
      <c r="A108" s="18">
        <v>107</v>
      </c>
      <c r="B108" s="18">
        <v>107</v>
      </c>
      <c r="C108" s="18">
        <v>107</v>
      </c>
      <c r="D108" s="18">
        <v>635</v>
      </c>
      <c r="E108" s="18" t="s">
        <v>782</v>
      </c>
      <c r="F108" s="18" t="s">
        <v>784</v>
      </c>
      <c r="G108" s="18">
        <v>5600</v>
      </c>
      <c r="H108" s="18">
        <v>0</v>
      </c>
      <c r="I108" s="18">
        <v>21.72</v>
      </c>
      <c r="J108" s="18">
        <v>71.69</v>
      </c>
      <c r="K108" s="18">
        <v>1.01</v>
      </c>
      <c r="L108" s="18">
        <v>15.7</v>
      </c>
      <c r="M108" s="18">
        <v>8.1999999999999993</v>
      </c>
      <c r="N108" s="18">
        <v>3.41</v>
      </c>
      <c r="O108" s="18">
        <v>0</v>
      </c>
      <c r="P108" s="18">
        <v>0</v>
      </c>
      <c r="Q108" s="18">
        <v>1</v>
      </c>
      <c r="R108" s="18">
        <v>0</v>
      </c>
      <c r="S108" s="18">
        <v>0</v>
      </c>
      <c r="T108" s="18">
        <v>0</v>
      </c>
      <c r="U108" s="18">
        <v>82</v>
      </c>
      <c r="V108" s="18">
        <v>4760.99</v>
      </c>
      <c r="W108" s="18">
        <v>0.5</v>
      </c>
      <c r="X108" s="18">
        <v>41</v>
      </c>
      <c r="Y108" s="18">
        <v>2380.4899999999998</v>
      </c>
      <c r="Z108" s="18">
        <v>1.89</v>
      </c>
      <c r="AA108" s="18">
        <v>2380.4899999999998</v>
      </c>
      <c r="AB108" s="18">
        <v>661.25</v>
      </c>
      <c r="AC108" s="18">
        <v>78293.889501222671</v>
      </c>
      <c r="AD108" s="18">
        <v>137866390.48281291</v>
      </c>
      <c r="AE108" s="18" t="s">
        <v>1070</v>
      </c>
    </row>
    <row r="109" spans="1:31" x14ac:dyDescent="0.2">
      <c r="A109" s="18">
        <v>108</v>
      </c>
      <c r="B109" s="18">
        <v>108</v>
      </c>
      <c r="C109" s="18">
        <v>108</v>
      </c>
      <c r="D109" s="18">
        <v>596</v>
      </c>
      <c r="E109" s="18" t="s">
        <v>794</v>
      </c>
      <c r="F109" s="18" t="s">
        <v>796</v>
      </c>
      <c r="G109" s="18">
        <v>5600</v>
      </c>
      <c r="H109" s="18">
        <v>0.28000000000000003</v>
      </c>
      <c r="I109" s="18">
        <v>34.96</v>
      </c>
      <c r="J109" s="18">
        <v>95.39</v>
      </c>
      <c r="K109" s="18">
        <v>0</v>
      </c>
      <c r="L109" s="18">
        <v>0.31</v>
      </c>
      <c r="M109" s="18">
        <v>4.09</v>
      </c>
      <c r="N109" s="18">
        <v>0.2</v>
      </c>
      <c r="O109" s="18">
        <v>0</v>
      </c>
      <c r="P109" s="18">
        <v>0</v>
      </c>
      <c r="Q109" s="18">
        <v>1</v>
      </c>
      <c r="R109" s="18">
        <v>0</v>
      </c>
      <c r="S109" s="18">
        <v>0</v>
      </c>
      <c r="T109" s="18">
        <v>0</v>
      </c>
      <c r="U109" s="18">
        <v>80</v>
      </c>
      <c r="V109" s="18">
        <v>5644.8</v>
      </c>
      <c r="W109" s="18">
        <v>0.5</v>
      </c>
      <c r="X109" s="18">
        <v>40</v>
      </c>
      <c r="Y109" s="18">
        <v>2822.4</v>
      </c>
      <c r="Z109" s="18">
        <v>1.1399999999999999</v>
      </c>
      <c r="AA109" s="18">
        <v>2822.4</v>
      </c>
      <c r="AB109" s="18">
        <v>784</v>
      </c>
      <c r="AC109" s="18">
        <v>47790.887366110423</v>
      </c>
      <c r="AD109" s="18">
        <v>83321214.742675737</v>
      </c>
      <c r="AE109" s="18" t="s">
        <v>1075</v>
      </c>
    </row>
    <row r="110" spans="1:31" x14ac:dyDescent="0.2">
      <c r="A110" s="18">
        <v>109</v>
      </c>
      <c r="B110" s="18">
        <v>109</v>
      </c>
      <c r="C110" s="18">
        <v>109</v>
      </c>
      <c r="D110" s="18">
        <v>653</v>
      </c>
      <c r="E110" s="18" t="s">
        <v>959</v>
      </c>
      <c r="F110" s="18" t="s">
        <v>961</v>
      </c>
      <c r="G110" s="18">
        <v>5600</v>
      </c>
      <c r="H110" s="18">
        <v>0</v>
      </c>
      <c r="I110" s="18">
        <v>48.9</v>
      </c>
      <c r="J110" s="18">
        <v>95.01</v>
      </c>
      <c r="K110" s="18">
        <v>0</v>
      </c>
      <c r="L110" s="18">
        <v>3.33</v>
      </c>
      <c r="M110" s="18">
        <v>1.45</v>
      </c>
      <c r="N110" s="18">
        <v>0.2</v>
      </c>
      <c r="O110" s="18">
        <v>0</v>
      </c>
      <c r="P110" s="18">
        <v>0</v>
      </c>
      <c r="Q110" s="18">
        <v>1</v>
      </c>
      <c r="R110" s="18">
        <v>0</v>
      </c>
      <c r="S110" s="18">
        <v>0</v>
      </c>
      <c r="T110" s="18">
        <v>0</v>
      </c>
      <c r="U110" s="18">
        <v>105</v>
      </c>
      <c r="V110" s="18">
        <v>6710.26</v>
      </c>
      <c r="W110" s="18">
        <v>0.5</v>
      </c>
      <c r="X110" s="18">
        <v>53</v>
      </c>
      <c r="Y110" s="18">
        <v>3355.13</v>
      </c>
      <c r="Z110" s="18">
        <v>1.08</v>
      </c>
      <c r="AA110" s="18">
        <v>3355.13</v>
      </c>
      <c r="AB110" s="18">
        <v>931.98</v>
      </c>
      <c r="AC110" s="18">
        <v>83595.875657872617</v>
      </c>
      <c r="AD110" s="18">
        <v>106918907.21134689</v>
      </c>
      <c r="AE110" s="18" t="s">
        <v>1074</v>
      </c>
    </row>
    <row r="111" spans="1:31" x14ac:dyDescent="0.2">
      <c r="A111" s="18">
        <v>110</v>
      </c>
      <c r="B111" s="18">
        <v>110</v>
      </c>
      <c r="C111" s="18">
        <v>110</v>
      </c>
      <c r="D111" s="18">
        <v>382</v>
      </c>
      <c r="E111" s="18" t="s">
        <v>59</v>
      </c>
      <c r="F111" s="18" t="s">
        <v>61</v>
      </c>
      <c r="G111" s="18">
        <v>5600</v>
      </c>
      <c r="H111" s="18">
        <v>1.31</v>
      </c>
      <c r="I111" s="18">
        <v>46.4</v>
      </c>
      <c r="J111" s="18">
        <v>79.22</v>
      </c>
      <c r="K111" s="18">
        <v>0.26</v>
      </c>
      <c r="L111" s="18">
        <v>11.1</v>
      </c>
      <c r="M111" s="18">
        <v>9.18</v>
      </c>
      <c r="N111" s="18">
        <v>0.24</v>
      </c>
      <c r="O111" s="18">
        <v>2</v>
      </c>
      <c r="P111" s="18">
        <v>170.15</v>
      </c>
      <c r="Q111" s="18">
        <v>1</v>
      </c>
      <c r="R111" s="18">
        <v>2</v>
      </c>
      <c r="S111" s="18">
        <v>170.15</v>
      </c>
      <c r="T111" s="18">
        <v>1.53</v>
      </c>
      <c r="U111" s="18">
        <v>94</v>
      </c>
      <c r="V111" s="18">
        <v>6632.64</v>
      </c>
      <c r="W111" s="18">
        <v>0.5</v>
      </c>
      <c r="X111" s="18">
        <v>47</v>
      </c>
      <c r="Y111" s="18">
        <v>3316.32</v>
      </c>
      <c r="Z111" s="18">
        <v>1.01</v>
      </c>
      <c r="AA111" s="18">
        <v>3486.47</v>
      </c>
      <c r="AB111" s="18">
        <v>968.46</v>
      </c>
      <c r="AC111" s="18">
        <v>62723.493169761699</v>
      </c>
      <c r="AD111" s="18">
        <v>126146940.2263525</v>
      </c>
      <c r="AE111" s="18" t="s">
        <v>1064</v>
      </c>
    </row>
    <row r="112" spans="1:31" x14ac:dyDescent="0.2">
      <c r="A112" s="18">
        <v>111</v>
      </c>
      <c r="B112" s="18">
        <v>111</v>
      </c>
      <c r="C112" s="18">
        <v>111</v>
      </c>
      <c r="D112" s="18">
        <v>565</v>
      </c>
      <c r="E112" s="18" t="s">
        <v>587</v>
      </c>
      <c r="F112" s="18" t="s">
        <v>589</v>
      </c>
      <c r="G112" s="18">
        <v>5600</v>
      </c>
      <c r="H112" s="18">
        <v>3</v>
      </c>
      <c r="I112" s="18">
        <v>64.31</v>
      </c>
      <c r="J112" s="18">
        <v>74.98</v>
      </c>
      <c r="K112" s="18">
        <v>0</v>
      </c>
      <c r="L112" s="18">
        <v>11.02</v>
      </c>
      <c r="M112" s="18">
        <v>13.22</v>
      </c>
      <c r="N112" s="18">
        <v>0.78</v>
      </c>
      <c r="O112" s="18">
        <v>8</v>
      </c>
      <c r="P112" s="18">
        <v>680.6</v>
      </c>
      <c r="Q112" s="18">
        <v>1</v>
      </c>
      <c r="R112" s="18">
        <v>8</v>
      </c>
      <c r="S112" s="18">
        <v>680.6</v>
      </c>
      <c r="T112" s="18">
        <v>2.67</v>
      </c>
      <c r="U112" s="18">
        <v>137</v>
      </c>
      <c r="V112" s="18">
        <v>9666.7199999999993</v>
      </c>
      <c r="W112" s="18">
        <v>0.5</v>
      </c>
      <c r="X112" s="18">
        <v>69</v>
      </c>
      <c r="Y112" s="18">
        <v>4833.3599999999997</v>
      </c>
      <c r="Z112" s="18">
        <v>1.07</v>
      </c>
      <c r="AA112" s="18">
        <v>5513.96</v>
      </c>
      <c r="AB112" s="18">
        <v>1531.66</v>
      </c>
      <c r="AC112" s="18">
        <v>79899.761981593838</v>
      </c>
      <c r="AD112" s="18">
        <v>161419212.12937191</v>
      </c>
      <c r="AE112" s="18" t="s">
        <v>1064</v>
      </c>
    </row>
    <row r="113" spans="1:31" x14ac:dyDescent="0.2">
      <c r="A113" s="18">
        <v>112</v>
      </c>
      <c r="B113" s="18">
        <v>112</v>
      </c>
      <c r="C113" s="18">
        <v>112</v>
      </c>
      <c r="D113" s="18">
        <v>685</v>
      </c>
      <c r="E113" s="18" t="s">
        <v>935</v>
      </c>
      <c r="F113" s="18" t="s">
        <v>937</v>
      </c>
      <c r="G113" s="18">
        <v>5600</v>
      </c>
      <c r="H113" s="18">
        <v>0</v>
      </c>
      <c r="I113" s="18">
        <v>34.01</v>
      </c>
      <c r="J113" s="18">
        <v>85.97</v>
      </c>
      <c r="K113" s="18">
        <v>0</v>
      </c>
      <c r="L113" s="18">
        <v>8.2899999999999991</v>
      </c>
      <c r="M113" s="18">
        <v>5.56</v>
      </c>
      <c r="N113" s="18">
        <v>0.18</v>
      </c>
      <c r="O113" s="18">
        <v>0</v>
      </c>
      <c r="P113" s="18">
        <v>0</v>
      </c>
      <c r="Q113" s="18">
        <v>1</v>
      </c>
      <c r="R113" s="18">
        <v>0</v>
      </c>
      <c r="S113" s="18">
        <v>0</v>
      </c>
      <c r="T113" s="18">
        <v>0</v>
      </c>
      <c r="U113" s="18">
        <v>69</v>
      </c>
      <c r="V113" s="18">
        <v>4868.6400000000003</v>
      </c>
      <c r="W113" s="18">
        <v>0.5</v>
      </c>
      <c r="X113" s="18">
        <v>35</v>
      </c>
      <c r="Y113" s="18">
        <v>2434.3200000000002</v>
      </c>
      <c r="Z113" s="18">
        <v>1.03</v>
      </c>
      <c r="AA113" s="18">
        <v>2434.3200000000002</v>
      </c>
      <c r="AB113" s="18">
        <v>676.2</v>
      </c>
      <c r="AC113" s="18">
        <v>46622.826883058638</v>
      </c>
      <c r="AD113" s="18">
        <v>87494367.378775895</v>
      </c>
      <c r="AE113" s="18" t="s">
        <v>1064</v>
      </c>
    </row>
    <row r="114" spans="1:31" x14ac:dyDescent="0.2">
      <c r="A114" s="18">
        <v>113</v>
      </c>
      <c r="B114" s="18">
        <v>113</v>
      </c>
      <c r="C114" s="18">
        <v>118</v>
      </c>
      <c r="D114" s="18">
        <v>496</v>
      </c>
      <c r="E114" s="18" t="s">
        <v>395</v>
      </c>
      <c r="F114" s="18" t="s">
        <v>397</v>
      </c>
      <c r="G114" s="18">
        <v>5600</v>
      </c>
      <c r="H114" s="18">
        <v>0</v>
      </c>
      <c r="I114" s="18">
        <v>3.24</v>
      </c>
      <c r="J114" s="18">
        <v>0</v>
      </c>
      <c r="K114" s="18">
        <v>0</v>
      </c>
      <c r="L114" s="18">
        <v>100</v>
      </c>
      <c r="M114" s="18">
        <v>0</v>
      </c>
      <c r="N114" s="18">
        <v>0</v>
      </c>
      <c r="O114" s="18">
        <v>0</v>
      </c>
      <c r="P114" s="18">
        <v>0</v>
      </c>
      <c r="Q114" s="18">
        <v>1</v>
      </c>
      <c r="R114" s="18">
        <v>0</v>
      </c>
      <c r="S114" s="18">
        <v>0</v>
      </c>
      <c r="T114" s="18">
        <v>0</v>
      </c>
      <c r="U114" s="18">
        <v>8</v>
      </c>
      <c r="V114" s="18">
        <v>427.39</v>
      </c>
      <c r="W114" s="18">
        <v>0.5</v>
      </c>
      <c r="X114" s="18">
        <v>4</v>
      </c>
      <c r="Y114" s="18">
        <v>213.7</v>
      </c>
      <c r="Z114" s="18">
        <v>1.23</v>
      </c>
      <c r="AA114" s="18">
        <v>213.7</v>
      </c>
      <c r="AB114" s="18">
        <v>59.36</v>
      </c>
      <c r="AC114" s="18">
        <v>16499.29293239766</v>
      </c>
      <c r="AD114" s="18">
        <v>12386020.72014725</v>
      </c>
      <c r="AE114" s="18" t="s">
        <v>1076</v>
      </c>
    </row>
    <row r="115" spans="1:31" x14ac:dyDescent="0.2">
      <c r="A115" s="18">
        <v>114</v>
      </c>
      <c r="B115" s="18">
        <v>114</v>
      </c>
      <c r="C115" s="18">
        <v>119</v>
      </c>
      <c r="D115" s="18">
        <v>520</v>
      </c>
      <c r="E115" s="18" t="s">
        <v>461</v>
      </c>
      <c r="F115" s="18" t="s">
        <v>463</v>
      </c>
      <c r="G115" s="18">
        <v>5600</v>
      </c>
      <c r="H115" s="18">
        <v>0</v>
      </c>
      <c r="I115" s="18">
        <v>4.9800000000000004</v>
      </c>
      <c r="J115" s="18">
        <v>0</v>
      </c>
      <c r="K115" s="18">
        <v>8.23</v>
      </c>
      <c r="L115" s="18">
        <v>85.54</v>
      </c>
      <c r="M115" s="18">
        <v>5.82</v>
      </c>
      <c r="N115" s="18">
        <v>0.4</v>
      </c>
      <c r="O115" s="18">
        <v>0</v>
      </c>
      <c r="P115" s="18">
        <v>0</v>
      </c>
      <c r="Q115" s="18">
        <v>1</v>
      </c>
      <c r="R115" s="18">
        <v>0</v>
      </c>
      <c r="S115" s="18">
        <v>0</v>
      </c>
      <c r="T115" s="18">
        <v>0</v>
      </c>
      <c r="U115" s="18">
        <v>11</v>
      </c>
      <c r="V115" s="18">
        <v>702.98</v>
      </c>
      <c r="W115" s="18">
        <v>0.5</v>
      </c>
      <c r="X115" s="18">
        <v>6</v>
      </c>
      <c r="Y115" s="18">
        <v>351.49</v>
      </c>
      <c r="Z115" s="18">
        <v>1.2</v>
      </c>
      <c r="AA115" s="18">
        <v>351.49</v>
      </c>
      <c r="AB115" s="18">
        <v>97.64</v>
      </c>
      <c r="AC115" s="18">
        <v>78782.279552049862</v>
      </c>
      <c r="AD115" s="18">
        <v>84342531.605124637</v>
      </c>
      <c r="AE115" s="18" t="s">
        <v>1077</v>
      </c>
    </row>
    <row r="116" spans="1:31" x14ac:dyDescent="0.2">
      <c r="A116" s="18">
        <v>115</v>
      </c>
      <c r="B116" s="18">
        <v>115</v>
      </c>
      <c r="C116" s="18">
        <v>120</v>
      </c>
      <c r="D116" s="18">
        <v>561</v>
      </c>
      <c r="E116" s="18" t="s">
        <v>671</v>
      </c>
      <c r="F116" s="18" t="s">
        <v>673</v>
      </c>
      <c r="G116" s="18">
        <v>5600</v>
      </c>
      <c r="H116" s="18">
        <v>0</v>
      </c>
      <c r="I116" s="18">
        <v>10.16</v>
      </c>
      <c r="J116" s="18">
        <v>72.930000000000007</v>
      </c>
      <c r="K116" s="18">
        <v>0</v>
      </c>
      <c r="L116" s="18">
        <v>22.34</v>
      </c>
      <c r="M116" s="18">
        <v>4.04</v>
      </c>
      <c r="N116" s="18">
        <v>0.69</v>
      </c>
      <c r="O116" s="18">
        <v>0</v>
      </c>
      <c r="P116" s="18">
        <v>0</v>
      </c>
      <c r="Q116" s="18">
        <v>1</v>
      </c>
      <c r="R116" s="18">
        <v>0</v>
      </c>
      <c r="S116" s="18">
        <v>0</v>
      </c>
      <c r="T116" s="18">
        <v>0</v>
      </c>
      <c r="U116" s="18">
        <v>30</v>
      </c>
      <c r="V116" s="18">
        <v>1602.72</v>
      </c>
      <c r="W116" s="18">
        <v>0.5</v>
      </c>
      <c r="X116" s="18">
        <v>15</v>
      </c>
      <c r="Y116" s="18">
        <v>801.36</v>
      </c>
      <c r="Z116" s="18">
        <v>1.48</v>
      </c>
      <c r="AA116" s="18">
        <v>801.36</v>
      </c>
      <c r="AB116" s="18">
        <v>222.6</v>
      </c>
      <c r="AC116" s="18">
        <v>52784.732526274413</v>
      </c>
      <c r="AD116" s="18">
        <v>59390442.059399277</v>
      </c>
      <c r="AE116" s="18" t="s">
        <v>1080</v>
      </c>
    </row>
    <row r="117" spans="1:31" x14ac:dyDescent="0.2">
      <c r="A117" s="18">
        <v>116</v>
      </c>
      <c r="B117" s="18">
        <v>116</v>
      </c>
      <c r="C117" s="18">
        <v>121</v>
      </c>
      <c r="D117" s="18">
        <v>566</v>
      </c>
      <c r="E117" s="18" t="s">
        <v>590</v>
      </c>
      <c r="F117" s="18" t="s">
        <v>592</v>
      </c>
      <c r="G117" s="18">
        <v>5600</v>
      </c>
      <c r="H117" s="18">
        <v>0</v>
      </c>
      <c r="I117" s="18">
        <v>47.9</v>
      </c>
      <c r="J117" s="18">
        <v>27.75</v>
      </c>
      <c r="K117" s="18">
        <v>0</v>
      </c>
      <c r="L117" s="18">
        <v>66.180000000000007</v>
      </c>
      <c r="M117" s="18">
        <v>5.8</v>
      </c>
      <c r="N117" s="18">
        <v>0.27</v>
      </c>
      <c r="O117" s="18">
        <v>0</v>
      </c>
      <c r="P117" s="18">
        <v>0</v>
      </c>
      <c r="Q117" s="18">
        <v>1</v>
      </c>
      <c r="R117" s="18">
        <v>0</v>
      </c>
      <c r="S117" s="18">
        <v>0</v>
      </c>
      <c r="T117" s="18">
        <v>0</v>
      </c>
      <c r="U117" s="18">
        <v>92</v>
      </c>
      <c r="V117" s="18">
        <v>4915.01</v>
      </c>
      <c r="W117" s="18">
        <v>0.5</v>
      </c>
      <c r="X117" s="18">
        <v>46</v>
      </c>
      <c r="Y117" s="18">
        <v>2457.5</v>
      </c>
      <c r="Z117" s="18">
        <v>0.96</v>
      </c>
      <c r="AA117" s="18">
        <v>2457.5</v>
      </c>
      <c r="AB117" s="18">
        <v>682.64</v>
      </c>
      <c r="AC117" s="18">
        <v>40488.950176629412</v>
      </c>
      <c r="AD117" s="18">
        <v>71383716.201567009</v>
      </c>
      <c r="AE117" s="18" t="s">
        <v>1081</v>
      </c>
    </row>
    <row r="118" spans="1:31" x14ac:dyDescent="0.2">
      <c r="A118" s="18">
        <v>117</v>
      </c>
      <c r="B118" s="18">
        <v>117</v>
      </c>
      <c r="C118" s="18">
        <v>113</v>
      </c>
      <c r="D118" s="18">
        <v>444</v>
      </c>
      <c r="E118" s="18" t="s">
        <v>245</v>
      </c>
      <c r="F118" s="18" t="s">
        <v>247</v>
      </c>
      <c r="G118" s="18">
        <v>5600</v>
      </c>
      <c r="H118" s="18">
        <v>0</v>
      </c>
      <c r="I118" s="18">
        <v>0.56000000000000005</v>
      </c>
      <c r="J118" s="18">
        <v>66.069999999999993</v>
      </c>
      <c r="K118" s="18">
        <v>0</v>
      </c>
      <c r="L118" s="18">
        <v>0</v>
      </c>
      <c r="M118" s="18">
        <v>19.64</v>
      </c>
      <c r="N118" s="18">
        <v>14.29</v>
      </c>
      <c r="O118" s="18">
        <v>0</v>
      </c>
      <c r="P118" s="18">
        <v>0</v>
      </c>
      <c r="Q118" s="18">
        <v>1</v>
      </c>
      <c r="R118" s="18">
        <v>0</v>
      </c>
      <c r="S118" s="18">
        <v>0</v>
      </c>
      <c r="T118" s="18">
        <v>0</v>
      </c>
      <c r="U118" s="18">
        <v>3</v>
      </c>
      <c r="V118" s="18">
        <v>160.27000000000001</v>
      </c>
      <c r="W118" s="18">
        <v>0.5</v>
      </c>
      <c r="X118" s="18">
        <v>2</v>
      </c>
      <c r="Y118" s="18">
        <v>80.14</v>
      </c>
      <c r="Z118" s="18">
        <v>3.57</v>
      </c>
      <c r="AA118" s="18">
        <v>80.14</v>
      </c>
      <c r="AB118" s="18">
        <v>22.26</v>
      </c>
      <c r="AC118" s="18">
        <v>14592.76496621695</v>
      </c>
      <c r="AD118" s="18">
        <v>7844511.0058304146</v>
      </c>
      <c r="AE118" s="18" t="s">
        <v>1073</v>
      </c>
    </row>
    <row r="119" spans="1:31" x14ac:dyDescent="0.2">
      <c r="A119" s="18">
        <v>118</v>
      </c>
      <c r="B119" s="18">
        <v>118</v>
      </c>
      <c r="C119" s="18">
        <v>114</v>
      </c>
      <c r="D119" s="18">
        <v>394</v>
      </c>
      <c r="E119" s="18" t="s">
        <v>356</v>
      </c>
      <c r="F119" s="18" t="s">
        <v>358</v>
      </c>
      <c r="G119" s="18">
        <v>5600</v>
      </c>
      <c r="H119" s="18">
        <v>0.97</v>
      </c>
      <c r="I119" s="18">
        <v>2.39</v>
      </c>
      <c r="J119" s="18">
        <v>7.53</v>
      </c>
      <c r="K119" s="18">
        <v>1.67</v>
      </c>
      <c r="L119" s="18">
        <v>86.61</v>
      </c>
      <c r="M119" s="18">
        <v>1.26</v>
      </c>
      <c r="N119" s="18">
        <v>2.93</v>
      </c>
      <c r="O119" s="18">
        <v>5</v>
      </c>
      <c r="P119" s="18">
        <v>425.38</v>
      </c>
      <c r="Q119" s="18">
        <v>1</v>
      </c>
      <c r="R119" s="18">
        <v>5</v>
      </c>
      <c r="S119" s="18">
        <v>425.38</v>
      </c>
      <c r="T119" s="18">
        <v>5.15</v>
      </c>
      <c r="U119" s="18">
        <v>2</v>
      </c>
      <c r="V119" s="18">
        <v>127.81</v>
      </c>
      <c r="W119" s="18">
        <v>0.5</v>
      </c>
      <c r="X119" s="18">
        <v>1</v>
      </c>
      <c r="Y119" s="18">
        <v>63.91</v>
      </c>
      <c r="Z119" s="18">
        <v>0.42</v>
      </c>
      <c r="AA119" s="18">
        <v>489.29</v>
      </c>
      <c r="AB119" s="18">
        <v>135.91</v>
      </c>
      <c r="AC119" s="18">
        <v>20225.71718408975</v>
      </c>
      <c r="AD119" s="18">
        <v>12862114.78558276</v>
      </c>
      <c r="AE119" s="18" t="s">
        <v>1076</v>
      </c>
    </row>
    <row r="120" spans="1:31" x14ac:dyDescent="0.2">
      <c r="A120" s="18">
        <v>119</v>
      </c>
      <c r="B120" s="18">
        <v>119</v>
      </c>
      <c r="C120" s="18">
        <v>122</v>
      </c>
      <c r="D120" s="18">
        <v>567</v>
      </c>
      <c r="E120" s="18" t="s">
        <v>593</v>
      </c>
      <c r="F120" s="18" t="s">
        <v>595</v>
      </c>
      <c r="G120" s="18">
        <v>5600</v>
      </c>
      <c r="H120" s="18">
        <v>0</v>
      </c>
      <c r="I120" s="18">
        <v>47.91</v>
      </c>
      <c r="J120" s="18">
        <v>81.069999999999993</v>
      </c>
      <c r="K120" s="18">
        <v>0.75</v>
      </c>
      <c r="L120" s="18">
        <v>17.18</v>
      </c>
      <c r="M120" s="18">
        <v>0.83</v>
      </c>
      <c r="N120" s="18">
        <v>0.17</v>
      </c>
      <c r="O120" s="18">
        <v>0</v>
      </c>
      <c r="P120" s="18">
        <v>0</v>
      </c>
      <c r="Q120" s="18">
        <v>1</v>
      </c>
      <c r="R120" s="18">
        <v>0</v>
      </c>
      <c r="S120" s="18">
        <v>0</v>
      </c>
      <c r="T120" s="18">
        <v>0</v>
      </c>
      <c r="U120" s="18">
        <v>82</v>
      </c>
      <c r="V120" s="18">
        <v>4380.7700000000004</v>
      </c>
      <c r="W120" s="18">
        <v>0.5</v>
      </c>
      <c r="X120" s="18">
        <v>41</v>
      </c>
      <c r="Y120" s="18">
        <v>2190.38</v>
      </c>
      <c r="Z120" s="18">
        <v>0.86</v>
      </c>
      <c r="AA120" s="18">
        <v>2190.38</v>
      </c>
      <c r="AB120" s="18">
        <v>608.44000000000005</v>
      </c>
      <c r="AC120" s="18">
        <v>98460.680141024262</v>
      </c>
      <c r="AD120" s="18">
        <v>76296978.276517332</v>
      </c>
      <c r="AE120" s="18" t="s">
        <v>1082</v>
      </c>
    </row>
    <row r="121" spans="1:31" x14ac:dyDescent="0.2">
      <c r="A121" s="18">
        <v>120</v>
      </c>
      <c r="B121" s="18">
        <v>120</v>
      </c>
      <c r="C121" s="18">
        <v>123</v>
      </c>
      <c r="D121" s="18">
        <v>574</v>
      </c>
      <c r="E121" s="18" t="s">
        <v>611</v>
      </c>
      <c r="F121" s="18" t="s">
        <v>613</v>
      </c>
      <c r="G121" s="18">
        <v>5600</v>
      </c>
      <c r="H121" s="18">
        <v>0</v>
      </c>
      <c r="I121" s="18">
        <v>64.78</v>
      </c>
      <c r="J121" s="18">
        <v>27.6</v>
      </c>
      <c r="K121" s="18">
        <v>0.08</v>
      </c>
      <c r="L121" s="18">
        <v>68.72</v>
      </c>
      <c r="M121" s="18">
        <v>3.3</v>
      </c>
      <c r="N121" s="18">
        <v>0.28999999999999998</v>
      </c>
      <c r="O121" s="18">
        <v>0</v>
      </c>
      <c r="P121" s="18">
        <v>0</v>
      </c>
      <c r="Q121" s="18">
        <v>1</v>
      </c>
      <c r="R121" s="18">
        <v>0</v>
      </c>
      <c r="S121" s="18">
        <v>0</v>
      </c>
      <c r="T121" s="18">
        <v>0</v>
      </c>
      <c r="U121" s="18">
        <v>104</v>
      </c>
      <c r="V121" s="18">
        <v>5556.1</v>
      </c>
      <c r="W121" s="18">
        <v>0.5</v>
      </c>
      <c r="X121" s="18">
        <v>52</v>
      </c>
      <c r="Y121" s="18">
        <v>2778.05</v>
      </c>
      <c r="Z121" s="18">
        <v>0.8</v>
      </c>
      <c r="AA121" s="18">
        <v>2778.05</v>
      </c>
      <c r="AB121" s="18">
        <v>771.68</v>
      </c>
      <c r="AC121" s="18">
        <v>55773.197537376589</v>
      </c>
      <c r="AD121" s="18">
        <v>118370415.6206264</v>
      </c>
      <c r="AE121" s="18" t="s">
        <v>1081</v>
      </c>
    </row>
    <row r="122" spans="1:31" x14ac:dyDescent="0.2">
      <c r="A122" s="18">
        <v>121</v>
      </c>
      <c r="B122" s="18">
        <v>121</v>
      </c>
      <c r="C122" s="18">
        <v>124</v>
      </c>
      <c r="D122" s="18">
        <v>598</v>
      </c>
      <c r="E122" s="18" t="s">
        <v>662</v>
      </c>
      <c r="F122" s="18" t="s">
        <v>664</v>
      </c>
      <c r="G122" s="18">
        <v>5600</v>
      </c>
      <c r="H122" s="18">
        <v>0</v>
      </c>
      <c r="I122" s="18">
        <v>16.47</v>
      </c>
      <c r="J122" s="18">
        <v>75.349999999999994</v>
      </c>
      <c r="K122" s="18">
        <v>2.79</v>
      </c>
      <c r="L122" s="18">
        <v>17.18</v>
      </c>
      <c r="M122" s="18">
        <v>3.89</v>
      </c>
      <c r="N122" s="18">
        <v>0.79</v>
      </c>
      <c r="O122" s="18">
        <v>0</v>
      </c>
      <c r="P122" s="18">
        <v>0</v>
      </c>
      <c r="Q122" s="18">
        <v>1</v>
      </c>
      <c r="R122" s="18">
        <v>0</v>
      </c>
      <c r="S122" s="18">
        <v>0</v>
      </c>
      <c r="T122" s="18">
        <v>0</v>
      </c>
      <c r="U122" s="18">
        <v>47</v>
      </c>
      <c r="V122" s="18">
        <v>2510.9299999999998</v>
      </c>
      <c r="W122" s="18">
        <v>0.5</v>
      </c>
      <c r="X122" s="18">
        <v>24</v>
      </c>
      <c r="Y122" s="18">
        <v>1255.46</v>
      </c>
      <c r="Z122" s="18">
        <v>1.46</v>
      </c>
      <c r="AA122" s="18">
        <v>1255.46</v>
      </c>
      <c r="AB122" s="18">
        <v>348.74</v>
      </c>
      <c r="AC122" s="18">
        <v>43018.958415235938</v>
      </c>
      <c r="AD122" s="18">
        <v>73094466.400161698</v>
      </c>
      <c r="AE122" s="18" t="s">
        <v>1082</v>
      </c>
    </row>
    <row r="123" spans="1:31" x14ac:dyDescent="0.2">
      <c r="A123" s="18">
        <v>122</v>
      </c>
      <c r="B123" s="18">
        <v>122</v>
      </c>
      <c r="C123" s="18">
        <v>125</v>
      </c>
      <c r="D123" s="18">
        <v>643</v>
      </c>
      <c r="E123" s="18" t="s">
        <v>806</v>
      </c>
      <c r="F123" s="18" t="s">
        <v>808</v>
      </c>
      <c r="G123" s="18">
        <v>5600</v>
      </c>
      <c r="H123" s="18">
        <v>0</v>
      </c>
      <c r="I123" s="18">
        <v>31.85</v>
      </c>
      <c r="J123" s="18">
        <v>54.98</v>
      </c>
      <c r="K123" s="18">
        <v>0</v>
      </c>
      <c r="L123" s="18">
        <v>44.43</v>
      </c>
      <c r="M123" s="18">
        <v>0.13</v>
      </c>
      <c r="N123" s="18">
        <v>0.47</v>
      </c>
      <c r="O123" s="18">
        <v>0</v>
      </c>
      <c r="P123" s="18">
        <v>0</v>
      </c>
      <c r="Q123" s="18">
        <v>1</v>
      </c>
      <c r="R123" s="18">
        <v>0</v>
      </c>
      <c r="S123" s="18">
        <v>0</v>
      </c>
      <c r="T123" s="18">
        <v>0</v>
      </c>
      <c r="U123" s="18">
        <v>71</v>
      </c>
      <c r="V123" s="18">
        <v>3793.1</v>
      </c>
      <c r="W123" s="18">
        <v>0.5</v>
      </c>
      <c r="X123" s="18">
        <v>36</v>
      </c>
      <c r="Y123" s="18">
        <v>1896.55</v>
      </c>
      <c r="Z123" s="18">
        <v>1.1299999999999999</v>
      </c>
      <c r="AA123" s="18">
        <v>1896.55</v>
      </c>
      <c r="AB123" s="18">
        <v>526.82000000000005</v>
      </c>
      <c r="AC123" s="18">
        <v>47048.886232332763</v>
      </c>
      <c r="AD123" s="18">
        <v>123360610.0617872</v>
      </c>
      <c r="AE123" s="18" t="s">
        <v>1081</v>
      </c>
    </row>
    <row r="124" spans="1:31" x14ac:dyDescent="0.2">
      <c r="A124" s="18">
        <v>123</v>
      </c>
      <c r="B124" s="18">
        <v>123</v>
      </c>
      <c r="C124" s="18">
        <v>126</v>
      </c>
      <c r="D124" s="18">
        <v>658</v>
      </c>
      <c r="E124" s="18" t="s">
        <v>866</v>
      </c>
      <c r="F124" s="18" t="s">
        <v>868</v>
      </c>
      <c r="G124" s="18">
        <v>5600</v>
      </c>
      <c r="H124" s="18">
        <v>0</v>
      </c>
      <c r="I124" s="18">
        <v>60.74</v>
      </c>
      <c r="J124" s="18">
        <v>68.39</v>
      </c>
      <c r="K124" s="18">
        <v>0.15</v>
      </c>
      <c r="L124" s="18">
        <v>28.68</v>
      </c>
      <c r="M124" s="18">
        <v>2.77</v>
      </c>
      <c r="N124" s="18">
        <v>0.02</v>
      </c>
      <c r="O124" s="18">
        <v>0</v>
      </c>
      <c r="P124" s="18">
        <v>0</v>
      </c>
      <c r="Q124" s="18">
        <v>1</v>
      </c>
      <c r="R124" s="18">
        <v>0</v>
      </c>
      <c r="S124" s="18">
        <v>0</v>
      </c>
      <c r="T124" s="18">
        <v>0</v>
      </c>
      <c r="U124" s="18">
        <v>112</v>
      </c>
      <c r="V124" s="18">
        <v>5983.49</v>
      </c>
      <c r="W124" s="18">
        <v>0.5</v>
      </c>
      <c r="X124" s="18">
        <v>56</v>
      </c>
      <c r="Y124" s="18">
        <v>2991.74</v>
      </c>
      <c r="Z124" s="18">
        <v>0.92</v>
      </c>
      <c r="AA124" s="18">
        <v>2991.74</v>
      </c>
      <c r="AB124" s="18">
        <v>831.04</v>
      </c>
      <c r="AC124" s="18">
        <v>64740.497289338076</v>
      </c>
      <c r="AD124" s="18">
        <v>104595681.2845163</v>
      </c>
      <c r="AE124" s="18" t="s">
        <v>1085</v>
      </c>
    </row>
    <row r="125" spans="1:31" x14ac:dyDescent="0.2">
      <c r="A125" s="18">
        <v>124</v>
      </c>
      <c r="B125" s="18">
        <v>124</v>
      </c>
      <c r="C125" s="18">
        <v>115</v>
      </c>
      <c r="D125" s="18">
        <v>539</v>
      </c>
      <c r="E125" s="18" t="s">
        <v>521</v>
      </c>
      <c r="F125" s="18" t="s">
        <v>523</v>
      </c>
      <c r="G125" s="18">
        <v>5600</v>
      </c>
      <c r="H125" s="18">
        <v>0</v>
      </c>
      <c r="I125" s="18">
        <v>2.85</v>
      </c>
      <c r="J125" s="18">
        <v>98.6</v>
      </c>
      <c r="K125" s="18">
        <v>0</v>
      </c>
      <c r="L125" s="18">
        <v>0</v>
      </c>
      <c r="M125" s="18">
        <v>1.05</v>
      </c>
      <c r="N125" s="18">
        <v>0.35</v>
      </c>
      <c r="O125" s="18">
        <v>0</v>
      </c>
      <c r="P125" s="18">
        <v>0</v>
      </c>
      <c r="Q125" s="18">
        <v>1</v>
      </c>
      <c r="R125" s="18">
        <v>0</v>
      </c>
      <c r="S125" s="18">
        <v>0</v>
      </c>
      <c r="T125" s="18">
        <v>0</v>
      </c>
      <c r="U125" s="18">
        <v>9</v>
      </c>
      <c r="V125" s="18">
        <v>522.54999999999995</v>
      </c>
      <c r="W125" s="18">
        <v>0.5</v>
      </c>
      <c r="X125" s="18">
        <v>5</v>
      </c>
      <c r="Y125" s="18">
        <v>261.27</v>
      </c>
      <c r="Z125" s="18">
        <v>1.75</v>
      </c>
      <c r="AA125" s="18">
        <v>261.27</v>
      </c>
      <c r="AB125" s="18">
        <v>72.58</v>
      </c>
      <c r="AC125" s="18">
        <v>16203.957545589839</v>
      </c>
      <c r="AD125" s="18">
        <v>14001572.17317591</v>
      </c>
      <c r="AE125" s="18" t="s">
        <v>1101</v>
      </c>
    </row>
    <row r="126" spans="1:31" x14ac:dyDescent="0.2">
      <c r="A126" s="18">
        <v>125</v>
      </c>
      <c r="B126" s="18">
        <v>125</v>
      </c>
      <c r="C126" s="18">
        <v>116</v>
      </c>
      <c r="D126" s="18">
        <v>594</v>
      </c>
      <c r="E126" s="18" t="s">
        <v>788</v>
      </c>
      <c r="F126" s="18" t="s">
        <v>790</v>
      </c>
      <c r="G126" s="18">
        <v>5600</v>
      </c>
      <c r="H126" s="18">
        <v>0</v>
      </c>
      <c r="I126" s="18">
        <v>91.4</v>
      </c>
      <c r="J126" s="18">
        <v>21.68</v>
      </c>
      <c r="K126" s="18">
        <v>0</v>
      </c>
      <c r="L126" s="18">
        <v>77.069999999999993</v>
      </c>
      <c r="M126" s="18">
        <v>1.06</v>
      </c>
      <c r="N126" s="18">
        <v>0.19</v>
      </c>
      <c r="O126" s="18">
        <v>0</v>
      </c>
      <c r="P126" s="18">
        <v>0</v>
      </c>
      <c r="Q126" s="18">
        <v>1</v>
      </c>
      <c r="R126" s="18">
        <v>0</v>
      </c>
      <c r="S126" s="18">
        <v>0</v>
      </c>
      <c r="T126" s="18">
        <v>0</v>
      </c>
      <c r="U126" s="18">
        <v>157</v>
      </c>
      <c r="V126" s="18">
        <v>8387.57</v>
      </c>
      <c r="W126" s="18">
        <v>0.5</v>
      </c>
      <c r="X126" s="18">
        <v>79</v>
      </c>
      <c r="Y126" s="18">
        <v>4193.78</v>
      </c>
      <c r="Z126" s="18">
        <v>0.86</v>
      </c>
      <c r="AA126" s="18">
        <v>4193.78</v>
      </c>
      <c r="AB126" s="18">
        <v>1164.94</v>
      </c>
      <c r="AC126" s="18">
        <v>71066.663118882861</v>
      </c>
      <c r="AD126" s="18">
        <v>133941596.64294229</v>
      </c>
      <c r="AE126" s="18" t="s">
        <v>1074</v>
      </c>
    </row>
    <row r="127" spans="1:31" x14ac:dyDescent="0.2">
      <c r="A127" s="18">
        <v>126</v>
      </c>
      <c r="B127" s="18">
        <v>126</v>
      </c>
      <c r="C127" s="18">
        <v>117</v>
      </c>
      <c r="D127" s="18">
        <v>540</v>
      </c>
      <c r="E127" s="18" t="s">
        <v>524</v>
      </c>
      <c r="F127" s="18" t="s">
        <v>526</v>
      </c>
      <c r="G127" s="18">
        <v>5600</v>
      </c>
      <c r="H127" s="18">
        <v>0</v>
      </c>
      <c r="I127" s="18">
        <v>5.35</v>
      </c>
      <c r="J127" s="18">
        <v>40.93</v>
      </c>
      <c r="K127" s="18">
        <v>0.19</v>
      </c>
      <c r="L127" s="18">
        <v>52.52</v>
      </c>
      <c r="M127" s="18">
        <v>6.36</v>
      </c>
      <c r="N127" s="18">
        <v>0</v>
      </c>
      <c r="O127" s="18">
        <v>0</v>
      </c>
      <c r="P127" s="18">
        <v>0</v>
      </c>
      <c r="Q127" s="18">
        <v>1</v>
      </c>
      <c r="R127" s="18">
        <v>0</v>
      </c>
      <c r="S127" s="18">
        <v>0</v>
      </c>
      <c r="T127" s="18">
        <v>0</v>
      </c>
      <c r="U127" s="18">
        <v>14</v>
      </c>
      <c r="V127" s="18">
        <v>812.85</v>
      </c>
      <c r="W127" s="18">
        <v>0.5</v>
      </c>
      <c r="X127" s="18">
        <v>7</v>
      </c>
      <c r="Y127" s="18">
        <v>406.43</v>
      </c>
      <c r="Z127" s="18">
        <v>1.31</v>
      </c>
      <c r="AA127" s="18">
        <v>406.43</v>
      </c>
      <c r="AB127" s="18">
        <v>112.9</v>
      </c>
      <c r="AC127" s="18">
        <v>21740.75642350128</v>
      </c>
      <c r="AD127" s="18">
        <v>23747282.75918518</v>
      </c>
      <c r="AE127" s="18" t="s">
        <v>1077</v>
      </c>
    </row>
    <row r="128" spans="1:31" x14ac:dyDescent="0.2">
      <c r="A128" s="18">
        <v>127</v>
      </c>
      <c r="B128" s="18">
        <v>127</v>
      </c>
      <c r="C128" s="18">
        <v>127</v>
      </c>
      <c r="D128" s="18">
        <v>663</v>
      </c>
      <c r="E128" s="18" t="s">
        <v>878</v>
      </c>
      <c r="F128" s="18" t="s">
        <v>880</v>
      </c>
      <c r="G128" s="18">
        <v>5600</v>
      </c>
      <c r="H128" s="18">
        <v>0</v>
      </c>
      <c r="I128" s="18">
        <v>72.540000000000006</v>
      </c>
      <c r="J128" s="18">
        <v>57.82</v>
      </c>
      <c r="K128" s="18">
        <v>2.36</v>
      </c>
      <c r="L128" s="18">
        <v>38.72</v>
      </c>
      <c r="M128" s="18">
        <v>1.03</v>
      </c>
      <c r="N128" s="18">
        <v>7.0000000000000007E-2</v>
      </c>
      <c r="O128" s="18">
        <v>0</v>
      </c>
      <c r="P128" s="18">
        <v>0</v>
      </c>
      <c r="Q128" s="18">
        <v>1</v>
      </c>
      <c r="R128" s="18">
        <v>0</v>
      </c>
      <c r="S128" s="18">
        <v>0</v>
      </c>
      <c r="T128" s="18">
        <v>0</v>
      </c>
      <c r="U128" s="18">
        <v>122</v>
      </c>
      <c r="V128" s="18">
        <v>6517.73</v>
      </c>
      <c r="W128" s="18">
        <v>0.5</v>
      </c>
      <c r="X128" s="18">
        <v>61</v>
      </c>
      <c r="Y128" s="18">
        <v>3258.86</v>
      </c>
      <c r="Z128" s="18">
        <v>0.84</v>
      </c>
      <c r="AA128" s="18">
        <v>3258.86</v>
      </c>
      <c r="AB128" s="18">
        <v>905.24</v>
      </c>
      <c r="AC128" s="18">
        <v>66917.507026558989</v>
      </c>
      <c r="AD128" s="18">
        <v>93644675.556734383</v>
      </c>
      <c r="AE128" s="18" t="s">
        <v>1082</v>
      </c>
    </row>
    <row r="129" spans="1:31" x14ac:dyDescent="0.2">
      <c r="A129" s="18">
        <v>128</v>
      </c>
      <c r="B129" s="18">
        <v>128</v>
      </c>
      <c r="C129" s="18">
        <v>128</v>
      </c>
      <c r="D129" s="18">
        <v>681</v>
      </c>
      <c r="E129" s="18" t="s">
        <v>923</v>
      </c>
      <c r="F129" s="18" t="s">
        <v>925</v>
      </c>
      <c r="G129" s="18">
        <v>5600</v>
      </c>
      <c r="H129" s="18">
        <v>0</v>
      </c>
      <c r="I129" s="18">
        <v>55.95</v>
      </c>
      <c r="J129" s="18">
        <v>74.959999999999994</v>
      </c>
      <c r="K129" s="18">
        <v>0</v>
      </c>
      <c r="L129" s="18">
        <v>22.66</v>
      </c>
      <c r="M129" s="18">
        <v>1.82</v>
      </c>
      <c r="N129" s="18">
        <v>0.55000000000000004</v>
      </c>
      <c r="O129" s="18">
        <v>0</v>
      </c>
      <c r="P129" s="18">
        <v>0</v>
      </c>
      <c r="Q129" s="18">
        <v>1</v>
      </c>
      <c r="R129" s="18">
        <v>0</v>
      </c>
      <c r="S129" s="18">
        <v>0</v>
      </c>
      <c r="T129" s="18">
        <v>0</v>
      </c>
      <c r="U129" s="18">
        <v>196</v>
      </c>
      <c r="V129" s="18">
        <v>11379.92</v>
      </c>
      <c r="W129" s="18">
        <v>0.5</v>
      </c>
      <c r="X129" s="18">
        <v>98</v>
      </c>
      <c r="Y129" s="18">
        <v>5689.96</v>
      </c>
      <c r="Z129" s="18">
        <v>1.75</v>
      </c>
      <c r="AA129" s="18">
        <v>5689.96</v>
      </c>
      <c r="AB129" s="18">
        <v>1580.55</v>
      </c>
      <c r="AC129" s="18">
        <v>99094.246373647955</v>
      </c>
      <c r="AD129" s="18">
        <v>260428046.5554305</v>
      </c>
      <c r="AE129" s="18" t="s">
        <v>1070</v>
      </c>
    </row>
    <row r="130" spans="1:31" x14ac:dyDescent="0.2">
      <c r="A130" s="18">
        <v>129</v>
      </c>
      <c r="B130" s="18">
        <v>129</v>
      </c>
      <c r="C130" s="18">
        <v>129</v>
      </c>
      <c r="D130" s="18">
        <v>386</v>
      </c>
      <c r="E130" s="18" t="s">
        <v>92</v>
      </c>
      <c r="F130" s="18" t="s">
        <v>94</v>
      </c>
      <c r="G130" s="18">
        <v>5600</v>
      </c>
      <c r="H130" s="18">
        <v>0</v>
      </c>
      <c r="I130" s="18">
        <v>60.54</v>
      </c>
      <c r="J130" s="18">
        <v>64.98</v>
      </c>
      <c r="K130" s="18">
        <v>0.17</v>
      </c>
      <c r="L130" s="18">
        <v>33.979999999999997</v>
      </c>
      <c r="M130" s="18">
        <v>0.64</v>
      </c>
      <c r="N130" s="18">
        <v>0.23</v>
      </c>
      <c r="O130" s="18">
        <v>0</v>
      </c>
      <c r="P130" s="18">
        <v>0</v>
      </c>
      <c r="Q130" s="18">
        <v>1</v>
      </c>
      <c r="R130" s="18">
        <v>0</v>
      </c>
      <c r="S130" s="18">
        <v>0</v>
      </c>
      <c r="T130" s="18">
        <v>0</v>
      </c>
      <c r="U130" s="18">
        <v>139</v>
      </c>
      <c r="V130" s="18">
        <v>8883.1</v>
      </c>
      <c r="W130" s="18">
        <v>0.5</v>
      </c>
      <c r="X130" s="18">
        <v>70</v>
      </c>
      <c r="Y130" s="18">
        <v>4441.55</v>
      </c>
      <c r="Z130" s="18">
        <v>1.1599999999999999</v>
      </c>
      <c r="AA130" s="18">
        <v>4441.55</v>
      </c>
      <c r="AB130" s="18">
        <v>1233.76</v>
      </c>
      <c r="AC130" s="18">
        <v>70836.038446455481</v>
      </c>
      <c r="AD130" s="18">
        <v>166501660.4892889</v>
      </c>
      <c r="AE130" s="18" t="s">
        <v>1066</v>
      </c>
    </row>
    <row r="131" spans="1:31" x14ac:dyDescent="0.2">
      <c r="A131" s="18">
        <v>130</v>
      </c>
      <c r="B131" s="18">
        <v>130</v>
      </c>
      <c r="C131" s="18">
        <v>130</v>
      </c>
      <c r="D131" s="18">
        <v>387</v>
      </c>
      <c r="E131" s="18" t="s">
        <v>95</v>
      </c>
      <c r="F131" s="18" t="s">
        <v>97</v>
      </c>
      <c r="G131" s="18">
        <v>5600</v>
      </c>
      <c r="H131" s="18">
        <v>0</v>
      </c>
      <c r="I131" s="18">
        <v>26.56</v>
      </c>
      <c r="J131" s="18">
        <v>69.62</v>
      </c>
      <c r="K131" s="18">
        <v>0.04</v>
      </c>
      <c r="L131" s="18">
        <v>24.47</v>
      </c>
      <c r="M131" s="18">
        <v>5.46</v>
      </c>
      <c r="N131" s="18">
        <v>0.41</v>
      </c>
      <c r="O131" s="18">
        <v>0</v>
      </c>
      <c r="P131" s="18">
        <v>0</v>
      </c>
      <c r="Q131" s="18">
        <v>1</v>
      </c>
      <c r="R131" s="18">
        <v>0</v>
      </c>
      <c r="S131" s="18">
        <v>0</v>
      </c>
      <c r="T131" s="18">
        <v>0</v>
      </c>
      <c r="U131" s="18">
        <v>92</v>
      </c>
      <c r="V131" s="18">
        <v>4915.01</v>
      </c>
      <c r="W131" s="18">
        <v>0.5</v>
      </c>
      <c r="X131" s="18">
        <v>46</v>
      </c>
      <c r="Y131" s="18">
        <v>2457.5</v>
      </c>
      <c r="Z131" s="18">
        <v>1.73</v>
      </c>
      <c r="AA131" s="18">
        <v>2457.5</v>
      </c>
      <c r="AB131" s="18">
        <v>682.64</v>
      </c>
      <c r="AC131" s="18">
        <v>63107.606544931899</v>
      </c>
      <c r="AD131" s="18">
        <v>134316632.70786661</v>
      </c>
      <c r="AE131" s="18" t="s">
        <v>1066</v>
      </c>
    </row>
    <row r="132" spans="1:31" x14ac:dyDescent="0.2">
      <c r="A132" s="18">
        <v>131</v>
      </c>
      <c r="B132" s="18">
        <v>131</v>
      </c>
      <c r="C132" s="18">
        <v>131</v>
      </c>
      <c r="D132" s="18">
        <v>388</v>
      </c>
      <c r="E132" s="18" t="s">
        <v>149</v>
      </c>
      <c r="F132" s="18" t="s">
        <v>151</v>
      </c>
      <c r="G132" s="18">
        <v>5600</v>
      </c>
      <c r="H132" s="18">
        <v>0</v>
      </c>
      <c r="I132" s="18">
        <v>379.6</v>
      </c>
      <c r="J132" s="18">
        <v>4.08</v>
      </c>
      <c r="K132" s="18">
        <v>7.0000000000000007E-2</v>
      </c>
      <c r="L132" s="18">
        <v>95.45</v>
      </c>
      <c r="M132" s="18">
        <v>0.11</v>
      </c>
      <c r="N132" s="18">
        <v>0.28999999999999998</v>
      </c>
      <c r="O132" s="18">
        <v>0</v>
      </c>
      <c r="P132" s="18">
        <v>0</v>
      </c>
      <c r="Q132" s="18">
        <v>1</v>
      </c>
      <c r="R132" s="18">
        <v>0</v>
      </c>
      <c r="S132" s="18">
        <v>0</v>
      </c>
      <c r="T132" s="18">
        <v>0</v>
      </c>
      <c r="U132" s="18">
        <v>446</v>
      </c>
      <c r="V132" s="18">
        <v>23827.1</v>
      </c>
      <c r="W132" s="18">
        <v>0.5</v>
      </c>
      <c r="X132" s="18">
        <v>223</v>
      </c>
      <c r="Y132" s="18">
        <v>11913.55</v>
      </c>
      <c r="Z132" s="18">
        <v>0.59</v>
      </c>
      <c r="AA132" s="18">
        <v>11913.55</v>
      </c>
      <c r="AB132" s="18">
        <v>3309.32</v>
      </c>
      <c r="AC132" s="18">
        <v>94016.757443485607</v>
      </c>
      <c r="AD132" s="18">
        <v>341127797.01806682</v>
      </c>
      <c r="AE132" s="18" t="s">
        <v>1068</v>
      </c>
    </row>
    <row r="133" spans="1:31" x14ac:dyDescent="0.2">
      <c r="A133" s="18">
        <v>132</v>
      </c>
      <c r="B133" s="18">
        <v>132</v>
      </c>
      <c r="C133" s="18">
        <v>132</v>
      </c>
      <c r="D133" s="18">
        <v>389</v>
      </c>
      <c r="E133" s="18" t="s">
        <v>152</v>
      </c>
      <c r="F133" s="18" t="s">
        <v>154</v>
      </c>
      <c r="G133" s="18">
        <v>5600</v>
      </c>
      <c r="H133" s="18">
        <v>0</v>
      </c>
      <c r="I133" s="18">
        <v>3.19</v>
      </c>
      <c r="J133" s="18">
        <v>45.45</v>
      </c>
      <c r="K133" s="18">
        <v>0</v>
      </c>
      <c r="L133" s="18">
        <v>20.69</v>
      </c>
      <c r="M133" s="18">
        <v>32.29</v>
      </c>
      <c r="N133" s="18">
        <v>1.57</v>
      </c>
      <c r="O133" s="18">
        <v>0</v>
      </c>
      <c r="P133" s="18">
        <v>0</v>
      </c>
      <c r="Q133" s="18">
        <v>1</v>
      </c>
      <c r="R133" s="18">
        <v>0</v>
      </c>
      <c r="S133" s="18">
        <v>0</v>
      </c>
      <c r="T133" s="18">
        <v>0</v>
      </c>
      <c r="U133" s="18">
        <v>9</v>
      </c>
      <c r="V133" s="18">
        <v>480.82</v>
      </c>
      <c r="W133" s="18">
        <v>0.5</v>
      </c>
      <c r="X133" s="18">
        <v>5</v>
      </c>
      <c r="Y133" s="18">
        <v>240.41</v>
      </c>
      <c r="Z133" s="18">
        <v>1.57</v>
      </c>
      <c r="AA133" s="18">
        <v>240.41</v>
      </c>
      <c r="AB133" s="18">
        <v>66.78</v>
      </c>
      <c r="AC133" s="18">
        <v>60204.012908234319</v>
      </c>
      <c r="AD133" s="18">
        <v>101529831.1351065</v>
      </c>
      <c r="AE133" s="18" t="s">
        <v>1073</v>
      </c>
    </row>
    <row r="134" spans="1:31" x14ac:dyDescent="0.2">
      <c r="A134" s="18">
        <v>133</v>
      </c>
      <c r="B134" s="18">
        <v>133</v>
      </c>
      <c r="C134" s="18">
        <v>133</v>
      </c>
      <c r="D134" s="18">
        <v>374</v>
      </c>
      <c r="E134" s="18" t="s">
        <v>47</v>
      </c>
      <c r="F134" s="18" t="s">
        <v>49</v>
      </c>
      <c r="G134" s="18">
        <v>5600</v>
      </c>
      <c r="H134" s="18">
        <v>0</v>
      </c>
      <c r="I134" s="18">
        <v>95.25</v>
      </c>
      <c r="J134" s="18">
        <v>71.19</v>
      </c>
      <c r="K134" s="18">
        <v>0</v>
      </c>
      <c r="L134" s="18">
        <v>15.09</v>
      </c>
      <c r="M134" s="18">
        <v>13.42</v>
      </c>
      <c r="N134" s="18">
        <v>0.3</v>
      </c>
      <c r="O134" s="18">
        <v>0</v>
      </c>
      <c r="P134" s="18">
        <v>0</v>
      </c>
      <c r="Q134" s="18">
        <v>1</v>
      </c>
      <c r="R134" s="18">
        <v>0</v>
      </c>
      <c r="S134" s="18">
        <v>0</v>
      </c>
      <c r="T134" s="18">
        <v>0</v>
      </c>
      <c r="U134" s="18">
        <v>176</v>
      </c>
      <c r="V134" s="18">
        <v>12418.56</v>
      </c>
      <c r="W134" s="18">
        <v>0.5</v>
      </c>
      <c r="X134" s="18">
        <v>88</v>
      </c>
      <c r="Y134" s="18">
        <v>6209.28</v>
      </c>
      <c r="Z134" s="18">
        <v>0.92</v>
      </c>
      <c r="AA134" s="18">
        <v>6209.28</v>
      </c>
      <c r="AB134" s="18">
        <v>1724.8</v>
      </c>
      <c r="AC134" s="18">
        <v>126325.71482706589</v>
      </c>
      <c r="AD134" s="18">
        <v>255717688.82343569</v>
      </c>
      <c r="AE134" s="18" t="s">
        <v>1064</v>
      </c>
    </row>
    <row r="135" spans="1:31" x14ac:dyDescent="0.2">
      <c r="A135" s="18">
        <v>134</v>
      </c>
      <c r="B135" s="18">
        <v>134</v>
      </c>
      <c r="C135" s="18">
        <v>134</v>
      </c>
      <c r="D135" s="18">
        <v>375</v>
      </c>
      <c r="E135" s="18" t="s">
        <v>80</v>
      </c>
      <c r="F135" s="18" t="s">
        <v>82</v>
      </c>
      <c r="G135" s="18">
        <v>5600</v>
      </c>
      <c r="H135" s="18">
        <v>0</v>
      </c>
      <c r="I135" s="18">
        <v>31.86</v>
      </c>
      <c r="J135" s="18">
        <v>80.569999999999993</v>
      </c>
      <c r="K135" s="18">
        <v>0</v>
      </c>
      <c r="L135" s="18">
        <v>17.260000000000002</v>
      </c>
      <c r="M135" s="18">
        <v>1.91</v>
      </c>
      <c r="N135" s="18">
        <v>0.25</v>
      </c>
      <c r="O135" s="18">
        <v>0</v>
      </c>
      <c r="P135" s="18">
        <v>0</v>
      </c>
      <c r="Q135" s="18">
        <v>1</v>
      </c>
      <c r="R135" s="18">
        <v>0</v>
      </c>
      <c r="S135" s="18">
        <v>0</v>
      </c>
      <c r="T135" s="18">
        <v>0</v>
      </c>
      <c r="U135" s="18">
        <v>82</v>
      </c>
      <c r="V135" s="18">
        <v>5240.3900000000003</v>
      </c>
      <c r="W135" s="18">
        <v>0.5</v>
      </c>
      <c r="X135" s="18">
        <v>41</v>
      </c>
      <c r="Y135" s="18">
        <v>2620.1999999999998</v>
      </c>
      <c r="Z135" s="18">
        <v>1.29</v>
      </c>
      <c r="AA135" s="18">
        <v>2620.1999999999998</v>
      </c>
      <c r="AB135" s="18">
        <v>727.83</v>
      </c>
      <c r="AC135" s="18">
        <v>64898.133789957981</v>
      </c>
      <c r="AD135" s="18">
        <v>129221660.2159058</v>
      </c>
      <c r="AE135" s="18" t="s">
        <v>1065</v>
      </c>
    </row>
    <row r="136" spans="1:31" x14ac:dyDescent="0.2">
      <c r="A136" s="18">
        <v>135</v>
      </c>
      <c r="B136" s="18">
        <v>135</v>
      </c>
      <c r="C136" s="18">
        <v>135</v>
      </c>
      <c r="D136" s="18">
        <v>360</v>
      </c>
      <c r="E136" s="18" t="s">
        <v>23</v>
      </c>
      <c r="F136" s="18" t="s">
        <v>25</v>
      </c>
      <c r="G136" s="18">
        <v>5600</v>
      </c>
      <c r="H136" s="18">
        <v>97.8</v>
      </c>
      <c r="I136" s="18">
        <v>86.68</v>
      </c>
      <c r="J136" s="18">
        <v>48.87</v>
      </c>
      <c r="K136" s="18">
        <v>0.01</v>
      </c>
      <c r="L136" s="18">
        <v>42.32</v>
      </c>
      <c r="M136" s="18">
        <v>5.04</v>
      </c>
      <c r="N136" s="18">
        <v>3.76</v>
      </c>
      <c r="O136" s="18">
        <v>286</v>
      </c>
      <c r="P136" s="18">
        <v>24331.51</v>
      </c>
      <c r="Q136" s="18">
        <v>1</v>
      </c>
      <c r="R136" s="18">
        <v>286</v>
      </c>
      <c r="S136" s="18">
        <v>24331.51</v>
      </c>
      <c r="T136" s="18">
        <v>2.92</v>
      </c>
      <c r="U136" s="18">
        <v>123</v>
      </c>
      <c r="V136" s="18">
        <v>7860.59</v>
      </c>
      <c r="W136" s="18">
        <v>0.5</v>
      </c>
      <c r="X136" s="18">
        <v>62</v>
      </c>
      <c r="Y136" s="18">
        <v>3930.29</v>
      </c>
      <c r="Z136" s="18">
        <v>0.72</v>
      </c>
      <c r="AA136" s="18">
        <v>28261.8</v>
      </c>
      <c r="AB136" s="18">
        <v>7850.51</v>
      </c>
      <c r="AC136" s="18">
        <v>58860.780501809539</v>
      </c>
      <c r="AD136" s="18">
        <v>139397334.4603335</v>
      </c>
      <c r="AE136" s="18" t="s">
        <v>1093</v>
      </c>
    </row>
    <row r="137" spans="1:31" x14ac:dyDescent="0.2">
      <c r="A137" s="18">
        <v>136</v>
      </c>
      <c r="B137" s="18">
        <v>136</v>
      </c>
      <c r="C137" s="18">
        <v>136</v>
      </c>
      <c r="D137" s="18">
        <v>651</v>
      </c>
      <c r="E137" s="18" t="s">
        <v>836</v>
      </c>
      <c r="F137" s="18" t="s">
        <v>838</v>
      </c>
      <c r="G137" s="18">
        <v>5600</v>
      </c>
      <c r="H137" s="18">
        <v>0</v>
      </c>
      <c r="I137" s="18">
        <v>138.97</v>
      </c>
      <c r="J137" s="18">
        <v>72.53</v>
      </c>
      <c r="K137" s="18">
        <v>0.01</v>
      </c>
      <c r="L137" s="18">
        <v>25.82</v>
      </c>
      <c r="M137" s="18">
        <v>1.35</v>
      </c>
      <c r="N137" s="18">
        <v>0.3</v>
      </c>
      <c r="O137" s="18">
        <v>0</v>
      </c>
      <c r="P137" s="18">
        <v>0</v>
      </c>
      <c r="Q137" s="18">
        <v>1</v>
      </c>
      <c r="R137" s="18">
        <v>0</v>
      </c>
      <c r="S137" s="18">
        <v>0</v>
      </c>
      <c r="T137" s="18">
        <v>0</v>
      </c>
      <c r="U137" s="18">
        <v>265</v>
      </c>
      <c r="V137" s="18">
        <v>16935.41</v>
      </c>
      <c r="W137" s="18">
        <v>0.5</v>
      </c>
      <c r="X137" s="18">
        <v>133</v>
      </c>
      <c r="Y137" s="18">
        <v>8467.7000000000007</v>
      </c>
      <c r="Z137" s="18">
        <v>0.96</v>
      </c>
      <c r="AA137" s="18">
        <v>8467.7000000000007</v>
      </c>
      <c r="AB137" s="18">
        <v>2352.14</v>
      </c>
      <c r="AC137" s="18">
        <v>110707.27185550579</v>
      </c>
      <c r="AD137" s="18">
        <v>226348721.00493571</v>
      </c>
      <c r="AE137" s="18" t="s">
        <v>1065</v>
      </c>
    </row>
    <row r="138" spans="1:31" x14ac:dyDescent="0.2">
      <c r="A138" s="18">
        <v>137</v>
      </c>
      <c r="B138" s="18">
        <v>137</v>
      </c>
      <c r="C138" s="18">
        <v>137</v>
      </c>
      <c r="D138" s="18">
        <v>664</v>
      </c>
      <c r="E138" s="18" t="s">
        <v>881</v>
      </c>
      <c r="F138" s="18" t="s">
        <v>883</v>
      </c>
      <c r="G138" s="18">
        <v>5600</v>
      </c>
      <c r="H138" s="18">
        <v>0</v>
      </c>
      <c r="I138" s="18">
        <v>97.63</v>
      </c>
      <c r="J138" s="18">
        <v>47.72</v>
      </c>
      <c r="K138" s="18">
        <v>0</v>
      </c>
      <c r="L138" s="18">
        <v>51.36</v>
      </c>
      <c r="M138" s="18">
        <v>0.76</v>
      </c>
      <c r="N138" s="18">
        <v>0.16</v>
      </c>
      <c r="O138" s="18">
        <v>0</v>
      </c>
      <c r="P138" s="18">
        <v>0</v>
      </c>
      <c r="Q138" s="18">
        <v>1</v>
      </c>
      <c r="R138" s="18">
        <v>0</v>
      </c>
      <c r="S138" s="18">
        <v>0</v>
      </c>
      <c r="T138" s="18">
        <v>0</v>
      </c>
      <c r="U138" s="18">
        <v>158</v>
      </c>
      <c r="V138" s="18">
        <v>8440.99</v>
      </c>
      <c r="W138" s="18">
        <v>0.5</v>
      </c>
      <c r="X138" s="18">
        <v>79</v>
      </c>
      <c r="Y138" s="18">
        <v>4220.5</v>
      </c>
      <c r="Z138" s="18">
        <v>0.81</v>
      </c>
      <c r="AA138" s="18">
        <v>4220.5</v>
      </c>
      <c r="AB138" s="18">
        <v>1172.3599999999999</v>
      </c>
      <c r="AC138" s="18">
        <v>58215.381197624687</v>
      </c>
      <c r="AD138" s="18">
        <v>101784969.24084499</v>
      </c>
      <c r="AE138" s="18" t="s">
        <v>1081</v>
      </c>
    </row>
    <row r="139" spans="1:31" x14ac:dyDescent="0.2">
      <c r="A139" s="18">
        <v>138</v>
      </c>
      <c r="B139" s="18">
        <v>138</v>
      </c>
      <c r="C139" s="18">
        <v>138</v>
      </c>
      <c r="D139" s="18">
        <v>416</v>
      </c>
      <c r="E139" s="18" t="s">
        <v>161</v>
      </c>
      <c r="F139" s="18" t="s">
        <v>163</v>
      </c>
      <c r="G139" s="18">
        <v>5600</v>
      </c>
      <c r="H139" s="18">
        <v>0</v>
      </c>
      <c r="I139" s="18">
        <v>36.9</v>
      </c>
      <c r="J139" s="18">
        <v>50.03</v>
      </c>
      <c r="K139" s="18">
        <v>0.08</v>
      </c>
      <c r="L139" s="18">
        <v>47.53</v>
      </c>
      <c r="M139" s="18">
        <v>2.06</v>
      </c>
      <c r="N139" s="18">
        <v>0.3</v>
      </c>
      <c r="O139" s="18">
        <v>0</v>
      </c>
      <c r="P139" s="18">
        <v>0</v>
      </c>
      <c r="Q139" s="18">
        <v>1</v>
      </c>
      <c r="R139" s="18">
        <v>0</v>
      </c>
      <c r="S139" s="18">
        <v>0</v>
      </c>
      <c r="T139" s="18">
        <v>0</v>
      </c>
      <c r="U139" s="18">
        <v>79</v>
      </c>
      <c r="V139" s="18">
        <v>4220.5</v>
      </c>
      <c r="W139" s="18">
        <v>0.5</v>
      </c>
      <c r="X139" s="18">
        <v>40</v>
      </c>
      <c r="Y139" s="18">
        <v>2110.25</v>
      </c>
      <c r="Z139" s="18">
        <v>1.08</v>
      </c>
      <c r="AA139" s="18">
        <v>2110.25</v>
      </c>
      <c r="AB139" s="18">
        <v>586.17999999999995</v>
      </c>
      <c r="AC139" s="18">
        <v>54620.797975762202</v>
      </c>
      <c r="AD139" s="18">
        <v>85101279.901411593</v>
      </c>
      <c r="AE139" s="18" t="s">
        <v>1068</v>
      </c>
    </row>
    <row r="140" spans="1:31" x14ac:dyDescent="0.2">
      <c r="A140" s="18">
        <v>139</v>
      </c>
      <c r="B140" s="18">
        <v>139</v>
      </c>
      <c r="C140" s="18">
        <v>139</v>
      </c>
      <c r="D140" s="18">
        <v>417</v>
      </c>
      <c r="E140" s="18" t="s">
        <v>164</v>
      </c>
      <c r="F140" s="18" t="s">
        <v>166</v>
      </c>
      <c r="G140" s="18">
        <v>5600</v>
      </c>
      <c r="H140" s="18">
        <v>0</v>
      </c>
      <c r="I140" s="18">
        <v>62.63</v>
      </c>
      <c r="J140" s="18">
        <v>85.85</v>
      </c>
      <c r="K140" s="18">
        <v>0.05</v>
      </c>
      <c r="L140" s="18">
        <v>4.37</v>
      </c>
      <c r="M140" s="18">
        <v>6.77</v>
      </c>
      <c r="N140" s="18">
        <v>2.95</v>
      </c>
      <c r="O140" s="18">
        <v>0</v>
      </c>
      <c r="P140" s="18">
        <v>0</v>
      </c>
      <c r="Q140" s="18">
        <v>1</v>
      </c>
      <c r="R140" s="18">
        <v>0</v>
      </c>
      <c r="S140" s="18">
        <v>0</v>
      </c>
      <c r="T140" s="18">
        <v>0</v>
      </c>
      <c r="U140" s="18">
        <v>144</v>
      </c>
      <c r="V140" s="18">
        <v>8360.76</v>
      </c>
      <c r="W140" s="18">
        <v>0.5</v>
      </c>
      <c r="X140" s="18">
        <v>72</v>
      </c>
      <c r="Y140" s="18">
        <v>4180.38</v>
      </c>
      <c r="Z140" s="18">
        <v>1.1499999999999999</v>
      </c>
      <c r="AA140" s="18">
        <v>4180.38</v>
      </c>
      <c r="AB140" s="18">
        <v>1161.22</v>
      </c>
      <c r="AC140" s="18">
        <v>70872.427321527313</v>
      </c>
      <c r="AD140" s="18">
        <v>142933257.974599</v>
      </c>
      <c r="AE140" s="18" t="s">
        <v>1069</v>
      </c>
    </row>
    <row r="141" spans="1:31" x14ac:dyDescent="0.2">
      <c r="A141" s="18">
        <v>140</v>
      </c>
      <c r="B141" s="18">
        <v>140</v>
      </c>
      <c r="C141" s="18">
        <v>140</v>
      </c>
      <c r="D141" s="18">
        <v>616</v>
      </c>
      <c r="E141" s="18" t="s">
        <v>716</v>
      </c>
      <c r="F141" s="18" t="s">
        <v>718</v>
      </c>
      <c r="G141" s="18">
        <v>5600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1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0.5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24283.29206447865</v>
      </c>
      <c r="AD141" s="18">
        <v>20998562.114508361</v>
      </c>
      <c r="AE141" s="18" t="s">
        <v>1083</v>
      </c>
    </row>
    <row r="142" spans="1:31" x14ac:dyDescent="0.2">
      <c r="A142" s="18">
        <v>141</v>
      </c>
      <c r="B142" s="18">
        <v>141</v>
      </c>
      <c r="C142" s="18">
        <v>141</v>
      </c>
      <c r="D142" s="18">
        <v>526</v>
      </c>
      <c r="E142" s="18" t="s">
        <v>470</v>
      </c>
      <c r="F142" s="18" t="s">
        <v>472</v>
      </c>
      <c r="G142" s="18">
        <v>5600</v>
      </c>
      <c r="H142" s="18">
        <v>0.45</v>
      </c>
      <c r="I142" s="18">
        <v>4.53</v>
      </c>
      <c r="J142" s="18">
        <v>61.81</v>
      </c>
      <c r="K142" s="18">
        <v>0</v>
      </c>
      <c r="L142" s="18">
        <v>14.13</v>
      </c>
      <c r="M142" s="18">
        <v>17.22</v>
      </c>
      <c r="N142" s="18">
        <v>6.84</v>
      </c>
      <c r="O142" s="18">
        <v>0</v>
      </c>
      <c r="P142" s="18">
        <v>0</v>
      </c>
      <c r="Q142" s="18">
        <v>1</v>
      </c>
      <c r="R142" s="18">
        <v>0</v>
      </c>
      <c r="S142" s="18">
        <v>0</v>
      </c>
      <c r="T142" s="18">
        <v>0</v>
      </c>
      <c r="U142" s="18">
        <v>10</v>
      </c>
      <c r="V142" s="18">
        <v>705.6</v>
      </c>
      <c r="W142" s="18">
        <v>0.5</v>
      </c>
      <c r="X142" s="18">
        <v>5</v>
      </c>
      <c r="Y142" s="18">
        <v>352.8</v>
      </c>
      <c r="Z142" s="18">
        <v>1.1000000000000001</v>
      </c>
      <c r="AA142" s="18">
        <v>352.8</v>
      </c>
      <c r="AB142" s="18">
        <v>98</v>
      </c>
      <c r="AC142" s="18">
        <v>16635.9695223118</v>
      </c>
      <c r="AD142" s="18">
        <v>15606717.62178663</v>
      </c>
      <c r="AE142" s="18" t="s">
        <v>1075</v>
      </c>
    </row>
    <row r="143" spans="1:31" x14ac:dyDescent="0.2">
      <c r="A143" s="18">
        <v>142</v>
      </c>
      <c r="B143" s="18">
        <v>142</v>
      </c>
      <c r="C143" s="18">
        <v>142</v>
      </c>
      <c r="D143" s="18">
        <v>381</v>
      </c>
      <c r="E143" s="18" t="s">
        <v>56</v>
      </c>
      <c r="F143" s="18" t="s">
        <v>58</v>
      </c>
      <c r="G143" s="18">
        <v>5600</v>
      </c>
      <c r="H143" s="18">
        <v>0</v>
      </c>
      <c r="I143" s="18">
        <v>13.84</v>
      </c>
      <c r="J143" s="18">
        <v>11.63</v>
      </c>
      <c r="K143" s="18">
        <v>0</v>
      </c>
      <c r="L143" s="18">
        <v>85.84</v>
      </c>
      <c r="M143" s="18">
        <v>2.1</v>
      </c>
      <c r="N143" s="18">
        <v>0.43</v>
      </c>
      <c r="O143" s="18">
        <v>0</v>
      </c>
      <c r="P143" s="18">
        <v>0</v>
      </c>
      <c r="Q143" s="18">
        <v>1</v>
      </c>
      <c r="R143" s="18">
        <v>0</v>
      </c>
      <c r="S143" s="18">
        <v>0</v>
      </c>
      <c r="T143" s="18">
        <v>0</v>
      </c>
      <c r="U143" s="18">
        <v>23</v>
      </c>
      <c r="V143" s="18">
        <v>1785.17</v>
      </c>
      <c r="W143" s="18">
        <v>0.5</v>
      </c>
      <c r="X143" s="18">
        <v>12</v>
      </c>
      <c r="Y143" s="18">
        <v>892.58</v>
      </c>
      <c r="Z143" s="18">
        <v>0.87</v>
      </c>
      <c r="AA143" s="18">
        <v>892.58</v>
      </c>
      <c r="AB143" s="18">
        <v>247.94</v>
      </c>
      <c r="AC143" s="18">
        <v>39179.769164764497</v>
      </c>
      <c r="AD143" s="18">
        <v>41456526.703821413</v>
      </c>
      <c r="AE143" s="18" t="s">
        <v>1064</v>
      </c>
    </row>
    <row r="144" spans="1:31" x14ac:dyDescent="0.2">
      <c r="A144" s="18">
        <v>143</v>
      </c>
      <c r="B144" s="18">
        <v>143</v>
      </c>
      <c r="C144" s="18">
        <v>143</v>
      </c>
      <c r="D144" s="18">
        <v>392</v>
      </c>
      <c r="E144" s="18" t="s">
        <v>842</v>
      </c>
      <c r="F144" s="18" t="s">
        <v>844</v>
      </c>
      <c r="G144" s="18">
        <v>5600</v>
      </c>
      <c r="H144" s="18">
        <v>9.7899999999999991</v>
      </c>
      <c r="I144" s="18">
        <v>27.73</v>
      </c>
      <c r="J144" s="18">
        <v>28.38</v>
      </c>
      <c r="K144" s="18">
        <v>0</v>
      </c>
      <c r="L144" s="18">
        <v>34.11</v>
      </c>
      <c r="M144" s="18">
        <v>35.770000000000003</v>
      </c>
      <c r="N144" s="18">
        <v>1.73</v>
      </c>
      <c r="O144" s="18">
        <v>38</v>
      </c>
      <c r="P144" s="18">
        <v>3232.86</v>
      </c>
      <c r="Q144" s="18">
        <v>1</v>
      </c>
      <c r="R144" s="18">
        <v>38</v>
      </c>
      <c r="S144" s="18">
        <v>3232.86</v>
      </c>
      <c r="T144" s="18">
        <v>3.88</v>
      </c>
      <c r="U144" s="18">
        <v>46</v>
      </c>
      <c r="V144" s="18">
        <v>2670.8</v>
      </c>
      <c r="W144" s="18">
        <v>0.5</v>
      </c>
      <c r="X144" s="18">
        <v>23</v>
      </c>
      <c r="Y144" s="18">
        <v>1335.4</v>
      </c>
      <c r="Z144" s="18">
        <v>0.83</v>
      </c>
      <c r="AA144" s="18">
        <v>4568.26</v>
      </c>
      <c r="AB144" s="18">
        <v>1268.96</v>
      </c>
      <c r="AC144" s="18">
        <v>49478.369288621419</v>
      </c>
      <c r="AD144" s="18">
        <v>76364316.153229892</v>
      </c>
      <c r="AE144" s="18" t="s">
        <v>1076</v>
      </c>
    </row>
    <row r="145" spans="1:31" x14ac:dyDescent="0.2">
      <c r="A145" s="18">
        <v>144</v>
      </c>
      <c r="B145" s="18">
        <v>144</v>
      </c>
      <c r="C145" s="18">
        <v>144</v>
      </c>
      <c r="D145" s="18">
        <v>628</v>
      </c>
      <c r="E145" s="18" t="s">
        <v>761</v>
      </c>
      <c r="F145" s="18" t="s">
        <v>763</v>
      </c>
      <c r="G145" s="18">
        <v>5600</v>
      </c>
      <c r="H145" s="18">
        <v>0</v>
      </c>
      <c r="I145" s="18">
        <v>51.37</v>
      </c>
      <c r="J145" s="18">
        <v>34.26</v>
      </c>
      <c r="K145" s="18">
        <v>0.78</v>
      </c>
      <c r="L145" s="18">
        <v>56.69</v>
      </c>
      <c r="M145" s="18">
        <v>4.67</v>
      </c>
      <c r="N145" s="18">
        <v>3.6</v>
      </c>
      <c r="O145" s="18">
        <v>0</v>
      </c>
      <c r="P145" s="18">
        <v>0</v>
      </c>
      <c r="Q145" s="18">
        <v>1</v>
      </c>
      <c r="R145" s="18">
        <v>0</v>
      </c>
      <c r="S145" s="18">
        <v>0</v>
      </c>
      <c r="T145" s="18">
        <v>0</v>
      </c>
      <c r="U145" s="18">
        <v>102</v>
      </c>
      <c r="V145" s="18">
        <v>5449.25</v>
      </c>
      <c r="W145" s="18">
        <v>0.5</v>
      </c>
      <c r="X145" s="18">
        <v>51</v>
      </c>
      <c r="Y145" s="18">
        <v>2724.62</v>
      </c>
      <c r="Z145" s="18">
        <v>0.99</v>
      </c>
      <c r="AA145" s="18">
        <v>2724.62</v>
      </c>
      <c r="AB145" s="18">
        <v>756.84</v>
      </c>
      <c r="AC145" s="18">
        <v>79621.212339150297</v>
      </c>
      <c r="AD145" s="18">
        <v>128946394.7544598</v>
      </c>
      <c r="AE145" s="18" t="s">
        <v>1085</v>
      </c>
    </row>
    <row r="146" spans="1:31" x14ac:dyDescent="0.2">
      <c r="A146" s="18">
        <v>145</v>
      </c>
      <c r="B146" s="18">
        <v>145</v>
      </c>
      <c r="C146" s="18">
        <v>145</v>
      </c>
      <c r="D146" s="18">
        <v>702</v>
      </c>
      <c r="E146" s="18" t="s">
        <v>995</v>
      </c>
      <c r="F146" s="18" t="s">
        <v>997</v>
      </c>
      <c r="G146" s="18">
        <v>5600</v>
      </c>
      <c r="H146" s="18">
        <v>0</v>
      </c>
      <c r="I146" s="18">
        <v>178.69</v>
      </c>
      <c r="J146" s="18">
        <v>92.06</v>
      </c>
      <c r="K146" s="18">
        <v>0.03</v>
      </c>
      <c r="L146" s="18">
        <v>6.55</v>
      </c>
      <c r="M146" s="18">
        <v>0.69</v>
      </c>
      <c r="N146" s="18">
        <v>0.67</v>
      </c>
      <c r="O146" s="18">
        <v>0</v>
      </c>
      <c r="P146" s="18">
        <v>0</v>
      </c>
      <c r="Q146" s="18">
        <v>1</v>
      </c>
      <c r="R146" s="18">
        <v>0</v>
      </c>
      <c r="S146" s="18">
        <v>0</v>
      </c>
      <c r="T146" s="18">
        <v>0</v>
      </c>
      <c r="U146" s="18">
        <v>299</v>
      </c>
      <c r="V146" s="18">
        <v>19108.25</v>
      </c>
      <c r="W146" s="18">
        <v>0.5</v>
      </c>
      <c r="X146" s="18">
        <v>150</v>
      </c>
      <c r="Y146" s="18">
        <v>9554.1299999999992</v>
      </c>
      <c r="Z146" s="18">
        <v>0.84</v>
      </c>
      <c r="AA146" s="18">
        <v>9554.1299999999992</v>
      </c>
      <c r="AB146" s="18">
        <v>2653.93</v>
      </c>
      <c r="AC146" s="18">
        <v>102711.9975056761</v>
      </c>
      <c r="AD146" s="18">
        <v>280584841.81703061</v>
      </c>
      <c r="AE146" s="18" t="s">
        <v>1086</v>
      </c>
    </row>
    <row r="147" spans="1:31" x14ac:dyDescent="0.2">
      <c r="A147" s="18">
        <v>146</v>
      </c>
      <c r="B147" s="18">
        <v>146</v>
      </c>
      <c r="C147" s="18">
        <v>146</v>
      </c>
      <c r="D147" s="18">
        <v>407</v>
      </c>
      <c r="E147" s="18" t="s">
        <v>122</v>
      </c>
      <c r="F147" s="18" t="s">
        <v>124</v>
      </c>
      <c r="G147" s="18">
        <v>5600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1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0.5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23159.511390987191</v>
      </c>
      <c r="AD147" s="18">
        <v>21982936.65964216</v>
      </c>
      <c r="AE147" s="18" t="s">
        <v>1067</v>
      </c>
    </row>
    <row r="148" spans="1:31" x14ac:dyDescent="0.2">
      <c r="A148" s="18">
        <v>147</v>
      </c>
      <c r="B148" s="18">
        <v>147</v>
      </c>
      <c r="C148" s="18">
        <v>147</v>
      </c>
      <c r="D148" s="18">
        <v>521</v>
      </c>
      <c r="E148" s="18" t="s">
        <v>479</v>
      </c>
      <c r="F148" s="18" t="s">
        <v>481</v>
      </c>
      <c r="G148" s="18">
        <v>5600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1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0.5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16365.445035995501</v>
      </c>
      <c r="AD148" s="18">
        <v>8929525.1924871057</v>
      </c>
      <c r="AE148" s="18" t="s">
        <v>1077</v>
      </c>
    </row>
    <row r="149" spans="1:31" x14ac:dyDescent="0.2">
      <c r="A149" s="18">
        <v>148</v>
      </c>
      <c r="B149" s="18">
        <v>148</v>
      </c>
      <c r="C149" s="18">
        <v>148</v>
      </c>
      <c r="D149" s="18">
        <v>513</v>
      </c>
      <c r="E149" s="18" t="s">
        <v>446</v>
      </c>
      <c r="F149" s="18" t="s">
        <v>448</v>
      </c>
      <c r="G149" s="18">
        <v>5600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1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0.5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24954.427449189661</v>
      </c>
      <c r="AD149" s="18">
        <v>15421683.73253344</v>
      </c>
      <c r="AE149" s="18" t="s">
        <v>1077</v>
      </c>
    </row>
    <row r="150" spans="1:31" x14ac:dyDescent="0.2">
      <c r="A150" s="18">
        <v>149</v>
      </c>
      <c r="B150" s="18">
        <v>149</v>
      </c>
      <c r="C150" s="18">
        <v>149</v>
      </c>
      <c r="D150" s="18">
        <v>533</v>
      </c>
      <c r="E150" s="18" t="s">
        <v>515</v>
      </c>
      <c r="F150" s="18" t="s">
        <v>517</v>
      </c>
      <c r="G150" s="18">
        <v>5600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1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0.5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17220.3098455242</v>
      </c>
      <c r="AD150" s="18">
        <v>14499587.244854501</v>
      </c>
      <c r="AE150" s="18" t="s">
        <v>1077</v>
      </c>
    </row>
    <row r="151" spans="1:31" x14ac:dyDescent="0.2">
      <c r="A151" s="18">
        <v>150</v>
      </c>
      <c r="B151" s="18">
        <v>150</v>
      </c>
      <c r="C151" s="18">
        <v>150</v>
      </c>
      <c r="D151" s="18">
        <v>534</v>
      </c>
      <c r="E151" s="18" t="s">
        <v>500</v>
      </c>
      <c r="F151" s="18" t="s">
        <v>502</v>
      </c>
      <c r="G151" s="18">
        <v>5600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1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0.5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19178.991300335019</v>
      </c>
      <c r="AD151" s="18">
        <v>7961122.5260737883</v>
      </c>
      <c r="AE151" s="18" t="s">
        <v>1078</v>
      </c>
    </row>
    <row r="152" spans="1:31" x14ac:dyDescent="0.2">
      <c r="A152" s="18">
        <v>151</v>
      </c>
      <c r="B152" s="18">
        <v>151</v>
      </c>
      <c r="C152" s="18">
        <v>151</v>
      </c>
      <c r="D152" s="18">
        <v>623</v>
      </c>
      <c r="E152" s="18" t="s">
        <v>740</v>
      </c>
      <c r="F152" s="18" t="s">
        <v>742</v>
      </c>
      <c r="G152" s="18">
        <v>5600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1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0.5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34680.36586076954</v>
      </c>
      <c r="AD152" s="18">
        <v>27707005.897192258</v>
      </c>
      <c r="AE152" s="18" t="s">
        <v>1083</v>
      </c>
    </row>
    <row r="153" spans="1:31" x14ac:dyDescent="0.2">
      <c r="A153" s="18">
        <v>152</v>
      </c>
      <c r="B153" s="18">
        <v>152</v>
      </c>
      <c r="C153" s="18">
        <v>152</v>
      </c>
      <c r="D153" s="18">
        <v>473</v>
      </c>
      <c r="E153" s="18" t="s">
        <v>329</v>
      </c>
      <c r="F153" s="18" t="s">
        <v>331</v>
      </c>
      <c r="G153" s="18">
        <v>5600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1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0.5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32912.543989639227</v>
      </c>
      <c r="AD153" s="18">
        <v>32237390.39493417</v>
      </c>
      <c r="AE153" s="18" t="s">
        <v>1076</v>
      </c>
    </row>
    <row r="154" spans="1:31" x14ac:dyDescent="0.2">
      <c r="A154" s="18">
        <v>153</v>
      </c>
      <c r="B154" s="18">
        <v>153</v>
      </c>
      <c r="C154" s="18">
        <v>153</v>
      </c>
      <c r="D154" s="18">
        <v>595</v>
      </c>
      <c r="E154" s="18" t="s">
        <v>791</v>
      </c>
      <c r="F154" s="18" t="s">
        <v>793</v>
      </c>
      <c r="G154" s="18">
        <v>5600</v>
      </c>
      <c r="H154" s="18">
        <v>0</v>
      </c>
      <c r="I154" s="18">
        <v>27.65</v>
      </c>
      <c r="J154" s="18">
        <v>77.400000000000006</v>
      </c>
      <c r="K154" s="18">
        <v>7.0000000000000007E-2</v>
      </c>
      <c r="L154" s="18">
        <v>21.41</v>
      </c>
      <c r="M154" s="18">
        <v>0.72</v>
      </c>
      <c r="N154" s="18">
        <v>0.4</v>
      </c>
      <c r="O154" s="18">
        <v>0</v>
      </c>
      <c r="P154" s="18">
        <v>0</v>
      </c>
      <c r="Q154" s="18">
        <v>1</v>
      </c>
      <c r="R154" s="18">
        <v>0</v>
      </c>
      <c r="S154" s="18">
        <v>0</v>
      </c>
      <c r="T154" s="18">
        <v>0</v>
      </c>
      <c r="U154" s="18">
        <v>87</v>
      </c>
      <c r="V154" s="18">
        <v>5559.93</v>
      </c>
      <c r="W154" s="18">
        <v>0.5</v>
      </c>
      <c r="X154" s="18">
        <v>44</v>
      </c>
      <c r="Y154" s="18">
        <v>2779.96</v>
      </c>
      <c r="Z154" s="18">
        <v>1.59</v>
      </c>
      <c r="AA154" s="18">
        <v>2779.96</v>
      </c>
      <c r="AB154" s="18">
        <v>772.21</v>
      </c>
      <c r="AC154" s="18">
        <v>57187.556281905599</v>
      </c>
      <c r="AD154" s="18">
        <v>110194305.3803747</v>
      </c>
      <c r="AE154" s="18" t="s">
        <v>1070</v>
      </c>
    </row>
    <row r="155" spans="1:31" x14ac:dyDescent="0.2">
      <c r="A155" s="18">
        <v>154</v>
      </c>
      <c r="B155" s="18">
        <v>154</v>
      </c>
      <c r="C155" s="18">
        <v>154</v>
      </c>
      <c r="D155" s="18">
        <v>430</v>
      </c>
      <c r="E155" s="18" t="s">
        <v>197</v>
      </c>
      <c r="F155" s="18" t="s">
        <v>199</v>
      </c>
      <c r="G155" s="18">
        <v>5600</v>
      </c>
      <c r="H155" s="18">
        <v>0</v>
      </c>
      <c r="I155" s="18">
        <v>3.93</v>
      </c>
      <c r="J155" s="18">
        <v>46.31</v>
      </c>
      <c r="K155" s="18">
        <v>0</v>
      </c>
      <c r="L155" s="18">
        <v>49.36</v>
      </c>
      <c r="M155" s="18">
        <v>1.78</v>
      </c>
      <c r="N155" s="18">
        <v>2.54</v>
      </c>
      <c r="O155" s="18">
        <v>0</v>
      </c>
      <c r="P155" s="18">
        <v>0</v>
      </c>
      <c r="Q155" s="18">
        <v>1</v>
      </c>
      <c r="R155" s="18">
        <v>0</v>
      </c>
      <c r="S155" s="18">
        <v>0</v>
      </c>
      <c r="T155" s="18">
        <v>0</v>
      </c>
      <c r="U155" s="18">
        <v>12</v>
      </c>
      <c r="V155" s="18">
        <v>696.73</v>
      </c>
      <c r="W155" s="18">
        <v>0.5</v>
      </c>
      <c r="X155" s="18">
        <v>6</v>
      </c>
      <c r="Y155" s="18">
        <v>348.36</v>
      </c>
      <c r="Z155" s="18">
        <v>1.53</v>
      </c>
      <c r="AA155" s="18">
        <v>348.36</v>
      </c>
      <c r="AB155" s="18">
        <v>96.77</v>
      </c>
      <c r="AC155" s="18">
        <v>25234.14432175018</v>
      </c>
      <c r="AD155" s="18">
        <v>24196385.145287029</v>
      </c>
      <c r="AE155" s="18" t="s">
        <v>1094</v>
      </c>
    </row>
    <row r="156" spans="1:31" x14ac:dyDescent="0.2">
      <c r="A156" s="18">
        <v>155</v>
      </c>
      <c r="B156" s="18">
        <v>155</v>
      </c>
      <c r="C156" s="18">
        <v>155</v>
      </c>
      <c r="D156" s="18">
        <v>361</v>
      </c>
      <c r="E156" s="18" t="s">
        <v>29</v>
      </c>
      <c r="F156" s="18" t="s">
        <v>31</v>
      </c>
      <c r="G156" s="18">
        <v>5600</v>
      </c>
      <c r="H156" s="18">
        <v>0</v>
      </c>
      <c r="I156" s="18">
        <v>39.5</v>
      </c>
      <c r="J156" s="18">
        <v>96.86</v>
      </c>
      <c r="K156" s="18">
        <v>0.53</v>
      </c>
      <c r="L156" s="18">
        <v>0</v>
      </c>
      <c r="M156" s="18">
        <v>1.59</v>
      </c>
      <c r="N156" s="18">
        <v>1.01</v>
      </c>
      <c r="O156" s="18">
        <v>0</v>
      </c>
      <c r="P156" s="18">
        <v>0</v>
      </c>
      <c r="Q156" s="18">
        <v>1</v>
      </c>
      <c r="R156" s="18">
        <v>0</v>
      </c>
      <c r="S156" s="18">
        <v>0</v>
      </c>
      <c r="T156" s="18">
        <v>0</v>
      </c>
      <c r="U156" s="18">
        <v>79</v>
      </c>
      <c r="V156" s="18">
        <v>5048.67</v>
      </c>
      <c r="W156" s="18">
        <v>0.5</v>
      </c>
      <c r="X156" s="18">
        <v>40</v>
      </c>
      <c r="Y156" s="18">
        <v>2524.33</v>
      </c>
      <c r="Z156" s="18">
        <v>1.01</v>
      </c>
      <c r="AA156" s="18">
        <v>2524.33</v>
      </c>
      <c r="AB156" s="18">
        <v>701.2</v>
      </c>
      <c r="AC156" s="18">
        <v>39538.824779205301</v>
      </c>
      <c r="AD156" s="18">
        <v>78709041.110672414</v>
      </c>
      <c r="AE156" s="18" t="s">
        <v>1086</v>
      </c>
    </row>
    <row r="157" spans="1:31" x14ac:dyDescent="0.2">
      <c r="A157" s="18">
        <v>156</v>
      </c>
      <c r="B157" s="18">
        <v>156</v>
      </c>
      <c r="C157" s="18">
        <v>156</v>
      </c>
      <c r="D157" s="18">
        <v>470</v>
      </c>
      <c r="E157" s="18" t="s">
        <v>326</v>
      </c>
      <c r="F157" s="18" t="s">
        <v>328</v>
      </c>
      <c r="G157" s="18">
        <v>5600</v>
      </c>
      <c r="H157" s="18">
        <v>0</v>
      </c>
      <c r="I157" s="18">
        <v>0.92</v>
      </c>
      <c r="J157" s="18">
        <v>51.09</v>
      </c>
      <c r="K157" s="18">
        <v>23.91</v>
      </c>
      <c r="L157" s="18">
        <v>7.61</v>
      </c>
      <c r="M157" s="18">
        <v>13.04</v>
      </c>
      <c r="N157" s="18">
        <v>4.3499999999999996</v>
      </c>
      <c r="O157" s="18">
        <v>0</v>
      </c>
      <c r="P157" s="18">
        <v>0</v>
      </c>
      <c r="Q157" s="18">
        <v>1</v>
      </c>
      <c r="R157" s="18">
        <v>0</v>
      </c>
      <c r="S157" s="18">
        <v>0</v>
      </c>
      <c r="T157" s="18">
        <v>0</v>
      </c>
      <c r="U157" s="18">
        <v>9</v>
      </c>
      <c r="V157" s="18">
        <v>522.54999999999995</v>
      </c>
      <c r="W157" s="18">
        <v>0.5</v>
      </c>
      <c r="X157" s="18">
        <v>5</v>
      </c>
      <c r="Y157" s="18">
        <v>261.27</v>
      </c>
      <c r="Z157" s="18">
        <v>5.43</v>
      </c>
      <c r="AA157" s="18">
        <v>261.27</v>
      </c>
      <c r="AB157" s="18">
        <v>72.58</v>
      </c>
      <c r="AC157" s="18">
        <v>24038.96476702542</v>
      </c>
      <c r="AD157" s="18">
        <v>25680014.459392808</v>
      </c>
      <c r="AE157" s="18" t="s">
        <v>1074</v>
      </c>
    </row>
    <row r="158" spans="1:31" x14ac:dyDescent="0.2">
      <c r="A158" s="18">
        <v>157</v>
      </c>
      <c r="B158" s="18">
        <v>157</v>
      </c>
      <c r="C158" s="18">
        <v>157</v>
      </c>
      <c r="D158" s="18">
        <v>431</v>
      </c>
      <c r="E158" s="18" t="s">
        <v>203</v>
      </c>
      <c r="F158" s="18" t="s">
        <v>205</v>
      </c>
      <c r="G158" s="18">
        <v>5600</v>
      </c>
      <c r="H158" s="18">
        <v>0</v>
      </c>
      <c r="I158" s="18">
        <v>18.66</v>
      </c>
      <c r="J158" s="18">
        <v>33.49</v>
      </c>
      <c r="K158" s="18">
        <v>0.27</v>
      </c>
      <c r="L158" s="18">
        <v>59.43</v>
      </c>
      <c r="M158" s="18">
        <v>2.79</v>
      </c>
      <c r="N158" s="18">
        <v>4.0199999999999996</v>
      </c>
      <c r="O158" s="18">
        <v>0</v>
      </c>
      <c r="P158" s="18">
        <v>0</v>
      </c>
      <c r="Q158" s="18">
        <v>1</v>
      </c>
      <c r="R158" s="18">
        <v>0</v>
      </c>
      <c r="S158" s="18">
        <v>0</v>
      </c>
      <c r="T158" s="18">
        <v>0</v>
      </c>
      <c r="U158" s="18">
        <v>37</v>
      </c>
      <c r="V158" s="18">
        <v>1976.69</v>
      </c>
      <c r="W158" s="18">
        <v>0.5</v>
      </c>
      <c r="X158" s="18">
        <v>19</v>
      </c>
      <c r="Y158" s="18">
        <v>988.34</v>
      </c>
      <c r="Z158" s="18">
        <v>1.02</v>
      </c>
      <c r="AA158" s="18">
        <v>988.34</v>
      </c>
      <c r="AB158" s="18">
        <v>274.54000000000002</v>
      </c>
      <c r="AC158" s="18">
        <v>31940.329140661881</v>
      </c>
      <c r="AD158" s="18">
        <v>41577859.590439953</v>
      </c>
      <c r="AE158" s="18" t="s">
        <v>1073</v>
      </c>
    </row>
    <row r="159" spans="1:31" x14ac:dyDescent="0.2">
      <c r="A159" s="18">
        <v>158</v>
      </c>
      <c r="B159" s="18">
        <v>158</v>
      </c>
      <c r="C159" s="18">
        <v>158</v>
      </c>
      <c r="D159" s="18">
        <v>542</v>
      </c>
      <c r="E159" s="18" t="s">
        <v>527</v>
      </c>
      <c r="F159" s="18" t="s">
        <v>529</v>
      </c>
      <c r="G159" s="18">
        <v>5600</v>
      </c>
      <c r="H159" s="18">
        <v>0</v>
      </c>
      <c r="I159" s="18">
        <v>4.29</v>
      </c>
      <c r="J159" s="18">
        <v>30.3</v>
      </c>
      <c r="K159" s="18">
        <v>0.23</v>
      </c>
      <c r="L159" s="18">
        <v>50.82</v>
      </c>
      <c r="M159" s="18">
        <v>0.93</v>
      </c>
      <c r="N159" s="18">
        <v>17.72</v>
      </c>
      <c r="O159" s="18">
        <v>0</v>
      </c>
      <c r="P159" s="18">
        <v>0</v>
      </c>
      <c r="Q159" s="18">
        <v>1</v>
      </c>
      <c r="R159" s="18">
        <v>0</v>
      </c>
      <c r="S159" s="18">
        <v>0</v>
      </c>
      <c r="T159" s="18">
        <v>0</v>
      </c>
      <c r="U159" s="18">
        <v>10</v>
      </c>
      <c r="V159" s="18">
        <v>580.61</v>
      </c>
      <c r="W159" s="18">
        <v>0.5</v>
      </c>
      <c r="X159" s="18">
        <v>5</v>
      </c>
      <c r="Y159" s="18">
        <v>290.3</v>
      </c>
      <c r="Z159" s="18">
        <v>1.17</v>
      </c>
      <c r="AA159" s="18">
        <v>290.3</v>
      </c>
      <c r="AB159" s="18">
        <v>80.64</v>
      </c>
      <c r="AC159" s="18">
        <v>21718.942062797771</v>
      </c>
      <c r="AD159" s="18">
        <v>26710935.024863958</v>
      </c>
      <c r="AE159" s="18" t="s">
        <v>1077</v>
      </c>
    </row>
    <row r="160" spans="1:31" x14ac:dyDescent="0.2">
      <c r="A160" s="18">
        <v>159</v>
      </c>
      <c r="B160" s="18">
        <v>159</v>
      </c>
      <c r="C160" s="18">
        <v>159</v>
      </c>
      <c r="D160" s="18">
        <v>443</v>
      </c>
      <c r="E160" s="18" t="s">
        <v>233</v>
      </c>
      <c r="F160" s="18" t="s">
        <v>235</v>
      </c>
      <c r="G160" s="18">
        <v>5600</v>
      </c>
      <c r="H160" s="18">
        <v>0</v>
      </c>
      <c r="I160" s="18">
        <v>2.5299999999999998</v>
      </c>
      <c r="J160" s="18">
        <v>75.099999999999994</v>
      </c>
      <c r="K160" s="18">
        <v>0</v>
      </c>
      <c r="L160" s="18">
        <v>24.51</v>
      </c>
      <c r="M160" s="18">
        <v>0</v>
      </c>
      <c r="N160" s="18">
        <v>0.4</v>
      </c>
      <c r="O160" s="18">
        <v>0</v>
      </c>
      <c r="P160" s="18">
        <v>0</v>
      </c>
      <c r="Q160" s="18">
        <v>1</v>
      </c>
      <c r="R160" s="18">
        <v>0</v>
      </c>
      <c r="S160" s="18">
        <v>0</v>
      </c>
      <c r="T160" s="18">
        <v>0</v>
      </c>
      <c r="U160" s="18">
        <v>13</v>
      </c>
      <c r="V160" s="18">
        <v>694.51</v>
      </c>
      <c r="W160" s="18">
        <v>0.5</v>
      </c>
      <c r="X160" s="18">
        <v>7</v>
      </c>
      <c r="Y160" s="18">
        <v>347.26</v>
      </c>
      <c r="Z160" s="18">
        <v>2.77</v>
      </c>
      <c r="AA160" s="18">
        <v>347.26</v>
      </c>
      <c r="AB160" s="18">
        <v>96.46</v>
      </c>
      <c r="AC160" s="18">
        <v>18877.880663709209</v>
      </c>
      <c r="AD160" s="18">
        <v>13843397.292193349</v>
      </c>
      <c r="AE160" s="18" t="s">
        <v>1071</v>
      </c>
    </row>
    <row r="161" spans="1:31" x14ac:dyDescent="0.2">
      <c r="A161" s="18">
        <v>160</v>
      </c>
      <c r="B161" s="18">
        <v>160</v>
      </c>
      <c r="C161" s="18">
        <v>160</v>
      </c>
      <c r="D161" s="18">
        <v>356</v>
      </c>
      <c r="E161" s="18" t="s">
        <v>1097</v>
      </c>
      <c r="F161" s="18" t="s">
        <v>1098</v>
      </c>
      <c r="G161" s="18">
        <v>5600</v>
      </c>
      <c r="H161" s="18">
        <v>0</v>
      </c>
      <c r="I161" s="18">
        <v>3.23</v>
      </c>
      <c r="J161" s="18">
        <v>93.5</v>
      </c>
      <c r="K161" s="18">
        <v>0</v>
      </c>
      <c r="L161" s="18">
        <v>4.95</v>
      </c>
      <c r="M161" s="18">
        <v>1.55</v>
      </c>
      <c r="N161" s="18">
        <v>0</v>
      </c>
      <c r="O161" s="18">
        <v>0</v>
      </c>
      <c r="P161" s="18">
        <v>0</v>
      </c>
      <c r="Q161" s="18">
        <v>1</v>
      </c>
      <c r="R161" s="18">
        <v>0</v>
      </c>
      <c r="S161" s="18">
        <v>0</v>
      </c>
      <c r="T161" s="18">
        <v>0</v>
      </c>
      <c r="U161" s="18">
        <v>16</v>
      </c>
      <c r="V161" s="18">
        <v>1128.96</v>
      </c>
      <c r="W161" s="18">
        <v>0.5</v>
      </c>
      <c r="X161" s="18">
        <v>8</v>
      </c>
      <c r="Y161" s="18">
        <v>564.48</v>
      </c>
      <c r="Z161" s="18">
        <v>2.48</v>
      </c>
      <c r="AA161" s="18">
        <v>564.48</v>
      </c>
      <c r="AB161" s="18">
        <v>156.80000000000001</v>
      </c>
      <c r="AC161" s="18">
        <v>25998.73382528386</v>
      </c>
      <c r="AD161" s="18">
        <v>24620246.598062541</v>
      </c>
      <c r="AE161" s="18" t="s">
        <v>1086</v>
      </c>
    </row>
    <row r="162" spans="1:31" x14ac:dyDescent="0.2">
      <c r="A162" s="18">
        <v>161</v>
      </c>
      <c r="B162" s="18">
        <v>161</v>
      </c>
      <c r="C162" s="18">
        <v>161</v>
      </c>
      <c r="D162" s="18">
        <v>359</v>
      </c>
      <c r="E162" s="18" t="s">
        <v>1091</v>
      </c>
      <c r="F162" s="18" t="s">
        <v>1092</v>
      </c>
      <c r="G162" s="18">
        <v>5600</v>
      </c>
      <c r="H162" s="18">
        <v>0</v>
      </c>
      <c r="I162" s="18">
        <v>61.21</v>
      </c>
      <c r="J162" s="18">
        <v>97.45</v>
      </c>
      <c r="K162" s="18">
        <v>0</v>
      </c>
      <c r="L162" s="18">
        <v>1.73</v>
      </c>
      <c r="M162" s="18">
        <v>0.78</v>
      </c>
      <c r="N162" s="18">
        <v>0.03</v>
      </c>
      <c r="O162" s="18">
        <v>0</v>
      </c>
      <c r="P162" s="18">
        <v>0</v>
      </c>
      <c r="Q162" s="18">
        <v>1</v>
      </c>
      <c r="R162" s="18">
        <v>0</v>
      </c>
      <c r="S162" s="18">
        <v>0</v>
      </c>
      <c r="T162" s="18">
        <v>0</v>
      </c>
      <c r="U162" s="18">
        <v>132</v>
      </c>
      <c r="V162" s="18">
        <v>9313.92</v>
      </c>
      <c r="W162" s="18">
        <v>0.5</v>
      </c>
      <c r="X162" s="18">
        <v>66</v>
      </c>
      <c r="Y162" s="18">
        <v>4656.96</v>
      </c>
      <c r="Z162" s="18">
        <v>1.08</v>
      </c>
      <c r="AA162" s="18">
        <v>4656.96</v>
      </c>
      <c r="AB162" s="18">
        <v>1293.5999999999999</v>
      </c>
      <c r="AC162" s="18">
        <v>64460.646089883143</v>
      </c>
      <c r="AD162" s="18">
        <v>111994140.8442727</v>
      </c>
      <c r="AE162" s="18" t="s">
        <v>1086</v>
      </c>
    </row>
    <row r="163" spans="1:31" x14ac:dyDescent="0.2">
      <c r="A163" s="18">
        <v>162</v>
      </c>
      <c r="B163" s="18">
        <v>162</v>
      </c>
      <c r="C163" s="18">
        <v>162</v>
      </c>
      <c r="D163" s="18">
        <v>362</v>
      </c>
      <c r="E163" s="18" t="s">
        <v>26</v>
      </c>
      <c r="F163" s="18" t="s">
        <v>28</v>
      </c>
      <c r="G163" s="18">
        <v>5600</v>
      </c>
      <c r="H163" s="18">
        <v>0</v>
      </c>
      <c r="I163" s="18">
        <v>69.88</v>
      </c>
      <c r="J163" s="18">
        <v>91.41</v>
      </c>
      <c r="K163" s="18">
        <v>0.17</v>
      </c>
      <c r="L163" s="18">
        <v>6.77</v>
      </c>
      <c r="M163" s="18">
        <v>1.42</v>
      </c>
      <c r="N163" s="18">
        <v>0.23</v>
      </c>
      <c r="O163" s="18">
        <v>0</v>
      </c>
      <c r="P163" s="18">
        <v>0</v>
      </c>
      <c r="Q163" s="18">
        <v>1</v>
      </c>
      <c r="R163" s="18">
        <v>0</v>
      </c>
      <c r="S163" s="18">
        <v>0</v>
      </c>
      <c r="T163" s="18">
        <v>0</v>
      </c>
      <c r="U163" s="18">
        <v>119</v>
      </c>
      <c r="V163" s="18">
        <v>7604.96</v>
      </c>
      <c r="W163" s="18">
        <v>0.5</v>
      </c>
      <c r="X163" s="18">
        <v>60</v>
      </c>
      <c r="Y163" s="18">
        <v>3802.48</v>
      </c>
      <c r="Z163" s="18">
        <v>0.86</v>
      </c>
      <c r="AA163" s="18">
        <v>3802.48</v>
      </c>
      <c r="AB163" s="18">
        <v>1056.25</v>
      </c>
      <c r="AC163" s="18">
        <v>63911.749294787936</v>
      </c>
      <c r="AD163" s="18">
        <v>119955094.3010917</v>
      </c>
      <c r="AE163" s="18" t="s">
        <v>1086</v>
      </c>
    </row>
    <row r="164" spans="1:31" x14ac:dyDescent="0.2">
      <c r="A164" s="18">
        <v>163</v>
      </c>
      <c r="B164" s="18">
        <v>163</v>
      </c>
      <c r="C164" s="18">
        <v>163</v>
      </c>
      <c r="D164" s="18">
        <v>379</v>
      </c>
      <c r="E164" s="18" t="s">
        <v>50</v>
      </c>
      <c r="F164" s="18" t="s">
        <v>52</v>
      </c>
      <c r="G164" s="18">
        <v>5600</v>
      </c>
      <c r="H164" s="18">
        <v>0</v>
      </c>
      <c r="I164" s="18">
        <v>228.45</v>
      </c>
      <c r="J164" s="18">
        <v>58.58</v>
      </c>
      <c r="K164" s="18">
        <v>0</v>
      </c>
      <c r="L164" s="18">
        <v>38.76</v>
      </c>
      <c r="M164" s="18">
        <v>2.25</v>
      </c>
      <c r="N164" s="18">
        <v>0.42</v>
      </c>
      <c r="O164" s="18">
        <v>0</v>
      </c>
      <c r="P164" s="18">
        <v>0</v>
      </c>
      <c r="Q164" s="18">
        <v>1</v>
      </c>
      <c r="R164" s="18">
        <v>0</v>
      </c>
      <c r="S164" s="18">
        <v>0</v>
      </c>
      <c r="T164" s="18">
        <v>0</v>
      </c>
      <c r="U164" s="18">
        <v>325</v>
      </c>
      <c r="V164" s="18">
        <v>20769.84</v>
      </c>
      <c r="W164" s="18">
        <v>0.5</v>
      </c>
      <c r="X164" s="18">
        <v>163</v>
      </c>
      <c r="Y164" s="18">
        <v>10384.92</v>
      </c>
      <c r="Z164" s="18">
        <v>0.71</v>
      </c>
      <c r="AA164" s="18">
        <v>10384.92</v>
      </c>
      <c r="AB164" s="18">
        <v>2884.7</v>
      </c>
      <c r="AC164" s="18">
        <v>71795.443323925283</v>
      </c>
      <c r="AD164" s="18">
        <v>226081469.93629009</v>
      </c>
      <c r="AE164" s="18" t="s">
        <v>1064</v>
      </c>
    </row>
    <row r="165" spans="1:31" x14ac:dyDescent="0.2">
      <c r="A165" s="18">
        <v>164</v>
      </c>
      <c r="B165" s="18">
        <v>164</v>
      </c>
      <c r="C165" s="18">
        <v>164</v>
      </c>
      <c r="D165" s="18">
        <v>383</v>
      </c>
      <c r="E165" s="18" t="s">
        <v>86</v>
      </c>
      <c r="F165" s="18" t="s">
        <v>88</v>
      </c>
      <c r="G165" s="18">
        <v>5600</v>
      </c>
      <c r="H165" s="18">
        <v>0</v>
      </c>
      <c r="I165" s="18">
        <v>7.35</v>
      </c>
      <c r="J165" s="18">
        <v>80.27</v>
      </c>
      <c r="K165" s="18">
        <v>2.72</v>
      </c>
      <c r="L165" s="18">
        <v>11.84</v>
      </c>
      <c r="M165" s="18">
        <v>1.77</v>
      </c>
      <c r="N165" s="18">
        <v>3.4</v>
      </c>
      <c r="O165" s="18">
        <v>0</v>
      </c>
      <c r="P165" s="18">
        <v>0</v>
      </c>
      <c r="Q165" s="18">
        <v>1</v>
      </c>
      <c r="R165" s="18">
        <v>0</v>
      </c>
      <c r="S165" s="18">
        <v>0</v>
      </c>
      <c r="T165" s="18">
        <v>0</v>
      </c>
      <c r="U165" s="18">
        <v>16</v>
      </c>
      <c r="V165" s="18">
        <v>854.78</v>
      </c>
      <c r="W165" s="18">
        <v>0.5</v>
      </c>
      <c r="X165" s="18">
        <v>8</v>
      </c>
      <c r="Y165" s="18">
        <v>427.39</v>
      </c>
      <c r="Z165" s="18">
        <v>1.0900000000000001</v>
      </c>
      <c r="AA165" s="18">
        <v>427.39</v>
      </c>
      <c r="AB165" s="18">
        <v>118.72</v>
      </c>
      <c r="AC165" s="18">
        <v>44100.043392815802</v>
      </c>
      <c r="AD165" s="18">
        <v>69396411.219463393</v>
      </c>
      <c r="AE165" s="18" t="s">
        <v>1067</v>
      </c>
    </row>
    <row r="166" spans="1:31" x14ac:dyDescent="0.2">
      <c r="A166" s="18">
        <v>165</v>
      </c>
      <c r="B166" s="18">
        <v>165</v>
      </c>
      <c r="C166" s="18">
        <v>165</v>
      </c>
      <c r="D166" s="18">
        <v>385</v>
      </c>
      <c r="E166" s="18" t="s">
        <v>89</v>
      </c>
      <c r="F166" s="18" t="s">
        <v>91</v>
      </c>
      <c r="G166" s="18">
        <v>5600</v>
      </c>
      <c r="H166" s="18">
        <v>0</v>
      </c>
      <c r="I166" s="18">
        <v>1.97</v>
      </c>
      <c r="J166" s="18">
        <v>60.41</v>
      </c>
      <c r="K166" s="18">
        <v>0</v>
      </c>
      <c r="L166" s="18">
        <v>5.58</v>
      </c>
      <c r="M166" s="18">
        <v>1.52</v>
      </c>
      <c r="N166" s="18">
        <v>32.49</v>
      </c>
      <c r="O166" s="18">
        <v>0</v>
      </c>
      <c r="P166" s="18">
        <v>0</v>
      </c>
      <c r="Q166" s="18">
        <v>1</v>
      </c>
      <c r="R166" s="18">
        <v>0</v>
      </c>
      <c r="S166" s="18">
        <v>0</v>
      </c>
      <c r="T166" s="18">
        <v>0</v>
      </c>
      <c r="U166" s="18">
        <v>10</v>
      </c>
      <c r="V166" s="18">
        <v>534.24</v>
      </c>
      <c r="W166" s="18">
        <v>0.5</v>
      </c>
      <c r="X166" s="18">
        <v>5</v>
      </c>
      <c r="Y166" s="18">
        <v>267.12</v>
      </c>
      <c r="Z166" s="18">
        <v>2.54</v>
      </c>
      <c r="AA166" s="18">
        <v>267.12</v>
      </c>
      <c r="AB166" s="18">
        <v>74.2</v>
      </c>
      <c r="AC166" s="18">
        <v>25611.835198770968</v>
      </c>
      <c r="AD166" s="18">
        <v>26182294.474557389</v>
      </c>
      <c r="AE166" s="18" t="s">
        <v>1067</v>
      </c>
    </row>
    <row r="167" spans="1:31" x14ac:dyDescent="0.2">
      <c r="A167" s="18">
        <v>166</v>
      </c>
      <c r="B167" s="18">
        <v>166</v>
      </c>
      <c r="C167" s="18">
        <v>166</v>
      </c>
      <c r="D167" s="18">
        <v>393</v>
      </c>
      <c r="E167" s="18" t="s">
        <v>98</v>
      </c>
      <c r="F167" s="18" t="s">
        <v>100</v>
      </c>
      <c r="G167" s="18">
        <v>5600</v>
      </c>
      <c r="H167" s="18">
        <v>0</v>
      </c>
      <c r="I167" s="18">
        <v>11.96</v>
      </c>
      <c r="J167" s="18">
        <v>51.67</v>
      </c>
      <c r="K167" s="18">
        <v>0</v>
      </c>
      <c r="L167" s="18">
        <v>43.14</v>
      </c>
      <c r="M167" s="18">
        <v>5.0999999999999996</v>
      </c>
      <c r="N167" s="18">
        <v>0.08</v>
      </c>
      <c r="O167" s="18">
        <v>0</v>
      </c>
      <c r="P167" s="18">
        <v>0</v>
      </c>
      <c r="Q167" s="18">
        <v>1</v>
      </c>
      <c r="R167" s="18">
        <v>0</v>
      </c>
      <c r="S167" s="18">
        <v>0</v>
      </c>
      <c r="T167" s="18">
        <v>0</v>
      </c>
      <c r="U167" s="18">
        <v>42</v>
      </c>
      <c r="V167" s="18">
        <v>2243.81</v>
      </c>
      <c r="W167" s="18">
        <v>0.5</v>
      </c>
      <c r="X167" s="18">
        <v>21</v>
      </c>
      <c r="Y167" s="18">
        <v>1121.9000000000001</v>
      </c>
      <c r="Z167" s="18">
        <v>1.76</v>
      </c>
      <c r="AA167" s="18">
        <v>1121.9000000000001</v>
      </c>
      <c r="AB167" s="18">
        <v>311.64</v>
      </c>
      <c r="AC167" s="18">
        <v>53034.55895831799</v>
      </c>
      <c r="AD167" s="18">
        <v>142753270.75007069</v>
      </c>
      <c r="AE167" s="18" t="s">
        <v>1067</v>
      </c>
    </row>
    <row r="168" spans="1:31" x14ac:dyDescent="0.2">
      <c r="A168" s="18">
        <v>167</v>
      </c>
      <c r="B168" s="18">
        <v>167</v>
      </c>
      <c r="C168" s="18">
        <v>167</v>
      </c>
      <c r="D168" s="18">
        <v>518</v>
      </c>
      <c r="E168" s="18" t="s">
        <v>455</v>
      </c>
      <c r="F168" s="18" t="s">
        <v>457</v>
      </c>
      <c r="G168" s="18">
        <v>5600</v>
      </c>
      <c r="H168" s="18">
        <v>0</v>
      </c>
      <c r="I168" s="18">
        <v>2.68</v>
      </c>
      <c r="J168" s="18">
        <v>63.81</v>
      </c>
      <c r="K168" s="18">
        <v>0.75</v>
      </c>
      <c r="L168" s="18">
        <v>12.31</v>
      </c>
      <c r="M168" s="18">
        <v>22.39</v>
      </c>
      <c r="N168" s="18">
        <v>0.75</v>
      </c>
      <c r="O168" s="18">
        <v>0</v>
      </c>
      <c r="P168" s="18">
        <v>0</v>
      </c>
      <c r="Q168" s="18">
        <v>1</v>
      </c>
      <c r="R168" s="18">
        <v>0</v>
      </c>
      <c r="S168" s="18">
        <v>0</v>
      </c>
      <c r="T168" s="18">
        <v>0</v>
      </c>
      <c r="U168" s="18">
        <v>8</v>
      </c>
      <c r="V168" s="18">
        <v>464.49</v>
      </c>
      <c r="W168" s="18">
        <v>0.5</v>
      </c>
      <c r="X168" s="18">
        <v>4</v>
      </c>
      <c r="Y168" s="18">
        <v>232.24</v>
      </c>
      <c r="Z168" s="18">
        <v>1.49</v>
      </c>
      <c r="AA168" s="18">
        <v>232.24</v>
      </c>
      <c r="AB168" s="18">
        <v>64.510000000000005</v>
      </c>
      <c r="AC168" s="18">
        <v>23870.480324899421</v>
      </c>
      <c r="AD168" s="18">
        <v>21989389.093113258</v>
      </c>
      <c r="AE168" s="18" t="s">
        <v>1090</v>
      </c>
    </row>
    <row r="169" spans="1:31" x14ac:dyDescent="0.2">
      <c r="A169" s="18">
        <v>168</v>
      </c>
      <c r="B169" s="18">
        <v>168</v>
      </c>
      <c r="C169" s="18">
        <v>168</v>
      </c>
      <c r="D169" s="18">
        <v>395</v>
      </c>
      <c r="E169" s="18" t="s">
        <v>101</v>
      </c>
      <c r="F169" s="18" t="s">
        <v>103</v>
      </c>
      <c r="G169" s="18">
        <v>5600</v>
      </c>
      <c r="H169" s="18">
        <v>0</v>
      </c>
      <c r="I169" s="18">
        <v>48.64</v>
      </c>
      <c r="J169" s="18">
        <v>38.22</v>
      </c>
      <c r="K169" s="18">
        <v>0</v>
      </c>
      <c r="L169" s="18">
        <v>59</v>
      </c>
      <c r="M169" s="18">
        <v>2.2400000000000002</v>
      </c>
      <c r="N169" s="18">
        <v>0.53</v>
      </c>
      <c r="O169" s="18">
        <v>0</v>
      </c>
      <c r="P169" s="18">
        <v>0</v>
      </c>
      <c r="Q169" s="18">
        <v>1</v>
      </c>
      <c r="R169" s="18">
        <v>0</v>
      </c>
      <c r="S169" s="18">
        <v>0</v>
      </c>
      <c r="T169" s="18">
        <v>0</v>
      </c>
      <c r="U169" s="18">
        <v>91</v>
      </c>
      <c r="V169" s="18">
        <v>5283.53</v>
      </c>
      <c r="W169" s="18">
        <v>0.5</v>
      </c>
      <c r="X169" s="18">
        <v>46</v>
      </c>
      <c r="Y169" s="18">
        <v>2641.77</v>
      </c>
      <c r="Z169" s="18">
        <v>0.95</v>
      </c>
      <c r="AA169" s="18">
        <v>2641.77</v>
      </c>
      <c r="AB169" s="18">
        <v>733.83</v>
      </c>
      <c r="AC169" s="18">
        <v>49524.592581219127</v>
      </c>
      <c r="AD169" s="18">
        <v>105480270.8066328</v>
      </c>
      <c r="AE169" s="18" t="s">
        <v>1067</v>
      </c>
    </row>
    <row r="170" spans="1:31" x14ac:dyDescent="0.2">
      <c r="A170" s="18">
        <v>169</v>
      </c>
      <c r="B170" s="18">
        <v>169</v>
      </c>
      <c r="C170" s="18">
        <v>169</v>
      </c>
      <c r="D170" s="18">
        <v>402</v>
      </c>
      <c r="E170" s="18" t="s">
        <v>110</v>
      </c>
      <c r="F170" s="18" t="s">
        <v>112</v>
      </c>
      <c r="G170" s="18">
        <v>5600</v>
      </c>
      <c r="H170" s="18">
        <v>0</v>
      </c>
      <c r="I170" s="18">
        <v>4.8899999999999997</v>
      </c>
      <c r="J170" s="18">
        <v>19.43</v>
      </c>
      <c r="K170" s="18">
        <v>0</v>
      </c>
      <c r="L170" s="18">
        <v>77.510000000000005</v>
      </c>
      <c r="M170" s="18">
        <v>2.4500000000000002</v>
      </c>
      <c r="N170" s="18">
        <v>0.61</v>
      </c>
      <c r="O170" s="18">
        <v>0</v>
      </c>
      <c r="P170" s="18">
        <v>0</v>
      </c>
      <c r="Q170" s="18">
        <v>1</v>
      </c>
      <c r="R170" s="18">
        <v>0</v>
      </c>
      <c r="S170" s="18">
        <v>0</v>
      </c>
      <c r="T170" s="18">
        <v>0</v>
      </c>
      <c r="U170" s="18">
        <v>11</v>
      </c>
      <c r="V170" s="18">
        <v>587.66</v>
      </c>
      <c r="W170" s="18">
        <v>0.5</v>
      </c>
      <c r="X170" s="18">
        <v>6</v>
      </c>
      <c r="Y170" s="18">
        <v>293.83</v>
      </c>
      <c r="Z170" s="18">
        <v>1.23</v>
      </c>
      <c r="AA170" s="18">
        <v>293.83</v>
      </c>
      <c r="AB170" s="18">
        <v>81.62</v>
      </c>
      <c r="AC170" s="18">
        <v>47341.716321285843</v>
      </c>
      <c r="AD170" s="18">
        <v>61747595.607555106</v>
      </c>
      <c r="AE170" s="18" t="s">
        <v>1067</v>
      </c>
    </row>
    <row r="171" spans="1:31" x14ac:dyDescent="0.2">
      <c r="A171" s="18">
        <v>170</v>
      </c>
      <c r="B171" s="18">
        <v>170</v>
      </c>
      <c r="C171" s="18">
        <v>170</v>
      </c>
      <c r="D171" s="18">
        <v>404</v>
      </c>
      <c r="E171" s="18" t="s">
        <v>116</v>
      </c>
      <c r="F171" s="18" t="s">
        <v>118</v>
      </c>
      <c r="G171" s="18">
        <v>5600</v>
      </c>
      <c r="H171" s="18">
        <v>0</v>
      </c>
      <c r="I171" s="18">
        <v>17.64</v>
      </c>
      <c r="J171" s="18">
        <v>70.290000000000006</v>
      </c>
      <c r="K171" s="18">
        <v>0.45</v>
      </c>
      <c r="L171" s="18">
        <v>22.45</v>
      </c>
      <c r="M171" s="18">
        <v>5.22</v>
      </c>
      <c r="N171" s="18">
        <v>1.59</v>
      </c>
      <c r="O171" s="18">
        <v>0</v>
      </c>
      <c r="P171" s="18">
        <v>0</v>
      </c>
      <c r="Q171" s="18">
        <v>1</v>
      </c>
      <c r="R171" s="18">
        <v>0</v>
      </c>
      <c r="S171" s="18">
        <v>0</v>
      </c>
      <c r="T171" s="18">
        <v>0</v>
      </c>
      <c r="U171" s="18">
        <v>54</v>
      </c>
      <c r="V171" s="18">
        <v>2884.9</v>
      </c>
      <c r="W171" s="18">
        <v>0.5</v>
      </c>
      <c r="X171" s="18">
        <v>27</v>
      </c>
      <c r="Y171" s="18">
        <v>1442.45</v>
      </c>
      <c r="Z171" s="18">
        <v>1.53</v>
      </c>
      <c r="AA171" s="18">
        <v>1442.45</v>
      </c>
      <c r="AB171" s="18">
        <v>400.68</v>
      </c>
      <c r="AC171" s="18">
        <v>55212.417338779393</v>
      </c>
      <c r="AD171" s="18">
        <v>99639145.753254637</v>
      </c>
      <c r="AE171" s="18" t="s">
        <v>1067</v>
      </c>
    </row>
    <row r="172" spans="1:31" x14ac:dyDescent="0.2">
      <c r="A172" s="18">
        <v>171</v>
      </c>
      <c r="B172" s="18">
        <v>171</v>
      </c>
      <c r="C172" s="18">
        <v>171</v>
      </c>
      <c r="D172" s="18">
        <v>411</v>
      </c>
      <c r="E172" s="18" t="s">
        <v>134</v>
      </c>
      <c r="F172" s="18" t="s">
        <v>136</v>
      </c>
      <c r="G172" s="18">
        <v>5600</v>
      </c>
      <c r="H172" s="18">
        <v>0</v>
      </c>
      <c r="I172" s="18">
        <v>39.020000000000003</v>
      </c>
      <c r="J172" s="18">
        <v>70.709999999999994</v>
      </c>
      <c r="K172" s="18">
        <v>0</v>
      </c>
      <c r="L172" s="18">
        <v>28.22</v>
      </c>
      <c r="M172" s="18">
        <v>0.49</v>
      </c>
      <c r="N172" s="18">
        <v>0.59</v>
      </c>
      <c r="O172" s="18">
        <v>0</v>
      </c>
      <c r="P172" s="18">
        <v>0</v>
      </c>
      <c r="Q172" s="18">
        <v>1</v>
      </c>
      <c r="R172" s="18">
        <v>0</v>
      </c>
      <c r="S172" s="18">
        <v>0</v>
      </c>
      <c r="T172" s="18">
        <v>0</v>
      </c>
      <c r="U172" s="18">
        <v>139</v>
      </c>
      <c r="V172" s="18">
        <v>8070.45</v>
      </c>
      <c r="W172" s="18">
        <v>0.5</v>
      </c>
      <c r="X172" s="18">
        <v>70</v>
      </c>
      <c r="Y172" s="18">
        <v>4035.23</v>
      </c>
      <c r="Z172" s="18">
        <v>1.79</v>
      </c>
      <c r="AA172" s="18">
        <v>4035.23</v>
      </c>
      <c r="AB172" s="18">
        <v>1120.9000000000001</v>
      </c>
      <c r="AC172" s="18">
        <v>64867.910040949937</v>
      </c>
      <c r="AD172" s="18">
        <v>147402550.31772169</v>
      </c>
      <c r="AE172" s="18" t="s">
        <v>1067</v>
      </c>
    </row>
    <row r="173" spans="1:31" x14ac:dyDescent="0.2">
      <c r="A173" s="18">
        <v>172</v>
      </c>
      <c r="B173" s="18">
        <v>172</v>
      </c>
      <c r="C173" s="18">
        <v>172</v>
      </c>
      <c r="D173" s="18">
        <v>412</v>
      </c>
      <c r="E173" s="18" t="s">
        <v>140</v>
      </c>
      <c r="F173" s="18" t="s">
        <v>142</v>
      </c>
      <c r="G173" s="18">
        <v>5600</v>
      </c>
      <c r="H173" s="18">
        <v>0</v>
      </c>
      <c r="I173" s="18">
        <v>27.21</v>
      </c>
      <c r="J173" s="18">
        <v>63.47</v>
      </c>
      <c r="K173" s="18">
        <v>0</v>
      </c>
      <c r="L173" s="18">
        <v>35.39</v>
      </c>
      <c r="M173" s="18">
        <v>1.1000000000000001</v>
      </c>
      <c r="N173" s="18">
        <v>0.04</v>
      </c>
      <c r="O173" s="18">
        <v>0</v>
      </c>
      <c r="P173" s="18">
        <v>0</v>
      </c>
      <c r="Q173" s="18">
        <v>1</v>
      </c>
      <c r="R173" s="18">
        <v>0</v>
      </c>
      <c r="S173" s="18">
        <v>0</v>
      </c>
      <c r="T173" s="18">
        <v>0</v>
      </c>
      <c r="U173" s="18">
        <v>80</v>
      </c>
      <c r="V173" s="18">
        <v>4273.92</v>
      </c>
      <c r="W173" s="18">
        <v>0.5</v>
      </c>
      <c r="X173" s="18">
        <v>40</v>
      </c>
      <c r="Y173" s="18">
        <v>2136.96</v>
      </c>
      <c r="Z173" s="18">
        <v>1.47</v>
      </c>
      <c r="AA173" s="18">
        <v>2136.96</v>
      </c>
      <c r="AB173" s="18">
        <v>593.6</v>
      </c>
      <c r="AC173" s="18">
        <v>54653.870271995067</v>
      </c>
      <c r="AD173" s="18">
        <v>95333969.174742088</v>
      </c>
      <c r="AE173" s="18" t="s">
        <v>1067</v>
      </c>
    </row>
    <row r="174" spans="1:31" x14ac:dyDescent="0.2">
      <c r="A174" s="18">
        <v>173</v>
      </c>
      <c r="B174" s="18">
        <v>173</v>
      </c>
      <c r="C174" s="18">
        <v>173</v>
      </c>
      <c r="D174" s="18">
        <v>413</v>
      </c>
      <c r="E174" s="18" t="s">
        <v>143</v>
      </c>
      <c r="F174" s="18" t="s">
        <v>145</v>
      </c>
      <c r="G174" s="18">
        <v>5600</v>
      </c>
      <c r="H174" s="18">
        <v>0</v>
      </c>
      <c r="I174" s="18">
        <v>38.68</v>
      </c>
      <c r="J174" s="18">
        <v>82.32</v>
      </c>
      <c r="K174" s="18">
        <v>0.26</v>
      </c>
      <c r="L174" s="18">
        <v>4.21</v>
      </c>
      <c r="M174" s="18">
        <v>10.37</v>
      </c>
      <c r="N174" s="18">
        <v>2.84</v>
      </c>
      <c r="O174" s="18">
        <v>0</v>
      </c>
      <c r="P174" s="18">
        <v>0</v>
      </c>
      <c r="Q174" s="18">
        <v>1</v>
      </c>
      <c r="R174" s="18">
        <v>0</v>
      </c>
      <c r="S174" s="18">
        <v>0</v>
      </c>
      <c r="T174" s="18">
        <v>0</v>
      </c>
      <c r="U174" s="18">
        <v>101</v>
      </c>
      <c r="V174" s="18">
        <v>6454.63</v>
      </c>
      <c r="W174" s="18">
        <v>0.5</v>
      </c>
      <c r="X174" s="18">
        <v>51</v>
      </c>
      <c r="Y174" s="18">
        <v>3227.31</v>
      </c>
      <c r="Z174" s="18">
        <v>1.32</v>
      </c>
      <c r="AA174" s="18">
        <v>3227.31</v>
      </c>
      <c r="AB174" s="18">
        <v>896.48</v>
      </c>
      <c r="AC174" s="18">
        <v>64521.423800268203</v>
      </c>
      <c r="AD174" s="18">
        <v>119276056.8459342</v>
      </c>
      <c r="AE174" s="18" t="s">
        <v>1066</v>
      </c>
    </row>
    <row r="175" spans="1:31" x14ac:dyDescent="0.2">
      <c r="A175" s="18">
        <v>174</v>
      </c>
      <c r="B175" s="18">
        <v>174</v>
      </c>
      <c r="C175" s="18">
        <v>174</v>
      </c>
      <c r="D175" s="18">
        <v>415</v>
      </c>
      <c r="E175" s="18" t="s">
        <v>158</v>
      </c>
      <c r="F175" s="18" t="s">
        <v>160</v>
      </c>
      <c r="G175" s="18">
        <v>5600</v>
      </c>
      <c r="H175" s="18">
        <v>0</v>
      </c>
      <c r="I175" s="18">
        <v>11.66</v>
      </c>
      <c r="J175" s="18">
        <v>80.45</v>
      </c>
      <c r="K175" s="18">
        <v>1.54</v>
      </c>
      <c r="L175" s="18">
        <v>4.97</v>
      </c>
      <c r="M175" s="18">
        <v>10.46</v>
      </c>
      <c r="N175" s="18">
        <v>2.57</v>
      </c>
      <c r="O175" s="18">
        <v>0</v>
      </c>
      <c r="P175" s="18">
        <v>0</v>
      </c>
      <c r="Q175" s="18">
        <v>1</v>
      </c>
      <c r="R175" s="18">
        <v>0</v>
      </c>
      <c r="S175" s="18">
        <v>0</v>
      </c>
      <c r="T175" s="18">
        <v>0</v>
      </c>
      <c r="U175" s="18">
        <v>40</v>
      </c>
      <c r="V175" s="18">
        <v>2322.4299999999998</v>
      </c>
      <c r="W175" s="18">
        <v>0.5</v>
      </c>
      <c r="X175" s="18">
        <v>20</v>
      </c>
      <c r="Y175" s="18">
        <v>1161.22</v>
      </c>
      <c r="Z175" s="18">
        <v>1.72</v>
      </c>
      <c r="AA175" s="18">
        <v>1161.22</v>
      </c>
      <c r="AB175" s="18">
        <v>322.56</v>
      </c>
      <c r="AC175" s="18">
        <v>31199.800579163551</v>
      </c>
      <c r="AD175" s="18">
        <v>47167446.189100757</v>
      </c>
      <c r="AE175" s="18" t="s">
        <v>1073</v>
      </c>
    </row>
    <row r="176" spans="1:31" x14ac:dyDescent="0.2">
      <c r="A176" s="18">
        <v>175</v>
      </c>
      <c r="B176" s="18">
        <v>175</v>
      </c>
      <c r="C176" s="18">
        <v>175</v>
      </c>
      <c r="D176" s="18">
        <v>418</v>
      </c>
      <c r="E176" s="18" t="s">
        <v>167</v>
      </c>
      <c r="F176" s="18" t="s">
        <v>169</v>
      </c>
      <c r="G176" s="18">
        <v>5600</v>
      </c>
      <c r="H176" s="18">
        <v>0</v>
      </c>
      <c r="I176" s="18">
        <v>12.42</v>
      </c>
      <c r="J176" s="18">
        <v>70.37</v>
      </c>
      <c r="K176" s="18">
        <v>0</v>
      </c>
      <c r="L176" s="18">
        <v>19</v>
      </c>
      <c r="M176" s="18">
        <v>10.06</v>
      </c>
      <c r="N176" s="18">
        <v>0.56000000000000005</v>
      </c>
      <c r="O176" s="18">
        <v>0</v>
      </c>
      <c r="P176" s="18">
        <v>0</v>
      </c>
      <c r="Q176" s="18">
        <v>1</v>
      </c>
      <c r="R176" s="18">
        <v>0</v>
      </c>
      <c r="S176" s="18">
        <v>0</v>
      </c>
      <c r="T176" s="18">
        <v>0</v>
      </c>
      <c r="U176" s="18">
        <v>26</v>
      </c>
      <c r="V176" s="18">
        <v>1661.59</v>
      </c>
      <c r="W176" s="18">
        <v>0.5</v>
      </c>
      <c r="X176" s="18">
        <v>13</v>
      </c>
      <c r="Y176" s="18">
        <v>830.79</v>
      </c>
      <c r="Z176" s="18">
        <v>1.05</v>
      </c>
      <c r="AA176" s="18">
        <v>830.79</v>
      </c>
      <c r="AB176" s="18">
        <v>230.78</v>
      </c>
      <c r="AC176" s="18">
        <v>29347.061728158951</v>
      </c>
      <c r="AD176" s="18">
        <v>31175745.068217009</v>
      </c>
      <c r="AE176" s="18" t="s">
        <v>1069</v>
      </c>
    </row>
    <row r="177" spans="1:31" x14ac:dyDescent="0.2">
      <c r="A177" s="18">
        <v>176</v>
      </c>
      <c r="B177" s="18">
        <v>176</v>
      </c>
      <c r="C177" s="18">
        <v>176</v>
      </c>
      <c r="D177" s="18">
        <v>423</v>
      </c>
      <c r="E177" s="18" t="s">
        <v>311</v>
      </c>
      <c r="F177" s="18" t="s">
        <v>313</v>
      </c>
      <c r="G177" s="18">
        <v>5600</v>
      </c>
      <c r="H177" s="18">
        <v>0</v>
      </c>
      <c r="I177" s="18">
        <v>0.3</v>
      </c>
      <c r="J177" s="18">
        <v>96.67</v>
      </c>
      <c r="K177" s="18">
        <v>0</v>
      </c>
      <c r="L177" s="18">
        <v>0</v>
      </c>
      <c r="M177" s="18">
        <v>3.33</v>
      </c>
      <c r="N177" s="18">
        <v>0</v>
      </c>
      <c r="O177" s="18">
        <v>0</v>
      </c>
      <c r="P177" s="18">
        <v>0</v>
      </c>
      <c r="Q177" s="18">
        <v>1</v>
      </c>
      <c r="R177" s="18">
        <v>0</v>
      </c>
      <c r="S177" s="18">
        <v>0</v>
      </c>
      <c r="T177" s="18">
        <v>0</v>
      </c>
      <c r="U177" s="18">
        <v>1</v>
      </c>
      <c r="V177" s="18">
        <v>53.42</v>
      </c>
      <c r="W177" s="18">
        <v>0.5</v>
      </c>
      <c r="X177" s="18">
        <v>1</v>
      </c>
      <c r="Y177" s="18">
        <v>26.71</v>
      </c>
      <c r="Z177" s="18">
        <v>3.33</v>
      </c>
      <c r="AA177" s="18">
        <v>26.71</v>
      </c>
      <c r="AB177" s="18">
        <v>7.42</v>
      </c>
      <c r="AC177" s="18">
        <v>20006.772850977701</v>
      </c>
      <c r="AD177" s="18">
        <v>19811230.888120081</v>
      </c>
      <c r="AE177" s="18" t="s">
        <v>1071</v>
      </c>
    </row>
    <row r="178" spans="1:31" x14ac:dyDescent="0.2">
      <c r="A178" s="18">
        <v>177</v>
      </c>
      <c r="B178" s="18">
        <v>177</v>
      </c>
      <c r="C178" s="18">
        <v>177</v>
      </c>
      <c r="D178" s="18">
        <v>420</v>
      </c>
      <c r="E178" s="18" t="s">
        <v>170</v>
      </c>
      <c r="F178" s="18" t="s">
        <v>172</v>
      </c>
      <c r="G178" s="18">
        <v>5600</v>
      </c>
      <c r="H178" s="18">
        <v>0</v>
      </c>
      <c r="I178" s="18">
        <v>3.43</v>
      </c>
      <c r="J178" s="18">
        <v>82.22</v>
      </c>
      <c r="K178" s="18">
        <v>0</v>
      </c>
      <c r="L178" s="18">
        <v>1.46</v>
      </c>
      <c r="M178" s="18">
        <v>16.03</v>
      </c>
      <c r="N178" s="18">
        <v>0.28999999999999998</v>
      </c>
      <c r="O178" s="18">
        <v>0</v>
      </c>
      <c r="P178" s="18">
        <v>0</v>
      </c>
      <c r="Q178" s="18">
        <v>1</v>
      </c>
      <c r="R178" s="18">
        <v>0</v>
      </c>
      <c r="S178" s="18">
        <v>0</v>
      </c>
      <c r="T178" s="18">
        <v>0</v>
      </c>
      <c r="U178" s="18">
        <v>8</v>
      </c>
      <c r="V178" s="18">
        <v>427.39</v>
      </c>
      <c r="W178" s="18">
        <v>0.5</v>
      </c>
      <c r="X178" s="18">
        <v>4</v>
      </c>
      <c r="Y178" s="18">
        <v>213.7</v>
      </c>
      <c r="Z178" s="18">
        <v>1.17</v>
      </c>
      <c r="AA178" s="18">
        <v>213.7</v>
      </c>
      <c r="AB178" s="18">
        <v>59.36</v>
      </c>
      <c r="AC178" s="18">
        <v>20262.65809942313</v>
      </c>
      <c r="AD178" s="18">
        <v>12898141.597801849</v>
      </c>
      <c r="AE178" s="18" t="s">
        <v>1073</v>
      </c>
    </row>
    <row r="179" spans="1:31" x14ac:dyDescent="0.2">
      <c r="A179" s="18">
        <v>178</v>
      </c>
      <c r="B179" s="18">
        <v>178</v>
      </c>
      <c r="C179" s="18">
        <v>178</v>
      </c>
      <c r="D179" s="18">
        <v>422</v>
      </c>
      <c r="E179" s="18" t="s">
        <v>176</v>
      </c>
      <c r="F179" s="18" t="s">
        <v>178</v>
      </c>
      <c r="G179" s="18">
        <v>5600</v>
      </c>
      <c r="H179" s="18">
        <v>0</v>
      </c>
      <c r="I179" s="18">
        <v>16.25</v>
      </c>
      <c r="J179" s="18">
        <v>68.680000000000007</v>
      </c>
      <c r="K179" s="18">
        <v>0.92</v>
      </c>
      <c r="L179" s="18">
        <v>9.42</v>
      </c>
      <c r="M179" s="18">
        <v>17.29</v>
      </c>
      <c r="N179" s="18">
        <v>3.69</v>
      </c>
      <c r="O179" s="18">
        <v>0</v>
      </c>
      <c r="P179" s="18">
        <v>0</v>
      </c>
      <c r="Q179" s="18">
        <v>1</v>
      </c>
      <c r="R179" s="18">
        <v>0</v>
      </c>
      <c r="S179" s="18">
        <v>0</v>
      </c>
      <c r="T179" s="18">
        <v>0</v>
      </c>
      <c r="U179" s="18">
        <v>43</v>
      </c>
      <c r="V179" s="18">
        <v>2496.61</v>
      </c>
      <c r="W179" s="18">
        <v>0.5</v>
      </c>
      <c r="X179" s="18">
        <v>22</v>
      </c>
      <c r="Y179" s="18">
        <v>1248.31</v>
      </c>
      <c r="Z179" s="18">
        <v>1.35</v>
      </c>
      <c r="AA179" s="18">
        <v>1248.31</v>
      </c>
      <c r="AB179" s="18">
        <v>346.75</v>
      </c>
      <c r="AC179" s="18">
        <v>37703.389946971613</v>
      </c>
      <c r="AD179" s="18">
        <v>42433058.002580553</v>
      </c>
      <c r="AE179" s="18" t="s">
        <v>1073</v>
      </c>
    </row>
    <row r="180" spans="1:31" x14ac:dyDescent="0.2">
      <c r="A180" s="18">
        <v>179</v>
      </c>
      <c r="B180" s="18">
        <v>179</v>
      </c>
      <c r="C180" s="18">
        <v>179</v>
      </c>
      <c r="D180" s="18">
        <v>424</v>
      </c>
      <c r="E180" s="18" t="s">
        <v>179</v>
      </c>
      <c r="F180" s="18" t="s">
        <v>181</v>
      </c>
      <c r="G180" s="18">
        <v>5600</v>
      </c>
      <c r="H180" s="18">
        <v>0</v>
      </c>
      <c r="I180" s="18">
        <v>5.84</v>
      </c>
      <c r="J180" s="18">
        <v>79.97</v>
      </c>
      <c r="K180" s="18">
        <v>1.54</v>
      </c>
      <c r="L180" s="18">
        <v>2.74</v>
      </c>
      <c r="M180" s="18">
        <v>15.07</v>
      </c>
      <c r="N180" s="18">
        <v>0.68</v>
      </c>
      <c r="O180" s="18">
        <v>0</v>
      </c>
      <c r="P180" s="18">
        <v>0</v>
      </c>
      <c r="Q180" s="18">
        <v>1</v>
      </c>
      <c r="R180" s="18">
        <v>0</v>
      </c>
      <c r="S180" s="18">
        <v>0</v>
      </c>
      <c r="T180" s="18">
        <v>0</v>
      </c>
      <c r="U180" s="18">
        <v>18</v>
      </c>
      <c r="V180" s="18">
        <v>1045.0899999999999</v>
      </c>
      <c r="W180" s="18">
        <v>0.5</v>
      </c>
      <c r="X180" s="18">
        <v>9</v>
      </c>
      <c r="Y180" s="18">
        <v>522.54999999999995</v>
      </c>
      <c r="Z180" s="18">
        <v>1.54</v>
      </c>
      <c r="AA180" s="18">
        <v>522.54999999999995</v>
      </c>
      <c r="AB180" s="18">
        <v>145.15</v>
      </c>
      <c r="AC180" s="18">
        <v>30265.034585679528</v>
      </c>
      <c r="AD180" s="18">
        <v>35154450.935492083</v>
      </c>
      <c r="AE180" s="18" t="s">
        <v>1073</v>
      </c>
    </row>
    <row r="181" spans="1:31" x14ac:dyDescent="0.2">
      <c r="A181" s="18">
        <v>180</v>
      </c>
      <c r="B181" s="18">
        <v>180</v>
      </c>
      <c r="C181" s="18">
        <v>180</v>
      </c>
      <c r="D181" s="18">
        <v>428</v>
      </c>
      <c r="E181" s="18" t="s">
        <v>188</v>
      </c>
      <c r="F181" s="18" t="s">
        <v>190</v>
      </c>
      <c r="G181" s="18">
        <v>5600</v>
      </c>
      <c r="H181" s="18">
        <v>0</v>
      </c>
      <c r="I181" s="18">
        <v>162.38</v>
      </c>
      <c r="J181" s="18">
        <v>5.55</v>
      </c>
      <c r="K181" s="18">
        <v>0.04</v>
      </c>
      <c r="L181" s="18">
        <v>93.84</v>
      </c>
      <c r="M181" s="18">
        <v>0.56999999999999995</v>
      </c>
      <c r="N181" s="18">
        <v>0</v>
      </c>
      <c r="O181" s="18">
        <v>0</v>
      </c>
      <c r="P181" s="18">
        <v>0</v>
      </c>
      <c r="Q181" s="18">
        <v>1</v>
      </c>
      <c r="R181" s="18">
        <v>0</v>
      </c>
      <c r="S181" s="18">
        <v>0</v>
      </c>
      <c r="T181" s="18">
        <v>0</v>
      </c>
      <c r="U181" s="18">
        <v>205</v>
      </c>
      <c r="V181" s="18">
        <v>10951.92</v>
      </c>
      <c r="W181" s="18">
        <v>0.5</v>
      </c>
      <c r="X181" s="18">
        <v>103</v>
      </c>
      <c r="Y181" s="18">
        <v>5475.96</v>
      </c>
      <c r="Z181" s="18">
        <v>0.63</v>
      </c>
      <c r="AA181" s="18">
        <v>5475.96</v>
      </c>
      <c r="AB181" s="18">
        <v>1521.1</v>
      </c>
      <c r="AC181" s="18">
        <v>62934.74326648358</v>
      </c>
      <c r="AD181" s="18">
        <v>157246612.70138279</v>
      </c>
      <c r="AE181" s="18" t="s">
        <v>1068</v>
      </c>
    </row>
    <row r="182" spans="1:31" x14ac:dyDescent="0.2">
      <c r="A182" s="18">
        <v>181</v>
      </c>
      <c r="B182" s="18">
        <v>181</v>
      </c>
      <c r="C182" s="18">
        <v>181</v>
      </c>
      <c r="D182" s="18">
        <v>592</v>
      </c>
      <c r="E182" s="18" t="s">
        <v>746</v>
      </c>
      <c r="F182" s="18" t="s">
        <v>748</v>
      </c>
      <c r="G182" s="18">
        <v>5600</v>
      </c>
      <c r="H182" s="18">
        <v>0</v>
      </c>
      <c r="I182" s="18">
        <v>52.66</v>
      </c>
      <c r="J182" s="18">
        <v>61.36</v>
      </c>
      <c r="K182" s="18">
        <v>0.25</v>
      </c>
      <c r="L182" s="18">
        <v>34.409999999999997</v>
      </c>
      <c r="M182" s="18">
        <v>3.74</v>
      </c>
      <c r="N182" s="18">
        <v>0.25</v>
      </c>
      <c r="O182" s="18">
        <v>0</v>
      </c>
      <c r="P182" s="18">
        <v>0</v>
      </c>
      <c r="Q182" s="18">
        <v>1</v>
      </c>
      <c r="R182" s="18">
        <v>0</v>
      </c>
      <c r="S182" s="18">
        <v>0</v>
      </c>
      <c r="T182" s="18">
        <v>0</v>
      </c>
      <c r="U182" s="18">
        <v>90</v>
      </c>
      <c r="V182" s="18">
        <v>4808.16</v>
      </c>
      <c r="W182" s="18">
        <v>0.5</v>
      </c>
      <c r="X182" s="18">
        <v>45</v>
      </c>
      <c r="Y182" s="18">
        <v>2404.08</v>
      </c>
      <c r="Z182" s="18">
        <v>0.85</v>
      </c>
      <c r="AA182" s="18">
        <v>2404.08</v>
      </c>
      <c r="AB182" s="18">
        <v>667.8</v>
      </c>
      <c r="AC182" s="18">
        <v>49669.838817199401</v>
      </c>
      <c r="AD182" s="18">
        <v>101786676.2202234</v>
      </c>
      <c r="AE182" s="18" t="s">
        <v>1085</v>
      </c>
    </row>
    <row r="183" spans="1:31" x14ac:dyDescent="0.2">
      <c r="A183" s="18">
        <v>182</v>
      </c>
      <c r="B183" s="18">
        <v>182</v>
      </c>
      <c r="C183" s="18">
        <v>182</v>
      </c>
      <c r="D183" s="18">
        <v>486</v>
      </c>
      <c r="E183" s="18" t="s">
        <v>1104</v>
      </c>
      <c r="F183" s="18" t="s">
        <v>1105</v>
      </c>
      <c r="G183" s="18">
        <v>5600</v>
      </c>
      <c r="H183" s="18">
        <v>0</v>
      </c>
      <c r="I183" s="18">
        <v>1.48</v>
      </c>
      <c r="J183" s="18">
        <v>100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1</v>
      </c>
      <c r="R183" s="18">
        <v>0</v>
      </c>
      <c r="S183" s="18">
        <v>0</v>
      </c>
      <c r="T183" s="18">
        <v>0</v>
      </c>
      <c r="U183" s="18">
        <v>9</v>
      </c>
      <c r="V183" s="18">
        <v>635.04</v>
      </c>
      <c r="W183" s="18">
        <v>0.5</v>
      </c>
      <c r="X183" s="18">
        <v>5</v>
      </c>
      <c r="Y183" s="18">
        <v>317.52</v>
      </c>
      <c r="Z183" s="18">
        <v>3.38</v>
      </c>
      <c r="AA183" s="18">
        <v>317.52</v>
      </c>
      <c r="AB183" s="18">
        <v>88.2</v>
      </c>
      <c r="AC183" s="18">
        <v>34657.930282946429</v>
      </c>
      <c r="AD183" s="18">
        <v>39965768.492542163</v>
      </c>
      <c r="AE183" s="18" t="s">
        <v>1075</v>
      </c>
    </row>
    <row r="184" spans="1:31" x14ac:dyDescent="0.2">
      <c r="A184" s="18">
        <v>183</v>
      </c>
      <c r="B184" s="18">
        <v>183</v>
      </c>
      <c r="C184" s="18">
        <v>183</v>
      </c>
      <c r="D184" s="18">
        <v>433</v>
      </c>
      <c r="E184" s="18" t="s">
        <v>200</v>
      </c>
      <c r="F184" s="18" t="s">
        <v>202</v>
      </c>
      <c r="G184" s="18">
        <v>5600</v>
      </c>
      <c r="H184" s="18">
        <v>0</v>
      </c>
      <c r="I184" s="18">
        <v>81.13</v>
      </c>
      <c r="J184" s="18">
        <v>21.51</v>
      </c>
      <c r="K184" s="18">
        <v>0</v>
      </c>
      <c r="L184" s="18">
        <v>77.11</v>
      </c>
      <c r="M184" s="18">
        <v>0.99</v>
      </c>
      <c r="N184" s="18">
        <v>0.39</v>
      </c>
      <c r="O184" s="18">
        <v>0</v>
      </c>
      <c r="P184" s="18">
        <v>0</v>
      </c>
      <c r="Q184" s="18">
        <v>1</v>
      </c>
      <c r="R184" s="18">
        <v>0</v>
      </c>
      <c r="S184" s="18">
        <v>0</v>
      </c>
      <c r="T184" s="18">
        <v>0</v>
      </c>
      <c r="U184" s="18">
        <v>101</v>
      </c>
      <c r="V184" s="18">
        <v>5395.82</v>
      </c>
      <c r="W184" s="18">
        <v>0.5</v>
      </c>
      <c r="X184" s="18">
        <v>51</v>
      </c>
      <c r="Y184" s="18">
        <v>2697.91</v>
      </c>
      <c r="Z184" s="18">
        <v>0.63</v>
      </c>
      <c r="AA184" s="18">
        <v>2697.91</v>
      </c>
      <c r="AB184" s="18">
        <v>749.42</v>
      </c>
      <c r="AC184" s="18">
        <v>38695.725736119653</v>
      </c>
      <c r="AD184" s="18">
        <v>80394290.42979981</v>
      </c>
      <c r="AE184" s="18" t="s">
        <v>1068</v>
      </c>
    </row>
    <row r="185" spans="1:31" x14ac:dyDescent="0.2">
      <c r="A185" s="18">
        <v>184</v>
      </c>
      <c r="B185" s="18">
        <v>184</v>
      </c>
      <c r="C185" s="18">
        <v>184</v>
      </c>
      <c r="D185" s="18">
        <v>434</v>
      </c>
      <c r="E185" s="18" t="s">
        <v>230</v>
      </c>
      <c r="F185" s="18" t="s">
        <v>232</v>
      </c>
      <c r="G185" s="18">
        <v>5600</v>
      </c>
      <c r="H185" s="18">
        <v>0</v>
      </c>
      <c r="I185" s="18">
        <v>52</v>
      </c>
      <c r="J185" s="18">
        <v>0.28999999999999998</v>
      </c>
      <c r="K185" s="18">
        <v>0</v>
      </c>
      <c r="L185" s="18">
        <v>99.67</v>
      </c>
      <c r="M185" s="18">
        <v>0</v>
      </c>
      <c r="N185" s="18">
        <v>0.04</v>
      </c>
      <c r="O185" s="18">
        <v>0</v>
      </c>
      <c r="P185" s="18">
        <v>0</v>
      </c>
      <c r="Q185" s="18">
        <v>1</v>
      </c>
      <c r="R185" s="18">
        <v>0</v>
      </c>
      <c r="S185" s="18">
        <v>0</v>
      </c>
      <c r="T185" s="18">
        <v>0</v>
      </c>
      <c r="U185" s="18">
        <v>55</v>
      </c>
      <c r="V185" s="18">
        <v>2938.32</v>
      </c>
      <c r="W185" s="18">
        <v>0.5</v>
      </c>
      <c r="X185" s="18">
        <v>28</v>
      </c>
      <c r="Y185" s="18">
        <v>1469.16</v>
      </c>
      <c r="Z185" s="18">
        <v>0.54</v>
      </c>
      <c r="AA185" s="18">
        <v>1469.16</v>
      </c>
      <c r="AB185" s="18">
        <v>408.1</v>
      </c>
      <c r="AC185" s="18">
        <v>25137.095204223981</v>
      </c>
      <c r="AD185" s="18">
        <v>27947504.17946627</v>
      </c>
      <c r="AE185" s="18" t="s">
        <v>1073</v>
      </c>
    </row>
    <row r="186" spans="1:31" x14ac:dyDescent="0.2">
      <c r="A186" s="18">
        <v>185</v>
      </c>
      <c r="B186" s="18">
        <v>185</v>
      </c>
      <c r="C186" s="18">
        <v>185</v>
      </c>
      <c r="D186" s="18">
        <v>438</v>
      </c>
      <c r="E186" s="18" t="s">
        <v>215</v>
      </c>
      <c r="F186" s="18" t="s">
        <v>217</v>
      </c>
      <c r="G186" s="18">
        <v>5600</v>
      </c>
      <c r="H186" s="18">
        <v>0</v>
      </c>
      <c r="I186" s="18">
        <v>2.13</v>
      </c>
      <c r="J186" s="18">
        <v>53.52</v>
      </c>
      <c r="K186" s="18">
        <v>2.35</v>
      </c>
      <c r="L186" s="18">
        <v>8.4499999999999993</v>
      </c>
      <c r="M186" s="18">
        <v>32.86</v>
      </c>
      <c r="N186" s="18">
        <v>2.82</v>
      </c>
      <c r="O186" s="18">
        <v>0</v>
      </c>
      <c r="P186" s="18">
        <v>0</v>
      </c>
      <c r="Q186" s="18">
        <v>1</v>
      </c>
      <c r="R186" s="18">
        <v>0</v>
      </c>
      <c r="S186" s="18">
        <v>0</v>
      </c>
      <c r="T186" s="18">
        <v>0</v>
      </c>
      <c r="U186" s="18">
        <v>9</v>
      </c>
      <c r="V186" s="18">
        <v>480.82</v>
      </c>
      <c r="W186" s="18">
        <v>0.5</v>
      </c>
      <c r="X186" s="18">
        <v>5</v>
      </c>
      <c r="Y186" s="18">
        <v>240.41</v>
      </c>
      <c r="Z186" s="18">
        <v>2.35</v>
      </c>
      <c r="AA186" s="18">
        <v>240.41</v>
      </c>
      <c r="AB186" s="18">
        <v>66.78</v>
      </c>
      <c r="AC186" s="18">
        <v>42784.936229416096</v>
      </c>
      <c r="AD186" s="18">
        <v>57527276.829121329</v>
      </c>
      <c r="AE186" s="18" t="s">
        <v>1073</v>
      </c>
    </row>
    <row r="187" spans="1:31" x14ac:dyDescent="0.2">
      <c r="A187" s="18">
        <v>186</v>
      </c>
      <c r="B187" s="18">
        <v>186</v>
      </c>
      <c r="C187" s="18">
        <v>186</v>
      </c>
      <c r="D187" s="18">
        <v>441</v>
      </c>
      <c r="E187" s="18" t="s">
        <v>224</v>
      </c>
      <c r="F187" s="18" t="s">
        <v>226</v>
      </c>
      <c r="G187" s="18">
        <v>5600</v>
      </c>
      <c r="H187" s="18">
        <v>0</v>
      </c>
      <c r="I187" s="18">
        <v>20.41</v>
      </c>
      <c r="J187" s="18">
        <v>45.08</v>
      </c>
      <c r="K187" s="18">
        <v>0</v>
      </c>
      <c r="L187" s="18">
        <v>53.16</v>
      </c>
      <c r="M187" s="18">
        <v>1.42</v>
      </c>
      <c r="N187" s="18">
        <v>0.34</v>
      </c>
      <c r="O187" s="18">
        <v>0</v>
      </c>
      <c r="P187" s="18">
        <v>0</v>
      </c>
      <c r="Q187" s="18">
        <v>1</v>
      </c>
      <c r="R187" s="18">
        <v>0</v>
      </c>
      <c r="S187" s="18">
        <v>0</v>
      </c>
      <c r="T187" s="18">
        <v>0</v>
      </c>
      <c r="U187" s="18">
        <v>40</v>
      </c>
      <c r="V187" s="18">
        <v>2136.96</v>
      </c>
      <c r="W187" s="18">
        <v>0.5</v>
      </c>
      <c r="X187" s="18">
        <v>20</v>
      </c>
      <c r="Y187" s="18">
        <v>1068.48</v>
      </c>
      <c r="Z187" s="18">
        <v>0.98</v>
      </c>
      <c r="AA187" s="18">
        <v>1068.48</v>
      </c>
      <c r="AB187" s="18">
        <v>296.8</v>
      </c>
      <c r="AC187" s="18">
        <v>35075.3940821699</v>
      </c>
      <c r="AD187" s="18">
        <v>47123859.835178882</v>
      </c>
      <c r="AE187" s="18" t="s">
        <v>1073</v>
      </c>
    </row>
    <row r="188" spans="1:31" x14ac:dyDescent="0.2">
      <c r="A188" s="18">
        <v>187</v>
      </c>
      <c r="B188" s="18">
        <v>187</v>
      </c>
      <c r="C188" s="18">
        <v>187</v>
      </c>
      <c r="D188" s="18">
        <v>446</v>
      </c>
      <c r="E188" s="18" t="s">
        <v>242</v>
      </c>
      <c r="F188" s="18" t="s">
        <v>244</v>
      </c>
      <c r="G188" s="18">
        <v>5600</v>
      </c>
      <c r="H188" s="18">
        <v>0</v>
      </c>
      <c r="I188" s="18">
        <v>11.22</v>
      </c>
      <c r="J188" s="18">
        <v>59.98</v>
      </c>
      <c r="K188" s="18">
        <v>0</v>
      </c>
      <c r="L188" s="18">
        <v>35.83</v>
      </c>
      <c r="M188" s="18">
        <v>2.94</v>
      </c>
      <c r="N188" s="18">
        <v>1.25</v>
      </c>
      <c r="O188" s="18">
        <v>0</v>
      </c>
      <c r="P188" s="18">
        <v>0</v>
      </c>
      <c r="Q188" s="18">
        <v>1</v>
      </c>
      <c r="R188" s="18">
        <v>0</v>
      </c>
      <c r="S188" s="18">
        <v>0</v>
      </c>
      <c r="T188" s="18">
        <v>0</v>
      </c>
      <c r="U188" s="18">
        <v>23</v>
      </c>
      <c r="V188" s="18">
        <v>1228.75</v>
      </c>
      <c r="W188" s="18">
        <v>0.5</v>
      </c>
      <c r="X188" s="18">
        <v>12</v>
      </c>
      <c r="Y188" s="18">
        <v>614.38</v>
      </c>
      <c r="Z188" s="18">
        <v>1.07</v>
      </c>
      <c r="AA188" s="18">
        <v>614.38</v>
      </c>
      <c r="AB188" s="18">
        <v>170.66</v>
      </c>
      <c r="AC188" s="18">
        <v>33976.547610898058</v>
      </c>
      <c r="AD188" s="18">
        <v>32351306.798106842</v>
      </c>
      <c r="AE188" s="18" t="s">
        <v>1071</v>
      </c>
    </row>
    <row r="189" spans="1:31" x14ac:dyDescent="0.2">
      <c r="A189" s="18">
        <v>188</v>
      </c>
      <c r="B189" s="18">
        <v>188</v>
      </c>
      <c r="C189" s="18">
        <v>188</v>
      </c>
      <c r="D189" s="18">
        <v>447</v>
      </c>
      <c r="E189" s="18" t="s">
        <v>248</v>
      </c>
      <c r="F189" s="18" t="s">
        <v>250</v>
      </c>
      <c r="G189" s="18">
        <v>5600</v>
      </c>
      <c r="H189" s="18">
        <v>0</v>
      </c>
      <c r="I189" s="18">
        <v>39.22</v>
      </c>
      <c r="J189" s="18">
        <v>62.85</v>
      </c>
      <c r="K189" s="18">
        <v>0</v>
      </c>
      <c r="L189" s="18">
        <v>34.75</v>
      </c>
      <c r="M189" s="18">
        <v>0.79</v>
      </c>
      <c r="N189" s="18">
        <v>1.61</v>
      </c>
      <c r="O189" s="18">
        <v>0</v>
      </c>
      <c r="P189" s="18">
        <v>0</v>
      </c>
      <c r="Q189" s="18">
        <v>1</v>
      </c>
      <c r="R189" s="18">
        <v>0</v>
      </c>
      <c r="S189" s="18">
        <v>0</v>
      </c>
      <c r="T189" s="18">
        <v>0</v>
      </c>
      <c r="U189" s="18">
        <v>130</v>
      </c>
      <c r="V189" s="18">
        <v>7547.9</v>
      </c>
      <c r="W189" s="18">
        <v>0.5</v>
      </c>
      <c r="X189" s="18">
        <v>65</v>
      </c>
      <c r="Y189" s="18">
        <v>3773.95</v>
      </c>
      <c r="Z189" s="18">
        <v>1.66</v>
      </c>
      <c r="AA189" s="18">
        <v>3773.95</v>
      </c>
      <c r="AB189" s="18">
        <v>1048.32</v>
      </c>
      <c r="AC189" s="18">
        <v>52914.659406764913</v>
      </c>
      <c r="AD189" s="18">
        <v>138803984.79968491</v>
      </c>
      <c r="AE189" s="18" t="s">
        <v>1070</v>
      </c>
    </row>
    <row r="190" spans="1:31" x14ac:dyDescent="0.2">
      <c r="A190" s="18">
        <v>189</v>
      </c>
      <c r="B190" s="18">
        <v>189</v>
      </c>
      <c r="C190" s="18">
        <v>189</v>
      </c>
      <c r="D190" s="18">
        <v>448</v>
      </c>
      <c r="E190" s="18" t="s">
        <v>251</v>
      </c>
      <c r="F190" s="18" t="s">
        <v>253</v>
      </c>
      <c r="G190" s="18">
        <v>5600</v>
      </c>
      <c r="H190" s="18">
        <v>0</v>
      </c>
      <c r="I190" s="18">
        <v>15.98</v>
      </c>
      <c r="J190" s="18">
        <v>77.78</v>
      </c>
      <c r="K190" s="18">
        <v>0.13</v>
      </c>
      <c r="L190" s="18">
        <v>6.32</v>
      </c>
      <c r="M190" s="18">
        <v>14.52</v>
      </c>
      <c r="N190" s="18">
        <v>1.25</v>
      </c>
      <c r="O190" s="18">
        <v>0</v>
      </c>
      <c r="P190" s="18">
        <v>0</v>
      </c>
      <c r="Q190" s="18">
        <v>1</v>
      </c>
      <c r="R190" s="18">
        <v>0</v>
      </c>
      <c r="S190" s="18">
        <v>0</v>
      </c>
      <c r="T190" s="18">
        <v>0</v>
      </c>
      <c r="U190" s="18">
        <v>43</v>
      </c>
      <c r="V190" s="18">
        <v>2496.61</v>
      </c>
      <c r="W190" s="18">
        <v>0.5</v>
      </c>
      <c r="X190" s="18">
        <v>22</v>
      </c>
      <c r="Y190" s="18">
        <v>1248.31</v>
      </c>
      <c r="Z190" s="18">
        <v>1.38</v>
      </c>
      <c r="AA190" s="18">
        <v>1248.31</v>
      </c>
      <c r="AB190" s="18">
        <v>346.75</v>
      </c>
      <c r="AC190" s="18">
        <v>44358.44039201636</v>
      </c>
      <c r="AD190" s="18">
        <v>69579974.083952785</v>
      </c>
      <c r="AE190" s="18" t="s">
        <v>1073</v>
      </c>
    </row>
    <row r="191" spans="1:31" x14ac:dyDescent="0.2">
      <c r="A191" s="18">
        <v>190</v>
      </c>
      <c r="B191" s="18">
        <v>190</v>
      </c>
      <c r="C191" s="18">
        <v>190</v>
      </c>
      <c r="D191" s="18">
        <v>451</v>
      </c>
      <c r="E191" s="18" t="s">
        <v>254</v>
      </c>
      <c r="F191" s="18" t="s">
        <v>256</v>
      </c>
      <c r="G191" s="18">
        <v>5600</v>
      </c>
      <c r="H191" s="18">
        <v>0</v>
      </c>
      <c r="I191" s="18">
        <v>35.65</v>
      </c>
      <c r="J191" s="18">
        <v>79.52</v>
      </c>
      <c r="K191" s="18">
        <v>0.53</v>
      </c>
      <c r="L191" s="18">
        <v>11.67</v>
      </c>
      <c r="M191" s="18">
        <v>7.46</v>
      </c>
      <c r="N191" s="18">
        <v>0.81</v>
      </c>
      <c r="O191" s="18">
        <v>0</v>
      </c>
      <c r="P191" s="18">
        <v>0</v>
      </c>
      <c r="Q191" s="18">
        <v>1</v>
      </c>
      <c r="R191" s="18">
        <v>0</v>
      </c>
      <c r="S191" s="18">
        <v>0</v>
      </c>
      <c r="T191" s="18">
        <v>0</v>
      </c>
      <c r="U191" s="18">
        <v>76</v>
      </c>
      <c r="V191" s="18">
        <v>4856.95</v>
      </c>
      <c r="W191" s="18">
        <v>0.5</v>
      </c>
      <c r="X191" s="18">
        <v>38</v>
      </c>
      <c r="Y191" s="18">
        <v>2428.4699999999998</v>
      </c>
      <c r="Z191" s="18">
        <v>1.07</v>
      </c>
      <c r="AA191" s="18">
        <v>2428.4699999999998</v>
      </c>
      <c r="AB191" s="18">
        <v>674.58</v>
      </c>
      <c r="AC191" s="18">
        <v>58894.266010173771</v>
      </c>
      <c r="AD191" s="18">
        <v>89056674.211418062</v>
      </c>
      <c r="AE191" s="18" t="s">
        <v>1069</v>
      </c>
    </row>
    <row r="192" spans="1:31" x14ac:dyDescent="0.2">
      <c r="A192" s="18">
        <v>191</v>
      </c>
      <c r="B192" s="18">
        <v>191</v>
      </c>
      <c r="C192" s="18">
        <v>191</v>
      </c>
      <c r="D192" s="18">
        <v>455</v>
      </c>
      <c r="E192" s="18" t="s">
        <v>272</v>
      </c>
      <c r="F192" s="18" t="s">
        <v>274</v>
      </c>
      <c r="G192" s="18">
        <v>5600</v>
      </c>
      <c r="H192" s="18">
        <v>0</v>
      </c>
      <c r="I192" s="18">
        <v>27.5</v>
      </c>
      <c r="J192" s="18">
        <v>25.09</v>
      </c>
      <c r="K192" s="18">
        <v>7.0000000000000007E-2</v>
      </c>
      <c r="L192" s="18">
        <v>73.53</v>
      </c>
      <c r="M192" s="18">
        <v>0.47</v>
      </c>
      <c r="N192" s="18">
        <v>0.84</v>
      </c>
      <c r="O192" s="18">
        <v>0</v>
      </c>
      <c r="P192" s="18">
        <v>0</v>
      </c>
      <c r="Q192" s="18">
        <v>1</v>
      </c>
      <c r="R192" s="18">
        <v>0</v>
      </c>
      <c r="S192" s="18">
        <v>0</v>
      </c>
      <c r="T192" s="18">
        <v>0</v>
      </c>
      <c r="U192" s="18">
        <v>40</v>
      </c>
      <c r="V192" s="18">
        <v>2136.96</v>
      </c>
      <c r="W192" s="18">
        <v>0.5</v>
      </c>
      <c r="X192" s="18">
        <v>20</v>
      </c>
      <c r="Y192" s="18">
        <v>1068.48</v>
      </c>
      <c r="Z192" s="18">
        <v>0.73</v>
      </c>
      <c r="AA192" s="18">
        <v>1068.48</v>
      </c>
      <c r="AB192" s="18">
        <v>296.8</v>
      </c>
      <c r="AC192" s="18">
        <v>31522.966659218338</v>
      </c>
      <c r="AD192" s="18">
        <v>33026352.452252321</v>
      </c>
      <c r="AE192" s="18" t="s">
        <v>1072</v>
      </c>
    </row>
    <row r="193" spans="1:31" x14ac:dyDescent="0.2">
      <c r="A193" s="18">
        <v>192</v>
      </c>
      <c r="B193" s="18">
        <v>192</v>
      </c>
      <c r="C193" s="18">
        <v>192</v>
      </c>
      <c r="D193" s="18">
        <v>457</v>
      </c>
      <c r="E193" s="18" t="s">
        <v>275</v>
      </c>
      <c r="F193" s="18" t="s">
        <v>277</v>
      </c>
      <c r="G193" s="18">
        <v>5600</v>
      </c>
      <c r="H193" s="18">
        <v>0</v>
      </c>
      <c r="I193" s="18">
        <v>26.67</v>
      </c>
      <c r="J193" s="18">
        <v>54.59</v>
      </c>
      <c r="K193" s="18">
        <v>0</v>
      </c>
      <c r="L193" s="18">
        <v>42.48</v>
      </c>
      <c r="M193" s="18">
        <v>2.92</v>
      </c>
      <c r="N193" s="18">
        <v>0</v>
      </c>
      <c r="O193" s="18">
        <v>0</v>
      </c>
      <c r="P193" s="18">
        <v>0</v>
      </c>
      <c r="Q193" s="18">
        <v>1</v>
      </c>
      <c r="R193" s="18">
        <v>0</v>
      </c>
      <c r="S193" s="18">
        <v>0</v>
      </c>
      <c r="T193" s="18">
        <v>0</v>
      </c>
      <c r="U193" s="18">
        <v>61</v>
      </c>
      <c r="V193" s="18">
        <v>3258.86</v>
      </c>
      <c r="W193" s="18">
        <v>0.5</v>
      </c>
      <c r="X193" s="18">
        <v>31</v>
      </c>
      <c r="Y193" s="18">
        <v>1629.43</v>
      </c>
      <c r="Z193" s="18">
        <v>1.1599999999999999</v>
      </c>
      <c r="AA193" s="18">
        <v>1629.43</v>
      </c>
      <c r="AB193" s="18">
        <v>452.62</v>
      </c>
      <c r="AC193" s="18">
        <v>43218.830720092839</v>
      </c>
      <c r="AD193" s="18">
        <v>67101470.195609018</v>
      </c>
      <c r="AE193" s="18" t="s">
        <v>1074</v>
      </c>
    </row>
    <row r="194" spans="1:31" x14ac:dyDescent="0.2">
      <c r="A194" s="18">
        <v>193</v>
      </c>
      <c r="B194" s="18">
        <v>193</v>
      </c>
      <c r="C194" s="18">
        <v>193</v>
      </c>
      <c r="D194" s="18">
        <v>458</v>
      </c>
      <c r="E194" s="18" t="s">
        <v>278</v>
      </c>
      <c r="F194" s="18" t="s">
        <v>280</v>
      </c>
      <c r="G194" s="18">
        <v>5600</v>
      </c>
      <c r="H194" s="18">
        <v>0</v>
      </c>
      <c r="I194" s="18">
        <v>16.23</v>
      </c>
      <c r="J194" s="18">
        <v>89.71</v>
      </c>
      <c r="K194" s="18">
        <v>0.25</v>
      </c>
      <c r="L194" s="18">
        <v>9.1199999999999992</v>
      </c>
      <c r="M194" s="18">
        <v>0.8</v>
      </c>
      <c r="N194" s="18">
        <v>0.12</v>
      </c>
      <c r="O194" s="18">
        <v>0</v>
      </c>
      <c r="P194" s="18">
        <v>0</v>
      </c>
      <c r="Q194" s="18">
        <v>1</v>
      </c>
      <c r="R194" s="18">
        <v>0</v>
      </c>
      <c r="S194" s="18">
        <v>0</v>
      </c>
      <c r="T194" s="18">
        <v>0</v>
      </c>
      <c r="U194" s="18">
        <v>37</v>
      </c>
      <c r="V194" s="18">
        <v>2148.25</v>
      </c>
      <c r="W194" s="18">
        <v>0.5</v>
      </c>
      <c r="X194" s="18">
        <v>19</v>
      </c>
      <c r="Y194" s="18">
        <v>1074.1199999999999</v>
      </c>
      <c r="Z194" s="18">
        <v>1.17</v>
      </c>
      <c r="AA194" s="18">
        <v>1074.1199999999999</v>
      </c>
      <c r="AB194" s="18">
        <v>298.37</v>
      </c>
      <c r="AC194" s="18">
        <v>34539.364273550447</v>
      </c>
      <c r="AD194" s="18">
        <v>37571649.686361812</v>
      </c>
      <c r="AE194" s="18" t="s">
        <v>1074</v>
      </c>
    </row>
    <row r="195" spans="1:31" x14ac:dyDescent="0.2">
      <c r="A195" s="18">
        <v>194</v>
      </c>
      <c r="B195" s="18">
        <v>194</v>
      </c>
      <c r="C195" s="18">
        <v>194</v>
      </c>
      <c r="D195" s="18">
        <v>460</v>
      </c>
      <c r="E195" s="18" t="s">
        <v>305</v>
      </c>
      <c r="F195" s="18" t="s">
        <v>307</v>
      </c>
      <c r="G195" s="18">
        <v>5600</v>
      </c>
      <c r="H195" s="18">
        <v>0</v>
      </c>
      <c r="I195" s="18">
        <v>21.44</v>
      </c>
      <c r="J195" s="18">
        <v>17.16</v>
      </c>
      <c r="K195" s="18">
        <v>0.98</v>
      </c>
      <c r="L195" s="18">
        <v>81.67</v>
      </c>
      <c r="M195" s="18">
        <v>0</v>
      </c>
      <c r="N195" s="18">
        <v>0.19</v>
      </c>
      <c r="O195" s="18">
        <v>0</v>
      </c>
      <c r="P195" s="18">
        <v>0</v>
      </c>
      <c r="Q195" s="18">
        <v>1</v>
      </c>
      <c r="R195" s="18">
        <v>0</v>
      </c>
      <c r="S195" s="18">
        <v>0</v>
      </c>
      <c r="T195" s="18">
        <v>0</v>
      </c>
      <c r="U195" s="18">
        <v>42</v>
      </c>
      <c r="V195" s="18">
        <v>2243.81</v>
      </c>
      <c r="W195" s="18">
        <v>0.5</v>
      </c>
      <c r="X195" s="18">
        <v>21</v>
      </c>
      <c r="Y195" s="18">
        <v>1121.9000000000001</v>
      </c>
      <c r="Z195" s="18">
        <v>0.98</v>
      </c>
      <c r="AA195" s="18">
        <v>1121.9000000000001</v>
      </c>
      <c r="AB195" s="18">
        <v>311.64</v>
      </c>
      <c r="AC195" s="18">
        <v>30492.873307473179</v>
      </c>
      <c r="AD195" s="18">
        <v>46447341.490943886</v>
      </c>
      <c r="AE195" s="18" t="s">
        <v>1072</v>
      </c>
    </row>
    <row r="196" spans="1:31" x14ac:dyDescent="0.2">
      <c r="A196" s="18">
        <v>195</v>
      </c>
      <c r="B196" s="18">
        <v>195</v>
      </c>
      <c r="C196" s="18">
        <v>195</v>
      </c>
      <c r="D196" s="18">
        <v>543</v>
      </c>
      <c r="E196" s="18" t="s">
        <v>530</v>
      </c>
      <c r="F196" s="18" t="s">
        <v>532</v>
      </c>
      <c r="G196" s="18">
        <v>5600</v>
      </c>
      <c r="H196" s="18">
        <v>0</v>
      </c>
      <c r="I196" s="18">
        <v>2.71</v>
      </c>
      <c r="J196" s="18">
        <v>74.540000000000006</v>
      </c>
      <c r="K196" s="18">
        <v>0</v>
      </c>
      <c r="L196" s="18">
        <v>24.35</v>
      </c>
      <c r="M196" s="18">
        <v>0.74</v>
      </c>
      <c r="N196" s="18">
        <v>0.37</v>
      </c>
      <c r="O196" s="18">
        <v>0</v>
      </c>
      <c r="P196" s="18">
        <v>0</v>
      </c>
      <c r="Q196" s="18">
        <v>1</v>
      </c>
      <c r="R196" s="18">
        <v>0</v>
      </c>
      <c r="S196" s="18">
        <v>0</v>
      </c>
      <c r="T196" s="18">
        <v>0</v>
      </c>
      <c r="U196" s="18">
        <v>7</v>
      </c>
      <c r="V196" s="18">
        <v>447.35</v>
      </c>
      <c r="W196" s="18">
        <v>0.5</v>
      </c>
      <c r="X196" s="18">
        <v>4</v>
      </c>
      <c r="Y196" s="18">
        <v>223.68</v>
      </c>
      <c r="Z196" s="18">
        <v>1.48</v>
      </c>
      <c r="AA196" s="18">
        <v>223.68</v>
      </c>
      <c r="AB196" s="18">
        <v>62.13</v>
      </c>
      <c r="AC196" s="18">
        <v>16480.155149158159</v>
      </c>
      <c r="AD196" s="18">
        <v>11591932.01768438</v>
      </c>
      <c r="AE196" s="18" t="s">
        <v>1078</v>
      </c>
    </row>
    <row r="197" spans="1:31" x14ac:dyDescent="0.2">
      <c r="A197" s="18">
        <v>196</v>
      </c>
      <c r="B197" s="18">
        <v>196</v>
      </c>
      <c r="C197" s="18">
        <v>196</v>
      </c>
      <c r="D197" s="18">
        <v>461</v>
      </c>
      <c r="E197" s="18" t="s">
        <v>287</v>
      </c>
      <c r="F197" s="18" t="s">
        <v>289</v>
      </c>
      <c r="G197" s="18">
        <v>5600</v>
      </c>
      <c r="H197" s="18">
        <v>0</v>
      </c>
      <c r="I197" s="18">
        <v>26.11</v>
      </c>
      <c r="J197" s="18">
        <v>92.45</v>
      </c>
      <c r="K197" s="18">
        <v>0</v>
      </c>
      <c r="L197" s="18">
        <v>4.29</v>
      </c>
      <c r="M197" s="18">
        <v>3.1</v>
      </c>
      <c r="N197" s="18">
        <v>0.15</v>
      </c>
      <c r="O197" s="18">
        <v>0</v>
      </c>
      <c r="P197" s="18">
        <v>0</v>
      </c>
      <c r="Q197" s="18">
        <v>1</v>
      </c>
      <c r="R197" s="18">
        <v>0</v>
      </c>
      <c r="S197" s="18">
        <v>0</v>
      </c>
      <c r="T197" s="18">
        <v>0</v>
      </c>
      <c r="U197" s="18">
        <v>61</v>
      </c>
      <c r="V197" s="18">
        <v>3541.71</v>
      </c>
      <c r="W197" s="18">
        <v>0.5</v>
      </c>
      <c r="X197" s="18">
        <v>31</v>
      </c>
      <c r="Y197" s="18">
        <v>1770.85</v>
      </c>
      <c r="Z197" s="18">
        <v>1.19</v>
      </c>
      <c r="AA197" s="18">
        <v>1770.85</v>
      </c>
      <c r="AB197" s="18">
        <v>491.9</v>
      </c>
      <c r="AC197" s="18">
        <v>38596.684413961637</v>
      </c>
      <c r="AD197" s="18">
        <v>58976200.159288637</v>
      </c>
      <c r="AE197" s="18" t="s">
        <v>1074</v>
      </c>
    </row>
    <row r="198" spans="1:31" x14ac:dyDescent="0.2">
      <c r="A198" s="18">
        <v>197</v>
      </c>
      <c r="B198" s="18">
        <v>197</v>
      </c>
      <c r="C198" s="18">
        <v>197</v>
      </c>
      <c r="D198" s="18">
        <v>463</v>
      </c>
      <c r="E198" s="18" t="s">
        <v>290</v>
      </c>
      <c r="F198" s="18" t="s">
        <v>292</v>
      </c>
      <c r="G198" s="18">
        <v>5600</v>
      </c>
      <c r="H198" s="18">
        <v>0</v>
      </c>
      <c r="I198" s="18">
        <v>47</v>
      </c>
      <c r="J198" s="18">
        <v>20.02</v>
      </c>
      <c r="K198" s="18">
        <v>0.19</v>
      </c>
      <c r="L198" s="18">
        <v>78.489999999999995</v>
      </c>
      <c r="M198" s="18">
        <v>0</v>
      </c>
      <c r="N198" s="18">
        <v>1.3</v>
      </c>
      <c r="O198" s="18">
        <v>0</v>
      </c>
      <c r="P198" s="18">
        <v>0</v>
      </c>
      <c r="Q198" s="18">
        <v>1</v>
      </c>
      <c r="R198" s="18">
        <v>0</v>
      </c>
      <c r="S198" s="18">
        <v>0</v>
      </c>
      <c r="T198" s="18">
        <v>0</v>
      </c>
      <c r="U198" s="18">
        <v>71</v>
      </c>
      <c r="V198" s="18">
        <v>3793.1</v>
      </c>
      <c r="W198" s="18">
        <v>0.5</v>
      </c>
      <c r="X198" s="18">
        <v>36</v>
      </c>
      <c r="Y198" s="18">
        <v>1896.55</v>
      </c>
      <c r="Z198" s="18">
        <v>0.77</v>
      </c>
      <c r="AA198" s="18">
        <v>1896.55</v>
      </c>
      <c r="AB198" s="18">
        <v>526.82000000000005</v>
      </c>
      <c r="AC198" s="18">
        <v>42185.603531171859</v>
      </c>
      <c r="AD198" s="18">
        <v>58941586.21051912</v>
      </c>
      <c r="AE198" s="18" t="s">
        <v>1072</v>
      </c>
    </row>
    <row r="199" spans="1:31" x14ac:dyDescent="0.2">
      <c r="A199" s="18">
        <v>198</v>
      </c>
      <c r="B199" s="18">
        <v>198</v>
      </c>
      <c r="C199" s="18">
        <v>198</v>
      </c>
      <c r="D199" s="18">
        <v>464</v>
      </c>
      <c r="E199" s="18" t="s">
        <v>293</v>
      </c>
      <c r="F199" s="18" t="s">
        <v>295</v>
      </c>
      <c r="G199" s="18">
        <v>5600</v>
      </c>
      <c r="H199" s="18">
        <v>0</v>
      </c>
      <c r="I199" s="18">
        <v>93.9</v>
      </c>
      <c r="J199" s="18">
        <v>97.7</v>
      </c>
      <c r="K199" s="18">
        <v>0.24</v>
      </c>
      <c r="L199" s="18">
        <v>0.77</v>
      </c>
      <c r="M199" s="18">
        <v>1.25</v>
      </c>
      <c r="N199" s="18">
        <v>0.04</v>
      </c>
      <c r="O199" s="18">
        <v>0</v>
      </c>
      <c r="P199" s="18">
        <v>0</v>
      </c>
      <c r="Q199" s="18">
        <v>1</v>
      </c>
      <c r="R199" s="18">
        <v>0</v>
      </c>
      <c r="S199" s="18">
        <v>0</v>
      </c>
      <c r="T199" s="18">
        <v>0</v>
      </c>
      <c r="U199" s="18">
        <v>135</v>
      </c>
      <c r="V199" s="18">
        <v>8627.4699999999993</v>
      </c>
      <c r="W199" s="18">
        <v>0.5</v>
      </c>
      <c r="X199" s="18">
        <v>68</v>
      </c>
      <c r="Y199" s="18">
        <v>4313.74</v>
      </c>
      <c r="Z199" s="18">
        <v>0.72</v>
      </c>
      <c r="AA199" s="18">
        <v>4313.74</v>
      </c>
      <c r="AB199" s="18">
        <v>1198.26</v>
      </c>
      <c r="AC199" s="18">
        <v>42342.648485666228</v>
      </c>
      <c r="AD199" s="18">
        <v>78916733.374125943</v>
      </c>
      <c r="AE199" s="18" t="s">
        <v>1074</v>
      </c>
    </row>
    <row r="200" spans="1:31" x14ac:dyDescent="0.2">
      <c r="A200" s="18">
        <v>199</v>
      </c>
      <c r="B200" s="18">
        <v>199</v>
      </c>
      <c r="C200" s="18">
        <v>199</v>
      </c>
      <c r="D200" s="18">
        <v>465</v>
      </c>
      <c r="E200" s="18" t="s">
        <v>296</v>
      </c>
      <c r="F200" s="18" t="s">
        <v>298</v>
      </c>
      <c r="G200" s="18">
        <v>5600</v>
      </c>
      <c r="H200" s="18">
        <v>0</v>
      </c>
      <c r="I200" s="18">
        <v>42.13</v>
      </c>
      <c r="J200" s="18">
        <v>96.44</v>
      </c>
      <c r="K200" s="18">
        <v>0</v>
      </c>
      <c r="L200" s="18">
        <v>2.04</v>
      </c>
      <c r="M200" s="18">
        <v>1.42</v>
      </c>
      <c r="N200" s="18">
        <v>0.09</v>
      </c>
      <c r="O200" s="18">
        <v>0</v>
      </c>
      <c r="P200" s="18">
        <v>0</v>
      </c>
      <c r="Q200" s="18">
        <v>1</v>
      </c>
      <c r="R200" s="18">
        <v>0</v>
      </c>
      <c r="S200" s="18">
        <v>0</v>
      </c>
      <c r="T200" s="18">
        <v>0</v>
      </c>
      <c r="U200" s="18">
        <v>55</v>
      </c>
      <c r="V200" s="18">
        <v>3514.9</v>
      </c>
      <c r="W200" s="18">
        <v>0.5</v>
      </c>
      <c r="X200" s="18">
        <v>28</v>
      </c>
      <c r="Y200" s="18">
        <v>1757.45</v>
      </c>
      <c r="Z200" s="18">
        <v>0.66</v>
      </c>
      <c r="AA200" s="18">
        <v>1757.45</v>
      </c>
      <c r="AB200" s="18">
        <v>488.18</v>
      </c>
      <c r="AC200" s="18">
        <v>36460.468749732048</v>
      </c>
      <c r="AD200" s="18">
        <v>38223337.125132568</v>
      </c>
      <c r="AE200" s="18" t="s">
        <v>1074</v>
      </c>
    </row>
    <row r="201" spans="1:31" x14ac:dyDescent="0.2">
      <c r="A201" s="18">
        <v>200</v>
      </c>
      <c r="B201" s="18">
        <v>200</v>
      </c>
      <c r="C201" s="18">
        <v>200</v>
      </c>
      <c r="D201" s="18">
        <v>466</v>
      </c>
      <c r="E201" s="18" t="s">
        <v>299</v>
      </c>
      <c r="F201" s="18" t="s">
        <v>301</v>
      </c>
      <c r="G201" s="18">
        <v>5600</v>
      </c>
      <c r="H201" s="18">
        <v>0</v>
      </c>
      <c r="I201" s="18">
        <v>3.1</v>
      </c>
      <c r="J201" s="18">
        <v>90</v>
      </c>
      <c r="K201" s="18">
        <v>0</v>
      </c>
      <c r="L201" s="18">
        <v>8.06</v>
      </c>
      <c r="M201" s="18">
        <v>0.97</v>
      </c>
      <c r="N201" s="18">
        <v>0.97</v>
      </c>
      <c r="O201" s="18">
        <v>0</v>
      </c>
      <c r="P201" s="18">
        <v>0</v>
      </c>
      <c r="Q201" s="18">
        <v>1</v>
      </c>
      <c r="R201" s="18">
        <v>0</v>
      </c>
      <c r="S201" s="18">
        <v>0</v>
      </c>
      <c r="T201" s="18">
        <v>0</v>
      </c>
      <c r="U201" s="18">
        <v>13</v>
      </c>
      <c r="V201" s="18">
        <v>694.51</v>
      </c>
      <c r="W201" s="18">
        <v>0.5</v>
      </c>
      <c r="X201" s="18">
        <v>7</v>
      </c>
      <c r="Y201" s="18">
        <v>347.26</v>
      </c>
      <c r="Z201" s="18">
        <v>2.2599999999999998</v>
      </c>
      <c r="AA201" s="18">
        <v>347.26</v>
      </c>
      <c r="AB201" s="18">
        <v>96.46</v>
      </c>
      <c r="AC201" s="18">
        <v>23947.76092873708</v>
      </c>
      <c r="AD201" s="18">
        <v>18517352.505141702</v>
      </c>
      <c r="AE201" s="18" t="s">
        <v>1071</v>
      </c>
    </row>
    <row r="202" spans="1:31" x14ac:dyDescent="0.2">
      <c r="A202" s="18">
        <v>201</v>
      </c>
      <c r="B202" s="18">
        <v>201</v>
      </c>
      <c r="C202" s="18">
        <v>201</v>
      </c>
      <c r="D202" s="18">
        <v>467</v>
      </c>
      <c r="E202" s="18" t="s">
        <v>302</v>
      </c>
      <c r="F202" s="18" t="s">
        <v>304</v>
      </c>
      <c r="G202" s="18">
        <v>5600</v>
      </c>
      <c r="H202" s="18">
        <v>0</v>
      </c>
      <c r="I202" s="18">
        <v>30.53</v>
      </c>
      <c r="J202" s="18">
        <v>28.5</v>
      </c>
      <c r="K202" s="18">
        <v>0</v>
      </c>
      <c r="L202" s="18">
        <v>67.41</v>
      </c>
      <c r="M202" s="18">
        <v>2.88</v>
      </c>
      <c r="N202" s="18">
        <v>1.21</v>
      </c>
      <c r="O202" s="18">
        <v>0</v>
      </c>
      <c r="P202" s="18">
        <v>0</v>
      </c>
      <c r="Q202" s="18">
        <v>1</v>
      </c>
      <c r="R202" s="18">
        <v>0</v>
      </c>
      <c r="S202" s="18">
        <v>0</v>
      </c>
      <c r="T202" s="18">
        <v>0</v>
      </c>
      <c r="U202" s="18">
        <v>51</v>
      </c>
      <c r="V202" s="18">
        <v>2724.62</v>
      </c>
      <c r="W202" s="18">
        <v>0.5</v>
      </c>
      <c r="X202" s="18">
        <v>26</v>
      </c>
      <c r="Y202" s="18">
        <v>1362.31</v>
      </c>
      <c r="Z202" s="18">
        <v>0.85</v>
      </c>
      <c r="AA202" s="18">
        <v>1362.31</v>
      </c>
      <c r="AB202" s="18">
        <v>378.42</v>
      </c>
      <c r="AC202" s="18">
        <v>34293.034725550999</v>
      </c>
      <c r="AD202" s="18">
        <v>43735890.085161157</v>
      </c>
      <c r="AE202" s="18" t="s">
        <v>1071</v>
      </c>
    </row>
    <row r="203" spans="1:31" x14ac:dyDescent="0.2">
      <c r="A203" s="18">
        <v>202</v>
      </c>
      <c r="B203" s="18">
        <v>202</v>
      </c>
      <c r="C203" s="18">
        <v>202</v>
      </c>
      <c r="D203" s="18">
        <v>468</v>
      </c>
      <c r="E203" s="18" t="s">
        <v>317</v>
      </c>
      <c r="F203" s="18" t="s">
        <v>319</v>
      </c>
      <c r="G203" s="18">
        <v>5600</v>
      </c>
      <c r="H203" s="18">
        <v>0</v>
      </c>
      <c r="I203" s="18">
        <v>27.33</v>
      </c>
      <c r="J203" s="18">
        <v>72.7</v>
      </c>
      <c r="K203" s="18">
        <v>0</v>
      </c>
      <c r="L203" s="18">
        <v>21.15</v>
      </c>
      <c r="M203" s="18">
        <v>5.01</v>
      </c>
      <c r="N203" s="18">
        <v>1.1299999999999999</v>
      </c>
      <c r="O203" s="18">
        <v>0</v>
      </c>
      <c r="P203" s="18">
        <v>0</v>
      </c>
      <c r="Q203" s="18">
        <v>1</v>
      </c>
      <c r="R203" s="18">
        <v>0</v>
      </c>
      <c r="S203" s="18">
        <v>0</v>
      </c>
      <c r="T203" s="18">
        <v>0</v>
      </c>
      <c r="U203" s="18">
        <v>60</v>
      </c>
      <c r="V203" s="18">
        <v>3483.65</v>
      </c>
      <c r="W203" s="18">
        <v>0.5</v>
      </c>
      <c r="X203" s="18">
        <v>30</v>
      </c>
      <c r="Y203" s="18">
        <v>1741.82</v>
      </c>
      <c r="Z203" s="18">
        <v>1.1000000000000001</v>
      </c>
      <c r="AA203" s="18">
        <v>1741.82</v>
      </c>
      <c r="AB203" s="18">
        <v>483.84</v>
      </c>
      <c r="AC203" s="18">
        <v>36980.12511191237</v>
      </c>
      <c r="AD203" s="18">
        <v>50453790.890691541</v>
      </c>
      <c r="AE203" s="18" t="s">
        <v>1074</v>
      </c>
    </row>
    <row r="204" spans="1:31" x14ac:dyDescent="0.2">
      <c r="A204" s="18">
        <v>203</v>
      </c>
      <c r="B204" s="18">
        <v>203</v>
      </c>
      <c r="C204" s="18">
        <v>203</v>
      </c>
      <c r="D204" s="18">
        <v>469</v>
      </c>
      <c r="E204" s="18" t="s">
        <v>320</v>
      </c>
      <c r="F204" s="18" t="s">
        <v>322</v>
      </c>
      <c r="G204" s="18">
        <v>5600</v>
      </c>
      <c r="H204" s="18">
        <v>0</v>
      </c>
      <c r="I204" s="18">
        <v>11.16</v>
      </c>
      <c r="J204" s="18">
        <v>98.39</v>
      </c>
      <c r="K204" s="18">
        <v>0</v>
      </c>
      <c r="L204" s="18">
        <v>0.27</v>
      </c>
      <c r="M204" s="18">
        <v>0</v>
      </c>
      <c r="N204" s="18">
        <v>1.34</v>
      </c>
      <c r="O204" s="18">
        <v>0</v>
      </c>
      <c r="P204" s="18">
        <v>0</v>
      </c>
      <c r="Q204" s="18">
        <v>1</v>
      </c>
      <c r="R204" s="18">
        <v>0</v>
      </c>
      <c r="S204" s="18">
        <v>0</v>
      </c>
      <c r="T204" s="18">
        <v>0</v>
      </c>
      <c r="U204" s="18">
        <v>24</v>
      </c>
      <c r="V204" s="18">
        <v>1533.77</v>
      </c>
      <c r="W204" s="18">
        <v>0.5</v>
      </c>
      <c r="X204" s="18">
        <v>12</v>
      </c>
      <c r="Y204" s="18">
        <v>766.89</v>
      </c>
      <c r="Z204" s="18">
        <v>1.08</v>
      </c>
      <c r="AA204" s="18">
        <v>766.89</v>
      </c>
      <c r="AB204" s="18">
        <v>213.03</v>
      </c>
      <c r="AC204" s="18">
        <v>25543.126747828381</v>
      </c>
      <c r="AD204" s="18">
        <v>21619249.299088798</v>
      </c>
      <c r="AE204" s="18" t="s">
        <v>1074</v>
      </c>
    </row>
    <row r="205" spans="1:31" x14ac:dyDescent="0.2">
      <c r="A205" s="18">
        <v>204</v>
      </c>
      <c r="B205" s="18">
        <v>204</v>
      </c>
      <c r="C205" s="18">
        <v>204</v>
      </c>
      <c r="D205" s="18">
        <v>505</v>
      </c>
      <c r="E205" s="18" t="s">
        <v>440</v>
      </c>
      <c r="F205" s="18" t="s">
        <v>442</v>
      </c>
      <c r="G205" s="18">
        <v>5600</v>
      </c>
      <c r="H205" s="18">
        <v>0</v>
      </c>
      <c r="I205" s="18">
        <v>0.56000000000000005</v>
      </c>
      <c r="J205" s="18">
        <v>5.36</v>
      </c>
      <c r="K205" s="18">
        <v>10.71</v>
      </c>
      <c r="L205" s="18">
        <v>12.5</v>
      </c>
      <c r="M205" s="18">
        <v>48.21</v>
      </c>
      <c r="N205" s="18">
        <v>23.21</v>
      </c>
      <c r="O205" s="18">
        <v>0</v>
      </c>
      <c r="P205" s="18">
        <v>0</v>
      </c>
      <c r="Q205" s="18">
        <v>1</v>
      </c>
      <c r="R205" s="18">
        <v>0</v>
      </c>
      <c r="S205" s="18">
        <v>0</v>
      </c>
      <c r="T205" s="18">
        <v>0</v>
      </c>
      <c r="U205" s="18">
        <v>4</v>
      </c>
      <c r="V205" s="18">
        <v>232.24</v>
      </c>
      <c r="W205" s="18">
        <v>0.5</v>
      </c>
      <c r="X205" s="18">
        <v>2</v>
      </c>
      <c r="Y205" s="18">
        <v>116.12</v>
      </c>
      <c r="Z205" s="18">
        <v>3.57</v>
      </c>
      <c r="AA205" s="18">
        <v>116.12</v>
      </c>
      <c r="AB205" s="18">
        <v>32.26</v>
      </c>
      <c r="AC205" s="18">
        <v>19865.600603575011</v>
      </c>
      <c r="AD205" s="18">
        <v>21718294.59823389</v>
      </c>
      <c r="AE205" s="18" t="s">
        <v>1077</v>
      </c>
    </row>
    <row r="206" spans="1:31" x14ac:dyDescent="0.2">
      <c r="A206" s="18">
        <v>205</v>
      </c>
      <c r="B206" s="18">
        <v>205</v>
      </c>
      <c r="C206" s="18">
        <v>205</v>
      </c>
      <c r="D206" s="18">
        <v>471</v>
      </c>
      <c r="E206" s="18" t="s">
        <v>323</v>
      </c>
      <c r="F206" s="18" t="s">
        <v>325</v>
      </c>
      <c r="G206" s="18">
        <v>5600</v>
      </c>
      <c r="H206" s="18">
        <v>0</v>
      </c>
      <c r="I206" s="18">
        <v>14.79</v>
      </c>
      <c r="J206" s="18">
        <v>6.69</v>
      </c>
      <c r="K206" s="18">
        <v>7.0000000000000007E-2</v>
      </c>
      <c r="L206" s="18">
        <v>91.21</v>
      </c>
      <c r="M206" s="18">
        <v>0</v>
      </c>
      <c r="N206" s="18">
        <v>2.0299999999999998</v>
      </c>
      <c r="O206" s="18">
        <v>0</v>
      </c>
      <c r="P206" s="18">
        <v>0</v>
      </c>
      <c r="Q206" s="18">
        <v>1</v>
      </c>
      <c r="R206" s="18">
        <v>0</v>
      </c>
      <c r="S206" s="18">
        <v>0</v>
      </c>
      <c r="T206" s="18">
        <v>0</v>
      </c>
      <c r="U206" s="18">
        <v>28</v>
      </c>
      <c r="V206" s="18">
        <v>1495.87</v>
      </c>
      <c r="W206" s="18">
        <v>0.5</v>
      </c>
      <c r="X206" s="18">
        <v>14</v>
      </c>
      <c r="Y206" s="18">
        <v>747.94</v>
      </c>
      <c r="Z206" s="18">
        <v>0.95</v>
      </c>
      <c r="AA206" s="18">
        <v>747.94</v>
      </c>
      <c r="AB206" s="18">
        <v>207.76</v>
      </c>
      <c r="AC206" s="18">
        <v>44553.499717469138</v>
      </c>
      <c r="AD206" s="18">
        <v>48644833.150224254</v>
      </c>
      <c r="AE206" s="18" t="s">
        <v>1074</v>
      </c>
    </row>
    <row r="207" spans="1:31" x14ac:dyDescent="0.2">
      <c r="A207" s="18">
        <v>206</v>
      </c>
      <c r="B207" s="18">
        <v>206</v>
      </c>
      <c r="C207" s="18">
        <v>206</v>
      </c>
      <c r="D207" s="18">
        <v>475</v>
      </c>
      <c r="E207" s="18" t="s">
        <v>335</v>
      </c>
      <c r="F207" s="18" t="s">
        <v>337</v>
      </c>
      <c r="G207" s="18">
        <v>5600</v>
      </c>
      <c r="H207" s="18">
        <v>0</v>
      </c>
      <c r="I207" s="18">
        <v>3.36</v>
      </c>
      <c r="J207" s="18">
        <v>97.92</v>
      </c>
      <c r="K207" s="18">
        <v>0</v>
      </c>
      <c r="L207" s="18">
        <v>0</v>
      </c>
      <c r="M207" s="18">
        <v>2.08</v>
      </c>
      <c r="N207" s="18">
        <v>0</v>
      </c>
      <c r="O207" s="18">
        <v>0</v>
      </c>
      <c r="P207" s="18">
        <v>0</v>
      </c>
      <c r="Q207" s="18">
        <v>1</v>
      </c>
      <c r="R207" s="18">
        <v>0</v>
      </c>
      <c r="S207" s="18">
        <v>0</v>
      </c>
      <c r="T207" s="18">
        <v>0</v>
      </c>
      <c r="U207" s="18">
        <v>8</v>
      </c>
      <c r="V207" s="18">
        <v>511.26</v>
      </c>
      <c r="W207" s="18">
        <v>0.5</v>
      </c>
      <c r="X207" s="18">
        <v>4</v>
      </c>
      <c r="Y207" s="18">
        <v>255.63</v>
      </c>
      <c r="Z207" s="18">
        <v>1.19</v>
      </c>
      <c r="AA207" s="18">
        <v>255.63</v>
      </c>
      <c r="AB207" s="18">
        <v>71.010000000000005</v>
      </c>
      <c r="AC207" s="18">
        <v>31719.885398785918</v>
      </c>
      <c r="AD207" s="18">
        <v>44046174.048139103</v>
      </c>
      <c r="AE207" s="18" t="s">
        <v>1076</v>
      </c>
    </row>
    <row r="208" spans="1:31" x14ac:dyDescent="0.2">
      <c r="A208" s="18">
        <v>207</v>
      </c>
      <c r="B208" s="18">
        <v>207</v>
      </c>
      <c r="C208" s="18">
        <v>207</v>
      </c>
      <c r="D208" s="18">
        <v>477</v>
      </c>
      <c r="E208" s="18" t="s">
        <v>1102</v>
      </c>
      <c r="F208" s="18" t="s">
        <v>1103</v>
      </c>
      <c r="G208" s="18">
        <v>5600</v>
      </c>
      <c r="H208" s="18">
        <v>0</v>
      </c>
      <c r="I208" s="18">
        <v>44.67</v>
      </c>
      <c r="J208" s="18">
        <v>98.41</v>
      </c>
      <c r="K208" s="18">
        <v>0</v>
      </c>
      <c r="L208" s="18">
        <v>0</v>
      </c>
      <c r="M208" s="18">
        <v>1.23</v>
      </c>
      <c r="N208" s="18">
        <v>0.36</v>
      </c>
      <c r="O208" s="18">
        <v>0</v>
      </c>
      <c r="P208" s="18">
        <v>0</v>
      </c>
      <c r="Q208" s="18">
        <v>1</v>
      </c>
      <c r="R208" s="18">
        <v>0</v>
      </c>
      <c r="S208" s="18">
        <v>0</v>
      </c>
      <c r="T208" s="18">
        <v>0</v>
      </c>
      <c r="U208" s="18">
        <v>96</v>
      </c>
      <c r="V208" s="18">
        <v>6773.76</v>
      </c>
      <c r="W208" s="18">
        <v>0.5</v>
      </c>
      <c r="X208" s="18">
        <v>48</v>
      </c>
      <c r="Y208" s="18">
        <v>3386.88</v>
      </c>
      <c r="Z208" s="18">
        <v>1.07</v>
      </c>
      <c r="AA208" s="18">
        <v>3386.88</v>
      </c>
      <c r="AB208" s="18">
        <v>940.8</v>
      </c>
      <c r="AC208" s="18">
        <v>38548.506913100908</v>
      </c>
      <c r="AD208" s="18">
        <v>72081222.810501561</v>
      </c>
      <c r="AE208" s="18" t="s">
        <v>1076</v>
      </c>
    </row>
    <row r="209" spans="1:31" x14ac:dyDescent="0.2">
      <c r="A209" s="18">
        <v>208</v>
      </c>
      <c r="B209" s="18">
        <v>208</v>
      </c>
      <c r="C209" s="18">
        <v>208</v>
      </c>
      <c r="D209" s="18">
        <v>478</v>
      </c>
      <c r="E209" s="18" t="s">
        <v>341</v>
      </c>
      <c r="F209" s="18" t="s">
        <v>343</v>
      </c>
      <c r="G209" s="18">
        <v>5600</v>
      </c>
      <c r="H209" s="18">
        <v>0</v>
      </c>
      <c r="I209" s="18">
        <v>97.28</v>
      </c>
      <c r="J209" s="18">
        <v>17.66</v>
      </c>
      <c r="K209" s="18">
        <v>0.2</v>
      </c>
      <c r="L209" s="18">
        <v>80.86</v>
      </c>
      <c r="M209" s="18">
        <v>0.89</v>
      </c>
      <c r="N209" s="18">
        <v>0.39</v>
      </c>
      <c r="O209" s="18">
        <v>0</v>
      </c>
      <c r="P209" s="18">
        <v>0</v>
      </c>
      <c r="Q209" s="18">
        <v>1</v>
      </c>
      <c r="R209" s="18">
        <v>0</v>
      </c>
      <c r="S209" s="18">
        <v>0</v>
      </c>
      <c r="T209" s="18">
        <v>0</v>
      </c>
      <c r="U209" s="18">
        <v>132</v>
      </c>
      <c r="V209" s="18">
        <v>10245.31</v>
      </c>
      <c r="W209" s="18">
        <v>0.5</v>
      </c>
      <c r="X209" s="18">
        <v>66</v>
      </c>
      <c r="Y209" s="18">
        <v>5122.66</v>
      </c>
      <c r="Z209" s="18">
        <v>0.68</v>
      </c>
      <c r="AA209" s="18">
        <v>5122.66</v>
      </c>
      <c r="AB209" s="18">
        <v>1422.96</v>
      </c>
      <c r="AC209" s="18">
        <v>52867.837214396772</v>
      </c>
      <c r="AD209" s="18">
        <v>99417375.299285159</v>
      </c>
      <c r="AE209" s="18" t="s">
        <v>1075</v>
      </c>
    </row>
    <row r="210" spans="1:31" x14ac:dyDescent="0.2">
      <c r="A210" s="18">
        <v>209</v>
      </c>
      <c r="B210" s="18">
        <v>209</v>
      </c>
      <c r="C210" s="18">
        <v>209</v>
      </c>
      <c r="D210" s="18">
        <v>479</v>
      </c>
      <c r="E210" s="18" t="s">
        <v>344</v>
      </c>
      <c r="F210" s="18" t="s">
        <v>346</v>
      </c>
      <c r="G210" s="18">
        <v>5600</v>
      </c>
      <c r="H210" s="18">
        <v>0</v>
      </c>
      <c r="I210" s="18">
        <v>0.37</v>
      </c>
      <c r="J210" s="18">
        <v>32.43</v>
      </c>
      <c r="K210" s="18">
        <v>64.86</v>
      </c>
      <c r="L210" s="18">
        <v>2.7</v>
      </c>
      <c r="M210" s="18">
        <v>0</v>
      </c>
      <c r="N210" s="18">
        <v>0</v>
      </c>
      <c r="O210" s="18">
        <v>0</v>
      </c>
      <c r="P210" s="18">
        <v>0</v>
      </c>
      <c r="Q210" s="18">
        <v>1</v>
      </c>
      <c r="R210" s="18">
        <v>0</v>
      </c>
      <c r="S210" s="18">
        <v>0</v>
      </c>
      <c r="T210" s="18">
        <v>0</v>
      </c>
      <c r="U210" s="18">
        <v>4</v>
      </c>
      <c r="V210" s="18">
        <v>282.24</v>
      </c>
      <c r="W210" s="18">
        <v>0.5</v>
      </c>
      <c r="X210" s="18">
        <v>2</v>
      </c>
      <c r="Y210" s="18">
        <v>141.12</v>
      </c>
      <c r="Z210" s="18">
        <v>5.41</v>
      </c>
      <c r="AA210" s="18">
        <v>141.12</v>
      </c>
      <c r="AB210" s="18">
        <v>39.200000000000003</v>
      </c>
      <c r="AC210" s="18">
        <v>25849.435350051819</v>
      </c>
      <c r="AD210" s="18">
        <v>18827058.538789108</v>
      </c>
      <c r="AE210" s="18" t="s">
        <v>1076</v>
      </c>
    </row>
    <row r="211" spans="1:31" x14ac:dyDescent="0.2">
      <c r="A211" s="18">
        <v>210</v>
      </c>
      <c r="B211" s="18">
        <v>210</v>
      </c>
      <c r="C211" s="18">
        <v>210</v>
      </c>
      <c r="D211" s="18">
        <v>480</v>
      </c>
      <c r="E211" s="18" t="s">
        <v>350</v>
      </c>
      <c r="F211" s="18" t="s">
        <v>352</v>
      </c>
      <c r="G211" s="18">
        <v>5600</v>
      </c>
      <c r="H211" s="18">
        <v>0</v>
      </c>
      <c r="I211" s="18">
        <v>35.04</v>
      </c>
      <c r="J211" s="18">
        <v>0.54</v>
      </c>
      <c r="K211" s="18">
        <v>0</v>
      </c>
      <c r="L211" s="18">
        <v>95.72</v>
      </c>
      <c r="M211" s="18">
        <v>1.83</v>
      </c>
      <c r="N211" s="18">
        <v>1.91</v>
      </c>
      <c r="O211" s="18">
        <v>0</v>
      </c>
      <c r="P211" s="18">
        <v>0</v>
      </c>
      <c r="Q211" s="18">
        <v>1</v>
      </c>
      <c r="R211" s="18">
        <v>0</v>
      </c>
      <c r="S211" s="18">
        <v>0</v>
      </c>
      <c r="T211" s="18">
        <v>0</v>
      </c>
      <c r="U211" s="18">
        <v>44</v>
      </c>
      <c r="V211" s="18">
        <v>3104.64</v>
      </c>
      <c r="W211" s="18">
        <v>0.5</v>
      </c>
      <c r="X211" s="18">
        <v>22</v>
      </c>
      <c r="Y211" s="18">
        <v>1552.32</v>
      </c>
      <c r="Z211" s="18">
        <v>0.63</v>
      </c>
      <c r="AA211" s="18">
        <v>1552.32</v>
      </c>
      <c r="AB211" s="18">
        <v>431.2</v>
      </c>
      <c r="AC211" s="18">
        <v>43226.949754424932</v>
      </c>
      <c r="AD211" s="18">
        <v>40424309.442319714</v>
      </c>
      <c r="AE211" s="18" t="s">
        <v>1076</v>
      </c>
    </row>
    <row r="212" spans="1:31" x14ac:dyDescent="0.2">
      <c r="A212" s="18">
        <v>211</v>
      </c>
      <c r="B212" s="18">
        <v>211</v>
      </c>
      <c r="C212" s="18">
        <v>211</v>
      </c>
      <c r="D212" s="18">
        <v>483</v>
      </c>
      <c r="E212" s="18" t="s">
        <v>365</v>
      </c>
      <c r="F212" s="18" t="s">
        <v>367</v>
      </c>
      <c r="G212" s="18">
        <v>5600</v>
      </c>
      <c r="H212" s="18">
        <v>0</v>
      </c>
      <c r="I212" s="18">
        <v>0.57999999999999996</v>
      </c>
      <c r="J212" s="18">
        <v>77.59</v>
      </c>
      <c r="K212" s="18">
        <v>0</v>
      </c>
      <c r="L212" s="18">
        <v>13.79</v>
      </c>
      <c r="M212" s="18">
        <v>8.6199999999999992</v>
      </c>
      <c r="N212" s="18">
        <v>0</v>
      </c>
      <c r="O212" s="18">
        <v>0</v>
      </c>
      <c r="P212" s="18">
        <v>0</v>
      </c>
      <c r="Q212" s="18">
        <v>1</v>
      </c>
      <c r="R212" s="18">
        <v>0</v>
      </c>
      <c r="S212" s="18">
        <v>0</v>
      </c>
      <c r="T212" s="18">
        <v>0</v>
      </c>
      <c r="U212" s="18">
        <v>3</v>
      </c>
      <c r="V212" s="18">
        <v>191.72</v>
      </c>
      <c r="W212" s="18">
        <v>0.5</v>
      </c>
      <c r="X212" s="18">
        <v>2</v>
      </c>
      <c r="Y212" s="18">
        <v>95.86</v>
      </c>
      <c r="Z212" s="18">
        <v>3.45</v>
      </c>
      <c r="AA212" s="18">
        <v>95.86</v>
      </c>
      <c r="AB212" s="18">
        <v>26.63</v>
      </c>
      <c r="AC212" s="18">
        <v>30284.37519834458</v>
      </c>
      <c r="AD212" s="18">
        <v>32094744.548561409</v>
      </c>
      <c r="AE212" s="18" t="s">
        <v>1076</v>
      </c>
    </row>
    <row r="213" spans="1:31" x14ac:dyDescent="0.2">
      <c r="A213" s="18">
        <v>212</v>
      </c>
      <c r="B213" s="18">
        <v>212</v>
      </c>
      <c r="C213" s="18">
        <v>212</v>
      </c>
      <c r="D213" s="18">
        <v>485</v>
      </c>
      <c r="E213" s="18" t="s">
        <v>371</v>
      </c>
      <c r="F213" s="18" t="s">
        <v>373</v>
      </c>
      <c r="G213" s="18">
        <v>5600</v>
      </c>
      <c r="H213" s="18">
        <v>0</v>
      </c>
      <c r="I213" s="18">
        <v>20.8</v>
      </c>
      <c r="J213" s="18">
        <v>1.39</v>
      </c>
      <c r="K213" s="18">
        <v>10.1</v>
      </c>
      <c r="L213" s="18">
        <v>88.46</v>
      </c>
      <c r="M213" s="18">
        <v>0</v>
      </c>
      <c r="N213" s="18">
        <v>0.05</v>
      </c>
      <c r="O213" s="18">
        <v>0</v>
      </c>
      <c r="P213" s="18">
        <v>0</v>
      </c>
      <c r="Q213" s="18">
        <v>1</v>
      </c>
      <c r="R213" s="18">
        <v>0</v>
      </c>
      <c r="S213" s="18">
        <v>0</v>
      </c>
      <c r="T213" s="18">
        <v>0</v>
      </c>
      <c r="U213" s="18">
        <v>28</v>
      </c>
      <c r="V213" s="18">
        <v>1975.68</v>
      </c>
      <c r="W213" s="18">
        <v>0.5</v>
      </c>
      <c r="X213" s="18">
        <v>14</v>
      </c>
      <c r="Y213" s="18">
        <v>987.84</v>
      </c>
      <c r="Z213" s="18">
        <v>0.67</v>
      </c>
      <c r="AA213" s="18">
        <v>987.84</v>
      </c>
      <c r="AB213" s="18">
        <v>274.39999999999998</v>
      </c>
      <c r="AC213" s="18">
        <v>29144.88699592539</v>
      </c>
      <c r="AD213" s="18">
        <v>27855743.67805922</v>
      </c>
      <c r="AE213" s="18" t="s">
        <v>1076</v>
      </c>
    </row>
    <row r="214" spans="1:31" x14ac:dyDescent="0.2">
      <c r="A214" s="18">
        <v>213</v>
      </c>
      <c r="B214" s="18">
        <v>213</v>
      </c>
      <c r="C214" s="18">
        <v>213</v>
      </c>
      <c r="D214" s="18">
        <v>488</v>
      </c>
      <c r="E214" s="18" t="s">
        <v>377</v>
      </c>
      <c r="F214" s="18" t="s">
        <v>379</v>
      </c>
      <c r="G214" s="18">
        <v>5600</v>
      </c>
      <c r="H214" s="18">
        <v>0</v>
      </c>
      <c r="I214" s="18">
        <v>4.33</v>
      </c>
      <c r="J214" s="18">
        <v>95.84</v>
      </c>
      <c r="K214" s="18">
        <v>0</v>
      </c>
      <c r="L214" s="18">
        <v>0</v>
      </c>
      <c r="M214" s="18">
        <v>2.77</v>
      </c>
      <c r="N214" s="18">
        <v>1.39</v>
      </c>
      <c r="O214" s="18">
        <v>0</v>
      </c>
      <c r="P214" s="18">
        <v>0</v>
      </c>
      <c r="Q214" s="18">
        <v>1</v>
      </c>
      <c r="R214" s="18">
        <v>0</v>
      </c>
      <c r="S214" s="18">
        <v>0</v>
      </c>
      <c r="T214" s="18">
        <v>0</v>
      </c>
      <c r="U214" s="18">
        <v>6</v>
      </c>
      <c r="V214" s="18">
        <v>423.36</v>
      </c>
      <c r="W214" s="18">
        <v>0.5</v>
      </c>
      <c r="X214" s="18">
        <v>3</v>
      </c>
      <c r="Y214" s="18">
        <v>211.68</v>
      </c>
      <c r="Z214" s="18">
        <v>0.69</v>
      </c>
      <c r="AA214" s="18">
        <v>211.68</v>
      </c>
      <c r="AB214" s="18">
        <v>58.8</v>
      </c>
      <c r="AC214" s="18">
        <v>20440.712591446529</v>
      </c>
      <c r="AD214" s="18">
        <v>18990277.928257018</v>
      </c>
      <c r="AE214" s="18" t="s">
        <v>1075</v>
      </c>
    </row>
    <row r="215" spans="1:31" x14ac:dyDescent="0.2">
      <c r="A215" s="18">
        <v>214</v>
      </c>
      <c r="B215" s="18">
        <v>214</v>
      </c>
      <c r="C215" s="18">
        <v>214</v>
      </c>
      <c r="D215" s="18">
        <v>490</v>
      </c>
      <c r="E215" s="18" t="s">
        <v>383</v>
      </c>
      <c r="F215" s="18" t="s">
        <v>385</v>
      </c>
      <c r="G215" s="18">
        <v>5600</v>
      </c>
      <c r="H215" s="18">
        <v>0</v>
      </c>
      <c r="I215" s="18">
        <v>9.93</v>
      </c>
      <c r="J215" s="18">
        <v>8.06</v>
      </c>
      <c r="K215" s="18">
        <v>0</v>
      </c>
      <c r="L215" s="18">
        <v>86.4</v>
      </c>
      <c r="M215" s="18">
        <v>3.73</v>
      </c>
      <c r="N215" s="18">
        <v>1.81</v>
      </c>
      <c r="O215" s="18">
        <v>0</v>
      </c>
      <c r="P215" s="18">
        <v>0</v>
      </c>
      <c r="Q215" s="18">
        <v>1</v>
      </c>
      <c r="R215" s="18">
        <v>0</v>
      </c>
      <c r="S215" s="18">
        <v>0</v>
      </c>
      <c r="T215" s="18">
        <v>0</v>
      </c>
      <c r="U215" s="18">
        <v>22</v>
      </c>
      <c r="V215" s="18">
        <v>1175.33</v>
      </c>
      <c r="W215" s="18">
        <v>0.5</v>
      </c>
      <c r="X215" s="18">
        <v>11</v>
      </c>
      <c r="Y215" s="18">
        <v>587.66</v>
      </c>
      <c r="Z215" s="18">
        <v>1.1100000000000001</v>
      </c>
      <c r="AA215" s="18">
        <v>587.66</v>
      </c>
      <c r="AB215" s="18">
        <v>163.24</v>
      </c>
      <c r="AC215" s="18">
        <v>44835.665804493372</v>
      </c>
      <c r="AD215" s="18">
        <v>46450221.673191741</v>
      </c>
      <c r="AE215" s="18" t="s">
        <v>1076</v>
      </c>
    </row>
    <row r="216" spans="1:31" x14ac:dyDescent="0.2">
      <c r="A216" s="18">
        <v>215</v>
      </c>
      <c r="B216" s="18">
        <v>215</v>
      </c>
      <c r="C216" s="18">
        <v>215</v>
      </c>
      <c r="D216" s="18">
        <v>492</v>
      </c>
      <c r="E216" s="18" t="s">
        <v>410</v>
      </c>
      <c r="F216" s="18" t="s">
        <v>412</v>
      </c>
      <c r="G216" s="18">
        <v>5600</v>
      </c>
      <c r="H216" s="18">
        <v>0</v>
      </c>
      <c r="I216" s="18">
        <v>4.9000000000000004</v>
      </c>
      <c r="J216" s="18">
        <v>21.63</v>
      </c>
      <c r="K216" s="18">
        <v>0</v>
      </c>
      <c r="L216" s="18">
        <v>66.53</v>
      </c>
      <c r="M216" s="18">
        <v>1.84</v>
      </c>
      <c r="N216" s="18">
        <v>10</v>
      </c>
      <c r="O216" s="18">
        <v>0</v>
      </c>
      <c r="P216" s="18">
        <v>0</v>
      </c>
      <c r="Q216" s="18">
        <v>1</v>
      </c>
      <c r="R216" s="18">
        <v>0</v>
      </c>
      <c r="S216" s="18">
        <v>0</v>
      </c>
      <c r="T216" s="18">
        <v>0</v>
      </c>
      <c r="U216" s="18">
        <v>9</v>
      </c>
      <c r="V216" s="18">
        <v>575.16</v>
      </c>
      <c r="W216" s="18">
        <v>0.5</v>
      </c>
      <c r="X216" s="18">
        <v>5</v>
      </c>
      <c r="Y216" s="18">
        <v>287.58</v>
      </c>
      <c r="Z216" s="18">
        <v>1.02</v>
      </c>
      <c r="AA216" s="18">
        <v>287.58</v>
      </c>
      <c r="AB216" s="18">
        <v>79.88</v>
      </c>
      <c r="AC216" s="18">
        <v>23663.468685171421</v>
      </c>
      <c r="AD216" s="18">
        <v>24562555.40501697</v>
      </c>
      <c r="AE216" s="18" t="s">
        <v>1076</v>
      </c>
    </row>
    <row r="217" spans="1:31" x14ac:dyDescent="0.2">
      <c r="A217" s="18">
        <v>216</v>
      </c>
      <c r="B217" s="18">
        <v>216</v>
      </c>
      <c r="C217" s="18">
        <v>216</v>
      </c>
      <c r="D217" s="18">
        <v>538</v>
      </c>
      <c r="E217" s="18" t="s">
        <v>518</v>
      </c>
      <c r="F217" s="18" t="s">
        <v>520</v>
      </c>
      <c r="G217" s="18">
        <v>5600</v>
      </c>
      <c r="H217" s="18">
        <v>0</v>
      </c>
      <c r="I217" s="18">
        <v>0.32</v>
      </c>
      <c r="J217" s="18">
        <v>0</v>
      </c>
      <c r="K217" s="18">
        <v>59.38</v>
      </c>
      <c r="L217" s="18">
        <v>0</v>
      </c>
      <c r="M217" s="18">
        <v>40.630000000000003</v>
      </c>
      <c r="N217" s="18">
        <v>0</v>
      </c>
      <c r="O217" s="18">
        <v>0</v>
      </c>
      <c r="P217" s="18">
        <v>0</v>
      </c>
      <c r="Q217" s="18">
        <v>1</v>
      </c>
      <c r="R217" s="18">
        <v>0</v>
      </c>
      <c r="S217" s="18">
        <v>0</v>
      </c>
      <c r="T217" s="18">
        <v>0</v>
      </c>
      <c r="U217" s="18">
        <v>2</v>
      </c>
      <c r="V217" s="18">
        <v>116.12</v>
      </c>
      <c r="W217" s="18">
        <v>0.5</v>
      </c>
      <c r="X217" s="18">
        <v>1</v>
      </c>
      <c r="Y217" s="18">
        <v>58.06</v>
      </c>
      <c r="Z217" s="18">
        <v>3.13</v>
      </c>
      <c r="AA217" s="18">
        <v>58.06</v>
      </c>
      <c r="AB217" s="18">
        <v>16.13</v>
      </c>
      <c r="AC217" s="18">
        <v>23166.18723674272</v>
      </c>
      <c r="AD217" s="18">
        <v>19888824.637497678</v>
      </c>
      <c r="AE217" s="18" t="s">
        <v>1077</v>
      </c>
    </row>
    <row r="218" spans="1:31" x14ac:dyDescent="0.2">
      <c r="A218" s="18">
        <v>217</v>
      </c>
      <c r="B218" s="18">
        <v>217</v>
      </c>
      <c r="C218" s="18">
        <v>217</v>
      </c>
      <c r="D218" s="18">
        <v>493</v>
      </c>
      <c r="E218" s="18" t="s">
        <v>392</v>
      </c>
      <c r="F218" s="18" t="s">
        <v>394</v>
      </c>
      <c r="G218" s="18">
        <v>5600</v>
      </c>
      <c r="H218" s="18">
        <v>0</v>
      </c>
      <c r="I218" s="18">
        <v>24.2</v>
      </c>
      <c r="J218" s="18">
        <v>59.3</v>
      </c>
      <c r="K218" s="18">
        <v>0</v>
      </c>
      <c r="L218" s="18">
        <v>21.94</v>
      </c>
      <c r="M218" s="18">
        <v>18.39</v>
      </c>
      <c r="N218" s="18">
        <v>0.37</v>
      </c>
      <c r="O218" s="18">
        <v>0</v>
      </c>
      <c r="P218" s="18">
        <v>0</v>
      </c>
      <c r="Q218" s="18">
        <v>1</v>
      </c>
      <c r="R218" s="18">
        <v>0</v>
      </c>
      <c r="S218" s="18">
        <v>0</v>
      </c>
      <c r="T218" s="18">
        <v>0</v>
      </c>
      <c r="U218" s="18">
        <v>37</v>
      </c>
      <c r="V218" s="18">
        <v>2364.5700000000002</v>
      </c>
      <c r="W218" s="18">
        <v>0.5</v>
      </c>
      <c r="X218" s="18">
        <v>19</v>
      </c>
      <c r="Y218" s="18">
        <v>1182.28</v>
      </c>
      <c r="Z218" s="18">
        <v>0.79</v>
      </c>
      <c r="AA218" s="18">
        <v>1182.28</v>
      </c>
      <c r="AB218" s="18">
        <v>328.41</v>
      </c>
      <c r="AC218" s="18">
        <v>22419.132320798901</v>
      </c>
      <c r="AD218" s="18">
        <v>26495033.955549121</v>
      </c>
      <c r="AE218" s="18" t="s">
        <v>1076</v>
      </c>
    </row>
    <row r="219" spans="1:31" x14ac:dyDescent="0.2">
      <c r="A219" s="18">
        <v>218</v>
      </c>
      <c r="B219" s="18">
        <v>218</v>
      </c>
      <c r="C219" s="18">
        <v>218</v>
      </c>
      <c r="D219" s="18">
        <v>495</v>
      </c>
      <c r="E219" s="18" t="s">
        <v>1106</v>
      </c>
      <c r="F219" s="18" t="s">
        <v>1107</v>
      </c>
      <c r="G219" s="18">
        <v>5600</v>
      </c>
      <c r="H219" s="18">
        <v>0</v>
      </c>
      <c r="I219" s="18">
        <v>6.68</v>
      </c>
      <c r="J219" s="18">
        <v>46.41</v>
      </c>
      <c r="K219" s="18">
        <v>0.75</v>
      </c>
      <c r="L219" s="18">
        <v>16.32</v>
      </c>
      <c r="M219" s="18">
        <v>26.05</v>
      </c>
      <c r="N219" s="18">
        <v>10.48</v>
      </c>
      <c r="O219" s="18">
        <v>0</v>
      </c>
      <c r="P219" s="18">
        <v>0</v>
      </c>
      <c r="Q219" s="18">
        <v>1</v>
      </c>
      <c r="R219" s="18">
        <v>0</v>
      </c>
      <c r="S219" s="18">
        <v>0</v>
      </c>
      <c r="T219" s="18">
        <v>0</v>
      </c>
      <c r="U219" s="18">
        <v>16</v>
      </c>
      <c r="V219" s="18">
        <v>1128.96</v>
      </c>
      <c r="W219" s="18">
        <v>0.5</v>
      </c>
      <c r="X219" s="18">
        <v>8</v>
      </c>
      <c r="Y219" s="18">
        <v>564.48</v>
      </c>
      <c r="Z219" s="18">
        <v>1.2</v>
      </c>
      <c r="AA219" s="18">
        <v>564.48</v>
      </c>
      <c r="AB219" s="18">
        <v>156.80000000000001</v>
      </c>
      <c r="AC219" s="18">
        <v>30291.234201717951</v>
      </c>
      <c r="AD219" s="18">
        <v>26994397.213095412</v>
      </c>
      <c r="AE219" s="18" t="s">
        <v>1075</v>
      </c>
    </row>
    <row r="220" spans="1:31" x14ac:dyDescent="0.2">
      <c r="A220" s="18">
        <v>219</v>
      </c>
      <c r="B220" s="18">
        <v>219</v>
      </c>
      <c r="C220" s="18">
        <v>219</v>
      </c>
      <c r="D220" s="18">
        <v>555</v>
      </c>
      <c r="E220" s="18" t="s">
        <v>614</v>
      </c>
      <c r="F220" s="18" t="s">
        <v>616</v>
      </c>
      <c r="G220" s="18">
        <v>5600</v>
      </c>
      <c r="H220" s="18">
        <v>0</v>
      </c>
      <c r="I220" s="18">
        <v>44.36</v>
      </c>
      <c r="J220" s="18">
        <v>95.83</v>
      </c>
      <c r="K220" s="18">
        <v>0.09</v>
      </c>
      <c r="L220" s="18">
        <v>2.68</v>
      </c>
      <c r="M220" s="18">
        <v>1.06</v>
      </c>
      <c r="N220" s="18">
        <v>0.34</v>
      </c>
      <c r="O220" s="18">
        <v>0</v>
      </c>
      <c r="P220" s="18">
        <v>0</v>
      </c>
      <c r="Q220" s="18">
        <v>1</v>
      </c>
      <c r="R220" s="18">
        <v>0</v>
      </c>
      <c r="S220" s="18">
        <v>0</v>
      </c>
      <c r="T220" s="18">
        <v>0</v>
      </c>
      <c r="U220" s="18">
        <v>68</v>
      </c>
      <c r="V220" s="18">
        <v>4345.6899999999996</v>
      </c>
      <c r="W220" s="18">
        <v>0.5</v>
      </c>
      <c r="X220" s="18">
        <v>34</v>
      </c>
      <c r="Y220" s="18">
        <v>2172.84</v>
      </c>
      <c r="Z220" s="18">
        <v>0.77</v>
      </c>
      <c r="AA220" s="18">
        <v>2172.84</v>
      </c>
      <c r="AB220" s="18">
        <v>603.57000000000005</v>
      </c>
      <c r="AC220" s="18">
        <v>35532.568811838268</v>
      </c>
      <c r="AD220" s="18">
        <v>50200748.391646937</v>
      </c>
      <c r="AE220" s="18" t="s">
        <v>1086</v>
      </c>
    </row>
    <row r="221" spans="1:31" x14ac:dyDescent="0.2">
      <c r="A221" s="18">
        <v>220</v>
      </c>
      <c r="B221" s="18">
        <v>220</v>
      </c>
      <c r="C221" s="18">
        <v>220</v>
      </c>
      <c r="D221" s="18">
        <v>498</v>
      </c>
      <c r="E221" s="18" t="s">
        <v>401</v>
      </c>
      <c r="F221" s="18" t="s">
        <v>403</v>
      </c>
      <c r="G221" s="18">
        <v>5600</v>
      </c>
      <c r="H221" s="18">
        <v>0</v>
      </c>
      <c r="I221" s="18">
        <v>11.54</v>
      </c>
      <c r="J221" s="18">
        <v>29.46</v>
      </c>
      <c r="K221" s="18">
        <v>0</v>
      </c>
      <c r="L221" s="18">
        <v>16.46</v>
      </c>
      <c r="M221" s="18">
        <v>43.24</v>
      </c>
      <c r="N221" s="18">
        <v>10.83</v>
      </c>
      <c r="O221" s="18">
        <v>0</v>
      </c>
      <c r="P221" s="18">
        <v>0</v>
      </c>
      <c r="Q221" s="18">
        <v>1</v>
      </c>
      <c r="R221" s="18">
        <v>0</v>
      </c>
      <c r="S221" s="18">
        <v>0</v>
      </c>
      <c r="T221" s="18">
        <v>0</v>
      </c>
      <c r="U221" s="18">
        <v>16</v>
      </c>
      <c r="V221" s="18">
        <v>1022.52</v>
      </c>
      <c r="W221" s="18">
        <v>0.5</v>
      </c>
      <c r="X221" s="18">
        <v>8</v>
      </c>
      <c r="Y221" s="18">
        <v>511.26</v>
      </c>
      <c r="Z221" s="18">
        <v>0.69</v>
      </c>
      <c r="AA221" s="18">
        <v>511.26</v>
      </c>
      <c r="AB221" s="18">
        <v>142.02000000000001</v>
      </c>
      <c r="AC221" s="18">
        <v>18698.540706338488</v>
      </c>
      <c r="AD221" s="18">
        <v>16127327.75880632</v>
      </c>
      <c r="AE221" s="18" t="s">
        <v>1076</v>
      </c>
    </row>
    <row r="222" spans="1:31" x14ac:dyDescent="0.2">
      <c r="A222" s="18">
        <v>221</v>
      </c>
      <c r="B222" s="18">
        <v>221</v>
      </c>
      <c r="C222" s="18">
        <v>221</v>
      </c>
      <c r="D222" s="18">
        <v>499</v>
      </c>
      <c r="E222" s="18" t="s">
        <v>434</v>
      </c>
      <c r="F222" s="18" t="s">
        <v>436</v>
      </c>
      <c r="G222" s="18">
        <v>5600</v>
      </c>
      <c r="H222" s="18">
        <v>0</v>
      </c>
      <c r="I222" s="18">
        <v>0.62</v>
      </c>
      <c r="J222" s="18">
        <v>87.1</v>
      </c>
      <c r="K222" s="18">
        <v>4.84</v>
      </c>
      <c r="L222" s="18">
        <v>0</v>
      </c>
      <c r="M222" s="18">
        <v>8.06</v>
      </c>
      <c r="N222" s="18">
        <v>0</v>
      </c>
      <c r="O222" s="18">
        <v>0</v>
      </c>
      <c r="P222" s="18">
        <v>0</v>
      </c>
      <c r="Q222" s="18">
        <v>1</v>
      </c>
      <c r="R222" s="18">
        <v>0</v>
      </c>
      <c r="S222" s="18">
        <v>0</v>
      </c>
      <c r="T222" s="18">
        <v>0</v>
      </c>
      <c r="U222" s="18">
        <v>3</v>
      </c>
      <c r="V222" s="18">
        <v>174.18</v>
      </c>
      <c r="W222" s="18">
        <v>0.5</v>
      </c>
      <c r="X222" s="18">
        <v>2</v>
      </c>
      <c r="Y222" s="18">
        <v>87.09</v>
      </c>
      <c r="Z222" s="18">
        <v>3.23</v>
      </c>
      <c r="AA222" s="18">
        <v>87.09</v>
      </c>
      <c r="AB222" s="18">
        <v>24.19</v>
      </c>
      <c r="AC222" s="18">
        <v>17064.7164095763</v>
      </c>
      <c r="AD222" s="18">
        <v>9960219.6985473782</v>
      </c>
      <c r="AE222" s="18" t="s">
        <v>1101</v>
      </c>
    </row>
    <row r="223" spans="1:31" x14ac:dyDescent="0.2">
      <c r="A223" s="18">
        <v>222</v>
      </c>
      <c r="B223" s="18">
        <v>222</v>
      </c>
      <c r="C223" s="18">
        <v>222</v>
      </c>
      <c r="D223" s="18">
        <v>500</v>
      </c>
      <c r="E223" s="18" t="s">
        <v>404</v>
      </c>
      <c r="F223" s="18" t="s">
        <v>406</v>
      </c>
      <c r="G223" s="18">
        <v>5600</v>
      </c>
      <c r="H223" s="18">
        <v>0</v>
      </c>
      <c r="I223" s="18">
        <v>17.79</v>
      </c>
      <c r="J223" s="18">
        <v>98.26</v>
      </c>
      <c r="K223" s="18">
        <v>0</v>
      </c>
      <c r="L223" s="18">
        <v>0.22</v>
      </c>
      <c r="M223" s="18">
        <v>0.62</v>
      </c>
      <c r="N223" s="18">
        <v>0.9</v>
      </c>
      <c r="O223" s="18">
        <v>0</v>
      </c>
      <c r="P223" s="18">
        <v>0</v>
      </c>
      <c r="Q223" s="18">
        <v>1</v>
      </c>
      <c r="R223" s="18">
        <v>0</v>
      </c>
      <c r="S223" s="18">
        <v>0</v>
      </c>
      <c r="T223" s="18">
        <v>0</v>
      </c>
      <c r="U223" s="18">
        <v>45</v>
      </c>
      <c r="V223" s="18">
        <v>3175.2</v>
      </c>
      <c r="W223" s="18">
        <v>0.5</v>
      </c>
      <c r="X223" s="18">
        <v>23</v>
      </c>
      <c r="Y223" s="18">
        <v>1587.6</v>
      </c>
      <c r="Z223" s="18">
        <v>1.29</v>
      </c>
      <c r="AA223" s="18">
        <v>1587.6</v>
      </c>
      <c r="AB223" s="18">
        <v>441</v>
      </c>
      <c r="AC223" s="18">
        <v>32472.06494615689</v>
      </c>
      <c r="AD223" s="18">
        <v>41980065.412236668</v>
      </c>
      <c r="AE223" s="18" t="s">
        <v>1075</v>
      </c>
    </row>
    <row r="224" spans="1:31" x14ac:dyDescent="0.2">
      <c r="A224" s="18">
        <v>223</v>
      </c>
      <c r="B224" s="18">
        <v>223</v>
      </c>
      <c r="C224" s="18">
        <v>223</v>
      </c>
      <c r="D224" s="18">
        <v>502</v>
      </c>
      <c r="E224" s="18" t="s">
        <v>413</v>
      </c>
      <c r="F224" s="18" t="s">
        <v>415</v>
      </c>
      <c r="G224" s="18">
        <v>5600</v>
      </c>
      <c r="H224" s="18">
        <v>0</v>
      </c>
      <c r="I224" s="18">
        <v>52.07</v>
      </c>
      <c r="J224" s="18">
        <v>84.66</v>
      </c>
      <c r="K224" s="18">
        <v>1.33</v>
      </c>
      <c r="L224" s="18">
        <v>11.62</v>
      </c>
      <c r="M224" s="18">
        <v>1.92</v>
      </c>
      <c r="N224" s="18">
        <v>0.48</v>
      </c>
      <c r="O224" s="18">
        <v>0</v>
      </c>
      <c r="P224" s="18">
        <v>0</v>
      </c>
      <c r="Q224" s="18">
        <v>1</v>
      </c>
      <c r="R224" s="18">
        <v>0</v>
      </c>
      <c r="S224" s="18">
        <v>0</v>
      </c>
      <c r="T224" s="18">
        <v>0</v>
      </c>
      <c r="U224" s="18">
        <v>161</v>
      </c>
      <c r="V224" s="18">
        <v>12496.18</v>
      </c>
      <c r="W224" s="18">
        <v>0.5</v>
      </c>
      <c r="X224" s="18">
        <v>81</v>
      </c>
      <c r="Y224" s="18">
        <v>6248.09</v>
      </c>
      <c r="Z224" s="18">
        <v>1.56</v>
      </c>
      <c r="AA224" s="18">
        <v>6248.09</v>
      </c>
      <c r="AB224" s="18">
        <v>1735.58</v>
      </c>
      <c r="AC224" s="18">
        <v>65472.50914460871</v>
      </c>
      <c r="AD224" s="18">
        <v>172233235.1632838</v>
      </c>
      <c r="AE224" s="18" t="s">
        <v>1075</v>
      </c>
    </row>
    <row r="225" spans="1:31" x14ac:dyDescent="0.2">
      <c r="A225" s="18">
        <v>224</v>
      </c>
      <c r="B225" s="18">
        <v>224</v>
      </c>
      <c r="C225" s="18">
        <v>224</v>
      </c>
      <c r="D225" s="18">
        <v>504</v>
      </c>
      <c r="E225" s="18" t="s">
        <v>422</v>
      </c>
      <c r="F225" s="18" t="s">
        <v>424</v>
      </c>
      <c r="G225" s="18">
        <v>5600</v>
      </c>
      <c r="H225" s="18">
        <v>0</v>
      </c>
      <c r="I225" s="18">
        <v>0.25</v>
      </c>
      <c r="J225" s="18">
        <v>88</v>
      </c>
      <c r="K225" s="18">
        <v>0</v>
      </c>
      <c r="L225" s="18">
        <v>0</v>
      </c>
      <c r="M225" s="18">
        <v>12</v>
      </c>
      <c r="N225" s="18">
        <v>0</v>
      </c>
      <c r="O225" s="18">
        <v>0</v>
      </c>
      <c r="P225" s="18">
        <v>0</v>
      </c>
      <c r="Q225" s="18">
        <v>1</v>
      </c>
      <c r="R225" s="18">
        <v>0</v>
      </c>
      <c r="S225" s="18">
        <v>0</v>
      </c>
      <c r="T225" s="18">
        <v>0</v>
      </c>
      <c r="U225" s="18">
        <v>1</v>
      </c>
      <c r="V225" s="18">
        <v>63.91</v>
      </c>
      <c r="W225" s="18">
        <v>0.5</v>
      </c>
      <c r="X225" s="18">
        <v>1</v>
      </c>
      <c r="Y225" s="18">
        <v>31.95</v>
      </c>
      <c r="Z225" s="18">
        <v>4</v>
      </c>
      <c r="AA225" s="18">
        <v>31.95</v>
      </c>
      <c r="AB225" s="18">
        <v>8.8800000000000008</v>
      </c>
      <c r="AC225" s="18">
        <v>24048.163275371811</v>
      </c>
      <c r="AD225" s="18">
        <v>19467071.51694211</v>
      </c>
      <c r="AE225" s="18" t="s">
        <v>1076</v>
      </c>
    </row>
    <row r="226" spans="1:31" x14ac:dyDescent="0.2">
      <c r="A226" s="18">
        <v>225</v>
      </c>
      <c r="B226" s="18">
        <v>225</v>
      </c>
      <c r="C226" s="18">
        <v>225</v>
      </c>
      <c r="D226" s="18">
        <v>506</v>
      </c>
      <c r="E226" s="18" t="s">
        <v>425</v>
      </c>
      <c r="F226" s="18" t="s">
        <v>427</v>
      </c>
      <c r="G226" s="18">
        <v>5600</v>
      </c>
      <c r="H226" s="18">
        <v>0</v>
      </c>
      <c r="I226" s="18">
        <v>13.03</v>
      </c>
      <c r="J226" s="18">
        <v>2.76</v>
      </c>
      <c r="K226" s="18">
        <v>5.37</v>
      </c>
      <c r="L226" s="18">
        <v>84.88</v>
      </c>
      <c r="M226" s="18">
        <v>5.76</v>
      </c>
      <c r="N226" s="18">
        <v>1.23</v>
      </c>
      <c r="O226" s="18">
        <v>0</v>
      </c>
      <c r="P226" s="18">
        <v>0</v>
      </c>
      <c r="Q226" s="18">
        <v>1</v>
      </c>
      <c r="R226" s="18">
        <v>0</v>
      </c>
      <c r="S226" s="18">
        <v>0</v>
      </c>
      <c r="T226" s="18">
        <v>0</v>
      </c>
      <c r="U226" s="18">
        <v>30</v>
      </c>
      <c r="V226" s="18">
        <v>2116.8000000000002</v>
      </c>
      <c r="W226" s="18">
        <v>0.5</v>
      </c>
      <c r="X226" s="18">
        <v>15</v>
      </c>
      <c r="Y226" s="18">
        <v>1058.4000000000001</v>
      </c>
      <c r="Z226" s="18">
        <v>1.1499999999999999</v>
      </c>
      <c r="AA226" s="18">
        <v>1058.4000000000001</v>
      </c>
      <c r="AB226" s="18">
        <v>294</v>
      </c>
      <c r="AC226" s="18">
        <v>52270.255737779204</v>
      </c>
      <c r="AD226" s="18">
        <v>49311245.981270067</v>
      </c>
      <c r="AE226" s="18" t="s">
        <v>1076</v>
      </c>
    </row>
    <row r="227" spans="1:31" x14ac:dyDescent="0.2">
      <c r="A227" s="18">
        <v>226</v>
      </c>
      <c r="B227" s="18">
        <v>226</v>
      </c>
      <c r="C227" s="18">
        <v>226</v>
      </c>
      <c r="D227" s="18">
        <v>508</v>
      </c>
      <c r="E227" s="18" t="s">
        <v>1108</v>
      </c>
      <c r="F227" s="18" t="s">
        <v>1109</v>
      </c>
      <c r="G227" s="18">
        <v>5600</v>
      </c>
      <c r="H227" s="18">
        <v>0</v>
      </c>
      <c r="I227" s="18">
        <v>12.59</v>
      </c>
      <c r="J227" s="18">
        <v>96.82</v>
      </c>
      <c r="K227" s="18">
        <v>0</v>
      </c>
      <c r="L227" s="18">
        <v>2.14</v>
      </c>
      <c r="M227" s="18">
        <v>0.48</v>
      </c>
      <c r="N227" s="18">
        <v>0.56000000000000005</v>
      </c>
      <c r="O227" s="18">
        <v>0</v>
      </c>
      <c r="P227" s="18">
        <v>0</v>
      </c>
      <c r="Q227" s="18">
        <v>1</v>
      </c>
      <c r="R227" s="18">
        <v>0</v>
      </c>
      <c r="S227" s="18">
        <v>0</v>
      </c>
      <c r="T227" s="18">
        <v>0</v>
      </c>
      <c r="U227" s="18">
        <v>26</v>
      </c>
      <c r="V227" s="18">
        <v>1661.59</v>
      </c>
      <c r="W227" s="18">
        <v>0.5</v>
      </c>
      <c r="X227" s="18">
        <v>13</v>
      </c>
      <c r="Y227" s="18">
        <v>830.79</v>
      </c>
      <c r="Z227" s="18">
        <v>1.03</v>
      </c>
      <c r="AA227" s="18">
        <v>830.79</v>
      </c>
      <c r="AB227" s="18">
        <v>230.78</v>
      </c>
      <c r="AC227" s="18">
        <v>26779.93107451715</v>
      </c>
      <c r="AD227" s="18">
        <v>24199569.36903464</v>
      </c>
      <c r="AE227" s="18" t="s">
        <v>1076</v>
      </c>
    </row>
    <row r="228" spans="1:31" x14ac:dyDescent="0.2">
      <c r="A228" s="18">
        <v>227</v>
      </c>
      <c r="B228" s="18">
        <v>227</v>
      </c>
      <c r="C228" s="18">
        <v>227</v>
      </c>
      <c r="D228" s="18">
        <v>509</v>
      </c>
      <c r="E228" s="18" t="s">
        <v>428</v>
      </c>
      <c r="F228" s="18" t="s">
        <v>430</v>
      </c>
      <c r="G228" s="18">
        <v>5600</v>
      </c>
      <c r="H228" s="18">
        <v>0</v>
      </c>
      <c r="I228" s="18">
        <v>50.31</v>
      </c>
      <c r="J228" s="18">
        <v>0.22</v>
      </c>
      <c r="K228" s="18">
        <v>0</v>
      </c>
      <c r="L228" s="18">
        <v>90.46</v>
      </c>
      <c r="M228" s="18">
        <v>7.87</v>
      </c>
      <c r="N228" s="18">
        <v>1.45</v>
      </c>
      <c r="O228" s="18">
        <v>0</v>
      </c>
      <c r="P228" s="18">
        <v>0</v>
      </c>
      <c r="Q228" s="18">
        <v>1</v>
      </c>
      <c r="R228" s="18">
        <v>0</v>
      </c>
      <c r="S228" s="18">
        <v>0</v>
      </c>
      <c r="T228" s="18">
        <v>0</v>
      </c>
      <c r="U228" s="18">
        <v>57</v>
      </c>
      <c r="V228" s="18">
        <v>4424.1099999999997</v>
      </c>
      <c r="W228" s="18">
        <v>0.5</v>
      </c>
      <c r="X228" s="18">
        <v>29</v>
      </c>
      <c r="Y228" s="18">
        <v>2212.06</v>
      </c>
      <c r="Z228" s="18">
        <v>0.57999999999999996</v>
      </c>
      <c r="AA228" s="18">
        <v>2212.06</v>
      </c>
      <c r="AB228" s="18">
        <v>614.46</v>
      </c>
      <c r="AC228" s="18">
        <v>25643.14861148733</v>
      </c>
      <c r="AD228" s="18">
        <v>34641028.282881327</v>
      </c>
      <c r="AE228" s="18" t="s">
        <v>1076</v>
      </c>
    </row>
    <row r="229" spans="1:31" x14ac:dyDescent="0.2">
      <c r="A229" s="18">
        <v>228</v>
      </c>
      <c r="B229" s="18">
        <v>228</v>
      </c>
      <c r="C229" s="18">
        <v>228</v>
      </c>
      <c r="D229" s="18">
        <v>510</v>
      </c>
      <c r="E229" s="18" t="s">
        <v>431</v>
      </c>
      <c r="F229" s="18" t="s">
        <v>433</v>
      </c>
      <c r="G229" s="18">
        <v>5600</v>
      </c>
      <c r="H229" s="18">
        <v>0</v>
      </c>
      <c r="I229" s="18">
        <v>5.77</v>
      </c>
      <c r="J229" s="18">
        <v>62.05</v>
      </c>
      <c r="K229" s="18">
        <v>0</v>
      </c>
      <c r="L229" s="18">
        <v>18.54</v>
      </c>
      <c r="M229" s="18">
        <v>19.239999999999998</v>
      </c>
      <c r="N229" s="18">
        <v>0.17</v>
      </c>
      <c r="O229" s="18">
        <v>0</v>
      </c>
      <c r="P229" s="18">
        <v>0</v>
      </c>
      <c r="Q229" s="18">
        <v>1</v>
      </c>
      <c r="R229" s="18">
        <v>0</v>
      </c>
      <c r="S229" s="18">
        <v>0</v>
      </c>
      <c r="T229" s="18">
        <v>0</v>
      </c>
      <c r="U229" s="18">
        <v>17</v>
      </c>
      <c r="V229" s="18">
        <v>1086.42</v>
      </c>
      <c r="W229" s="18">
        <v>0.5</v>
      </c>
      <c r="X229" s="18">
        <v>9</v>
      </c>
      <c r="Y229" s="18">
        <v>543.21</v>
      </c>
      <c r="Z229" s="18">
        <v>1.56</v>
      </c>
      <c r="AA229" s="18">
        <v>543.21</v>
      </c>
      <c r="AB229" s="18">
        <v>150.88999999999999</v>
      </c>
      <c r="AC229" s="18">
        <v>41959.456724073061</v>
      </c>
      <c r="AD229" s="18">
        <v>83044149.472529724</v>
      </c>
      <c r="AE229" s="18" t="s">
        <v>1076</v>
      </c>
    </row>
    <row r="230" spans="1:31" x14ac:dyDescent="0.2">
      <c r="A230" s="18">
        <v>229</v>
      </c>
      <c r="B230" s="18">
        <v>229</v>
      </c>
      <c r="C230" s="18">
        <v>229</v>
      </c>
      <c r="D230" s="18">
        <v>511</v>
      </c>
      <c r="E230" s="18" t="s">
        <v>437</v>
      </c>
      <c r="F230" s="18" t="s">
        <v>439</v>
      </c>
      <c r="G230" s="18">
        <v>5600</v>
      </c>
      <c r="H230" s="18">
        <v>0</v>
      </c>
      <c r="I230" s="18">
        <v>77.2</v>
      </c>
      <c r="J230" s="18">
        <v>92.31</v>
      </c>
      <c r="K230" s="18">
        <v>0.18</v>
      </c>
      <c r="L230" s="18">
        <v>2.64</v>
      </c>
      <c r="M230" s="18">
        <v>2.77</v>
      </c>
      <c r="N230" s="18">
        <v>2.1</v>
      </c>
      <c r="O230" s="18">
        <v>0</v>
      </c>
      <c r="P230" s="18">
        <v>0</v>
      </c>
      <c r="Q230" s="18">
        <v>1</v>
      </c>
      <c r="R230" s="18">
        <v>0</v>
      </c>
      <c r="S230" s="18">
        <v>0</v>
      </c>
      <c r="T230" s="18">
        <v>0</v>
      </c>
      <c r="U230" s="18">
        <v>135</v>
      </c>
      <c r="V230" s="18">
        <v>8627.4699999999993</v>
      </c>
      <c r="W230" s="18">
        <v>0.5</v>
      </c>
      <c r="X230" s="18">
        <v>68</v>
      </c>
      <c r="Y230" s="18">
        <v>4313.74</v>
      </c>
      <c r="Z230" s="18">
        <v>0.88</v>
      </c>
      <c r="AA230" s="18">
        <v>4313.74</v>
      </c>
      <c r="AB230" s="18">
        <v>1198.26</v>
      </c>
      <c r="AC230" s="18">
        <v>57995.75389665542</v>
      </c>
      <c r="AD230" s="18">
        <v>132489072.5926715</v>
      </c>
      <c r="AE230" s="18" t="s">
        <v>1078</v>
      </c>
    </row>
    <row r="231" spans="1:31" x14ac:dyDescent="0.2">
      <c r="A231" s="18">
        <v>230</v>
      </c>
      <c r="B231" s="18">
        <v>230</v>
      </c>
      <c r="C231" s="18">
        <v>230</v>
      </c>
      <c r="D231" s="18">
        <v>512</v>
      </c>
      <c r="E231" s="18" t="s">
        <v>1110</v>
      </c>
      <c r="F231" s="18" t="s">
        <v>1111</v>
      </c>
      <c r="G231" s="18">
        <v>5600</v>
      </c>
      <c r="H231" s="18">
        <v>0</v>
      </c>
      <c r="I231" s="18">
        <v>3.39</v>
      </c>
      <c r="J231" s="18">
        <v>61.36</v>
      </c>
      <c r="K231" s="18">
        <v>0</v>
      </c>
      <c r="L231" s="18">
        <v>6.49</v>
      </c>
      <c r="M231" s="18">
        <v>15.04</v>
      </c>
      <c r="N231" s="18">
        <v>17.11</v>
      </c>
      <c r="O231" s="18">
        <v>0</v>
      </c>
      <c r="P231" s="18">
        <v>0</v>
      </c>
      <c r="Q231" s="18">
        <v>1</v>
      </c>
      <c r="R231" s="18">
        <v>0</v>
      </c>
      <c r="S231" s="18">
        <v>0</v>
      </c>
      <c r="T231" s="18">
        <v>0</v>
      </c>
      <c r="U231" s="18">
        <v>18</v>
      </c>
      <c r="V231" s="18">
        <v>1150.33</v>
      </c>
      <c r="W231" s="18">
        <v>0.5</v>
      </c>
      <c r="X231" s="18">
        <v>9</v>
      </c>
      <c r="Y231" s="18">
        <v>575.16</v>
      </c>
      <c r="Z231" s="18">
        <v>2.65</v>
      </c>
      <c r="AA231" s="18">
        <v>575.16</v>
      </c>
      <c r="AB231" s="18">
        <v>159.77000000000001</v>
      </c>
      <c r="AC231" s="18">
        <v>27731.02067811165</v>
      </c>
      <c r="AD231" s="18">
        <v>31118702.78151577</v>
      </c>
      <c r="AE231" s="18" t="s">
        <v>1077</v>
      </c>
    </row>
    <row r="232" spans="1:31" x14ac:dyDescent="0.2">
      <c r="A232" s="18">
        <v>231</v>
      </c>
      <c r="B232" s="18">
        <v>231</v>
      </c>
      <c r="C232" s="18">
        <v>231</v>
      </c>
      <c r="D232" s="18">
        <v>532</v>
      </c>
      <c r="E232" s="18" t="s">
        <v>497</v>
      </c>
      <c r="F232" s="18" t="s">
        <v>499</v>
      </c>
      <c r="G232" s="18">
        <v>5600</v>
      </c>
      <c r="H232" s="18">
        <v>0</v>
      </c>
      <c r="I232" s="18">
        <v>33.880000000000003</v>
      </c>
      <c r="J232" s="18">
        <v>8.09</v>
      </c>
      <c r="K232" s="18">
        <v>0.09</v>
      </c>
      <c r="L232" s="18">
        <v>87.51</v>
      </c>
      <c r="M232" s="18">
        <v>1.06</v>
      </c>
      <c r="N232" s="18">
        <v>3.25</v>
      </c>
      <c r="O232" s="18">
        <v>0</v>
      </c>
      <c r="P232" s="18">
        <v>0</v>
      </c>
      <c r="Q232" s="18">
        <v>1</v>
      </c>
      <c r="R232" s="18">
        <v>0</v>
      </c>
      <c r="S232" s="18">
        <v>0</v>
      </c>
      <c r="T232" s="18">
        <v>0</v>
      </c>
      <c r="U232" s="18">
        <v>60</v>
      </c>
      <c r="V232" s="18">
        <v>4558.18</v>
      </c>
      <c r="W232" s="18">
        <v>0.5</v>
      </c>
      <c r="X232" s="18">
        <v>30</v>
      </c>
      <c r="Y232" s="18">
        <v>2279.09</v>
      </c>
      <c r="Z232" s="18">
        <v>0.89</v>
      </c>
      <c r="AA232" s="18">
        <v>2279.09</v>
      </c>
      <c r="AB232" s="18">
        <v>633.08000000000004</v>
      </c>
      <c r="AC232" s="18">
        <v>38127.452235285607</v>
      </c>
      <c r="AD232" s="18">
        <v>59582998.744777367</v>
      </c>
      <c r="AE232" s="18" t="s">
        <v>1078</v>
      </c>
    </row>
    <row r="233" spans="1:31" x14ac:dyDescent="0.2">
      <c r="A233" s="18">
        <v>232</v>
      </c>
      <c r="B233" s="18">
        <v>232</v>
      </c>
      <c r="C233" s="18">
        <v>232</v>
      </c>
      <c r="D233" s="18">
        <v>559</v>
      </c>
      <c r="E233" s="18" t="s">
        <v>650</v>
      </c>
      <c r="F233" s="18" t="s">
        <v>652</v>
      </c>
      <c r="G233" s="18">
        <v>5600</v>
      </c>
      <c r="H233" s="18">
        <v>0</v>
      </c>
      <c r="I233" s="18">
        <v>38.590000000000003</v>
      </c>
      <c r="J233" s="18">
        <v>18.84</v>
      </c>
      <c r="K233" s="18">
        <v>0.54</v>
      </c>
      <c r="L233" s="18">
        <v>76.03</v>
      </c>
      <c r="M233" s="18">
        <v>3.55</v>
      </c>
      <c r="N233" s="18">
        <v>1.04</v>
      </c>
      <c r="O233" s="18">
        <v>0</v>
      </c>
      <c r="P233" s="18">
        <v>0</v>
      </c>
      <c r="Q233" s="18">
        <v>1</v>
      </c>
      <c r="R233" s="18">
        <v>0</v>
      </c>
      <c r="S233" s="18">
        <v>0</v>
      </c>
      <c r="T233" s="18">
        <v>0</v>
      </c>
      <c r="U233" s="18">
        <v>63</v>
      </c>
      <c r="V233" s="18">
        <v>3365.71</v>
      </c>
      <c r="W233" s="18">
        <v>0.5</v>
      </c>
      <c r="X233" s="18">
        <v>32</v>
      </c>
      <c r="Y233" s="18">
        <v>1682.86</v>
      </c>
      <c r="Z233" s="18">
        <v>0.83</v>
      </c>
      <c r="AA233" s="18">
        <v>1682.86</v>
      </c>
      <c r="AB233" s="18">
        <v>467.46</v>
      </c>
      <c r="AC233" s="18">
        <v>33677.394908913979</v>
      </c>
      <c r="AD233" s="18">
        <v>50724510.512927271</v>
      </c>
      <c r="AE233" s="18" t="s">
        <v>1084</v>
      </c>
    </row>
    <row r="234" spans="1:31" x14ac:dyDescent="0.2">
      <c r="A234" s="18">
        <v>233</v>
      </c>
      <c r="B234" s="18">
        <v>233</v>
      </c>
      <c r="C234" s="18">
        <v>233</v>
      </c>
      <c r="D234" s="18">
        <v>514</v>
      </c>
      <c r="E234" s="18" t="s">
        <v>464</v>
      </c>
      <c r="F234" s="18" t="s">
        <v>466</v>
      </c>
      <c r="G234" s="18">
        <v>5600</v>
      </c>
      <c r="H234" s="18">
        <v>0</v>
      </c>
      <c r="I234" s="18">
        <v>5.51</v>
      </c>
      <c r="J234" s="18">
        <v>92.2</v>
      </c>
      <c r="K234" s="18">
        <v>0</v>
      </c>
      <c r="L234" s="18">
        <v>3.99</v>
      </c>
      <c r="M234" s="18">
        <v>3.27</v>
      </c>
      <c r="N234" s="18">
        <v>0.54</v>
      </c>
      <c r="O234" s="18">
        <v>0</v>
      </c>
      <c r="P234" s="18">
        <v>0</v>
      </c>
      <c r="Q234" s="18">
        <v>1</v>
      </c>
      <c r="R234" s="18">
        <v>0</v>
      </c>
      <c r="S234" s="18">
        <v>0</v>
      </c>
      <c r="T234" s="18">
        <v>0</v>
      </c>
      <c r="U234" s="18">
        <v>13</v>
      </c>
      <c r="V234" s="18">
        <v>830.79</v>
      </c>
      <c r="W234" s="18">
        <v>0.5</v>
      </c>
      <c r="X234" s="18">
        <v>7</v>
      </c>
      <c r="Y234" s="18">
        <v>415.4</v>
      </c>
      <c r="Z234" s="18">
        <v>1.27</v>
      </c>
      <c r="AA234" s="18">
        <v>415.4</v>
      </c>
      <c r="AB234" s="18">
        <v>115.39</v>
      </c>
      <c r="AC234" s="18">
        <v>25248.669533904042</v>
      </c>
      <c r="AD234" s="18">
        <v>19352729.53251392</v>
      </c>
      <c r="AE234" s="18" t="s">
        <v>1101</v>
      </c>
    </row>
    <row r="235" spans="1:31" x14ac:dyDescent="0.2">
      <c r="A235" s="18">
        <v>234</v>
      </c>
      <c r="B235" s="18">
        <v>234</v>
      </c>
      <c r="C235" s="18">
        <v>234</v>
      </c>
      <c r="D235" s="18">
        <v>579</v>
      </c>
      <c r="E235" s="18" t="s">
        <v>725</v>
      </c>
      <c r="F235" s="18" t="s">
        <v>727</v>
      </c>
      <c r="G235" s="18">
        <v>5600</v>
      </c>
      <c r="H235" s="18">
        <v>0</v>
      </c>
      <c r="I235" s="18">
        <v>0.12</v>
      </c>
      <c r="J235" s="18">
        <v>91.67</v>
      </c>
      <c r="K235" s="18">
        <v>0</v>
      </c>
      <c r="L235" s="18">
        <v>8.33</v>
      </c>
      <c r="M235" s="18">
        <v>0</v>
      </c>
      <c r="N235" s="18">
        <v>0</v>
      </c>
      <c r="O235" s="18">
        <v>0</v>
      </c>
      <c r="P235" s="18">
        <v>0</v>
      </c>
      <c r="Q235" s="18">
        <v>1</v>
      </c>
      <c r="R235" s="18">
        <v>0</v>
      </c>
      <c r="S235" s="18">
        <v>0</v>
      </c>
      <c r="T235" s="18">
        <v>0</v>
      </c>
      <c r="U235" s="18">
        <v>1</v>
      </c>
      <c r="V235" s="18">
        <v>53.42</v>
      </c>
      <c r="W235" s="18">
        <v>0.5</v>
      </c>
      <c r="X235" s="18">
        <v>1</v>
      </c>
      <c r="Y235" s="18">
        <v>26.71</v>
      </c>
      <c r="Z235" s="18">
        <v>8.33</v>
      </c>
      <c r="AA235" s="18">
        <v>26.71</v>
      </c>
      <c r="AB235" s="18">
        <v>7.42</v>
      </c>
      <c r="AC235" s="18">
        <v>18967.940739647191</v>
      </c>
      <c r="AD235" s="18">
        <v>17293056.78984277</v>
      </c>
      <c r="AE235" s="18" t="s">
        <v>1083</v>
      </c>
    </row>
    <row r="236" spans="1:31" x14ac:dyDescent="0.2">
      <c r="A236" s="18">
        <v>235</v>
      </c>
      <c r="B236" s="18">
        <v>235</v>
      </c>
      <c r="C236" s="18">
        <v>235</v>
      </c>
      <c r="D236" s="18">
        <v>515</v>
      </c>
      <c r="E236" s="18" t="s">
        <v>449</v>
      </c>
      <c r="F236" s="18" t="s">
        <v>451</v>
      </c>
      <c r="G236" s="18">
        <v>5600</v>
      </c>
      <c r="H236" s="18">
        <v>0</v>
      </c>
      <c r="I236" s="18">
        <v>0.25</v>
      </c>
      <c r="J236" s="18">
        <v>12</v>
      </c>
      <c r="K236" s="18">
        <v>0</v>
      </c>
      <c r="L236" s="18">
        <v>40</v>
      </c>
      <c r="M236" s="18">
        <v>44</v>
      </c>
      <c r="N236" s="18">
        <v>4</v>
      </c>
      <c r="O236" s="18">
        <v>0</v>
      </c>
      <c r="P236" s="18">
        <v>0</v>
      </c>
      <c r="Q236" s="18">
        <v>1</v>
      </c>
      <c r="R236" s="18">
        <v>0</v>
      </c>
      <c r="S236" s="18">
        <v>0</v>
      </c>
      <c r="T236" s="18">
        <v>0</v>
      </c>
      <c r="U236" s="18">
        <v>2</v>
      </c>
      <c r="V236" s="18">
        <v>127.81</v>
      </c>
      <c r="W236" s="18">
        <v>0.5</v>
      </c>
      <c r="X236" s="18">
        <v>1</v>
      </c>
      <c r="Y236" s="18">
        <v>63.91</v>
      </c>
      <c r="Z236" s="18">
        <v>4</v>
      </c>
      <c r="AA236" s="18">
        <v>63.91</v>
      </c>
      <c r="AB236" s="18">
        <v>17.75</v>
      </c>
      <c r="AC236" s="18">
        <v>28638.081943364421</v>
      </c>
      <c r="AD236" s="18">
        <v>24077932.21147047</v>
      </c>
      <c r="AE236" s="18" t="s">
        <v>1077</v>
      </c>
    </row>
    <row r="237" spans="1:31" x14ac:dyDescent="0.2">
      <c r="A237" s="18">
        <v>236</v>
      </c>
      <c r="B237" s="18">
        <v>236</v>
      </c>
      <c r="C237" s="18">
        <v>236</v>
      </c>
      <c r="D237" s="18">
        <v>516</v>
      </c>
      <c r="E237" s="18" t="s">
        <v>473</v>
      </c>
      <c r="F237" s="18" t="s">
        <v>475</v>
      </c>
      <c r="G237" s="18">
        <v>5600</v>
      </c>
      <c r="H237" s="18">
        <v>0</v>
      </c>
      <c r="I237" s="18">
        <v>0.57999999999999996</v>
      </c>
      <c r="J237" s="18">
        <v>96.55</v>
      </c>
      <c r="K237" s="18">
        <v>0</v>
      </c>
      <c r="L237" s="18">
        <v>0</v>
      </c>
      <c r="M237" s="18">
        <v>3.45</v>
      </c>
      <c r="N237" s="18">
        <v>0</v>
      </c>
      <c r="O237" s="18">
        <v>0</v>
      </c>
      <c r="P237" s="18">
        <v>0</v>
      </c>
      <c r="Q237" s="18">
        <v>1</v>
      </c>
      <c r="R237" s="18">
        <v>0</v>
      </c>
      <c r="S237" s="18">
        <v>0</v>
      </c>
      <c r="T237" s="18">
        <v>0</v>
      </c>
      <c r="U237" s="18">
        <v>3</v>
      </c>
      <c r="V237" s="18">
        <v>211.68</v>
      </c>
      <c r="W237" s="18">
        <v>0.5</v>
      </c>
      <c r="X237" s="18">
        <v>2</v>
      </c>
      <c r="Y237" s="18">
        <v>105.84</v>
      </c>
      <c r="Z237" s="18">
        <v>3.45</v>
      </c>
      <c r="AA237" s="18">
        <v>105.84</v>
      </c>
      <c r="AB237" s="18">
        <v>29.4</v>
      </c>
      <c r="AC237" s="18">
        <v>15403.37296162148</v>
      </c>
      <c r="AD237" s="18">
        <v>13476630.52471884</v>
      </c>
      <c r="AE237" s="18" t="s">
        <v>1078</v>
      </c>
    </row>
    <row r="238" spans="1:31" x14ac:dyDescent="0.2">
      <c r="A238" s="18">
        <v>237</v>
      </c>
      <c r="B238" s="18">
        <v>237</v>
      </c>
      <c r="C238" s="18">
        <v>237</v>
      </c>
      <c r="D238" s="18">
        <v>525</v>
      </c>
      <c r="E238" s="18" t="s">
        <v>467</v>
      </c>
      <c r="F238" s="18" t="s">
        <v>469</v>
      </c>
      <c r="G238" s="18">
        <v>5600</v>
      </c>
      <c r="H238" s="18">
        <v>0</v>
      </c>
      <c r="I238" s="18">
        <v>0.22</v>
      </c>
      <c r="J238" s="18">
        <v>100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1</v>
      </c>
      <c r="R238" s="18">
        <v>0</v>
      </c>
      <c r="S238" s="18">
        <v>0</v>
      </c>
      <c r="T238" s="18">
        <v>0</v>
      </c>
      <c r="U238" s="18">
        <v>5</v>
      </c>
      <c r="V238" s="18">
        <v>290.3</v>
      </c>
      <c r="W238" s="18">
        <v>0.5</v>
      </c>
      <c r="X238" s="18">
        <v>3</v>
      </c>
      <c r="Y238" s="18">
        <v>145.15</v>
      </c>
      <c r="Z238" s="18">
        <v>13.64</v>
      </c>
      <c r="AA238" s="18">
        <v>145.15</v>
      </c>
      <c r="AB238" s="18">
        <v>40.32</v>
      </c>
      <c r="AC238" s="18">
        <v>18548.705498803189</v>
      </c>
      <c r="AD238" s="18">
        <v>11992050.03887553</v>
      </c>
      <c r="AE238" s="18" t="s">
        <v>1101</v>
      </c>
    </row>
    <row r="239" spans="1:31" x14ac:dyDescent="0.2">
      <c r="A239" s="18">
        <v>238</v>
      </c>
      <c r="B239" s="18">
        <v>238</v>
      </c>
      <c r="C239" s="18">
        <v>238</v>
      </c>
      <c r="D239" s="18">
        <v>527</v>
      </c>
      <c r="E239" s="18" t="s">
        <v>476</v>
      </c>
      <c r="F239" s="18" t="s">
        <v>478</v>
      </c>
      <c r="G239" s="18">
        <v>5600</v>
      </c>
      <c r="H239" s="18">
        <v>0</v>
      </c>
      <c r="I239" s="18">
        <v>11.19</v>
      </c>
      <c r="J239" s="18">
        <v>31.1</v>
      </c>
      <c r="K239" s="18">
        <v>0.71</v>
      </c>
      <c r="L239" s="18">
        <v>54.6</v>
      </c>
      <c r="M239" s="18">
        <v>9.56</v>
      </c>
      <c r="N239" s="18">
        <v>4.0199999999999996</v>
      </c>
      <c r="O239" s="18">
        <v>0</v>
      </c>
      <c r="P239" s="18">
        <v>0</v>
      </c>
      <c r="Q239" s="18">
        <v>1</v>
      </c>
      <c r="R239" s="18">
        <v>0</v>
      </c>
      <c r="S239" s="18">
        <v>0</v>
      </c>
      <c r="T239" s="18">
        <v>0</v>
      </c>
      <c r="U239" s="18">
        <v>19</v>
      </c>
      <c r="V239" s="18">
        <v>1340.64</v>
      </c>
      <c r="W239" s="18">
        <v>0.5</v>
      </c>
      <c r="X239" s="18">
        <v>10</v>
      </c>
      <c r="Y239" s="18">
        <v>670.32</v>
      </c>
      <c r="Z239" s="18">
        <v>0.89</v>
      </c>
      <c r="AA239" s="18">
        <v>670.32</v>
      </c>
      <c r="AB239" s="18">
        <v>186.2</v>
      </c>
      <c r="AC239" s="18">
        <v>26936.166544601259</v>
      </c>
      <c r="AD239" s="18">
        <v>26107523.825622141</v>
      </c>
      <c r="AE239" s="18" t="s">
        <v>1078</v>
      </c>
    </row>
    <row r="240" spans="1:31" x14ac:dyDescent="0.2">
      <c r="A240" s="18">
        <v>239</v>
      </c>
      <c r="B240" s="18">
        <v>239</v>
      </c>
      <c r="C240" s="18">
        <v>239</v>
      </c>
      <c r="D240" s="18">
        <v>528</v>
      </c>
      <c r="E240" s="18" t="s">
        <v>482</v>
      </c>
      <c r="F240" s="18" t="s">
        <v>484</v>
      </c>
      <c r="G240" s="18">
        <v>5600</v>
      </c>
      <c r="H240" s="18">
        <v>0</v>
      </c>
      <c r="I240" s="18">
        <v>0.69</v>
      </c>
      <c r="J240" s="18">
        <v>68.12</v>
      </c>
      <c r="K240" s="18">
        <v>0</v>
      </c>
      <c r="L240" s="18">
        <v>0</v>
      </c>
      <c r="M240" s="18">
        <v>8.6999999999999993</v>
      </c>
      <c r="N240" s="18">
        <v>23.19</v>
      </c>
      <c r="O240" s="18">
        <v>0</v>
      </c>
      <c r="P240" s="18">
        <v>0</v>
      </c>
      <c r="Q240" s="18">
        <v>1</v>
      </c>
      <c r="R240" s="18">
        <v>0</v>
      </c>
      <c r="S240" s="18">
        <v>0</v>
      </c>
      <c r="T240" s="18">
        <v>0</v>
      </c>
      <c r="U240" s="18">
        <v>3</v>
      </c>
      <c r="V240" s="18">
        <v>191.72</v>
      </c>
      <c r="W240" s="18">
        <v>0.5</v>
      </c>
      <c r="X240" s="18">
        <v>2</v>
      </c>
      <c r="Y240" s="18">
        <v>95.86</v>
      </c>
      <c r="Z240" s="18">
        <v>2.9</v>
      </c>
      <c r="AA240" s="18">
        <v>95.86</v>
      </c>
      <c r="AB240" s="18">
        <v>26.63</v>
      </c>
      <c r="AC240" s="18">
        <v>25233.84131217275</v>
      </c>
      <c r="AD240" s="18">
        <v>23169096.728333581</v>
      </c>
      <c r="AE240" s="18" t="s">
        <v>1078</v>
      </c>
    </row>
    <row r="241" spans="1:31" x14ac:dyDescent="0.2">
      <c r="A241" s="18">
        <v>240</v>
      </c>
      <c r="B241" s="18">
        <v>240</v>
      </c>
      <c r="C241" s="18">
        <v>240</v>
      </c>
      <c r="D241" s="18">
        <v>530</v>
      </c>
      <c r="E241" s="18" t="s">
        <v>485</v>
      </c>
      <c r="F241" s="18" t="s">
        <v>487</v>
      </c>
      <c r="G241" s="18">
        <v>5600</v>
      </c>
      <c r="H241" s="18">
        <v>0</v>
      </c>
      <c r="I241" s="18">
        <v>4.92</v>
      </c>
      <c r="J241" s="18">
        <v>99.39</v>
      </c>
      <c r="K241" s="18">
        <v>0</v>
      </c>
      <c r="L241" s="18">
        <v>0</v>
      </c>
      <c r="M241" s="18">
        <v>0.2</v>
      </c>
      <c r="N241" s="18">
        <v>0.41</v>
      </c>
      <c r="O241" s="18">
        <v>0</v>
      </c>
      <c r="P241" s="18">
        <v>0</v>
      </c>
      <c r="Q241" s="18">
        <v>1</v>
      </c>
      <c r="R241" s="18">
        <v>0</v>
      </c>
      <c r="S241" s="18">
        <v>0</v>
      </c>
      <c r="T241" s="18">
        <v>0</v>
      </c>
      <c r="U241" s="18">
        <v>9</v>
      </c>
      <c r="V241" s="18">
        <v>575.16</v>
      </c>
      <c r="W241" s="18">
        <v>0.5</v>
      </c>
      <c r="X241" s="18">
        <v>5</v>
      </c>
      <c r="Y241" s="18">
        <v>287.58</v>
      </c>
      <c r="Z241" s="18">
        <v>1.02</v>
      </c>
      <c r="AA241" s="18">
        <v>287.58</v>
      </c>
      <c r="AB241" s="18">
        <v>79.88</v>
      </c>
      <c r="AC241" s="18">
        <v>16411.402442918708</v>
      </c>
      <c r="AD241" s="18">
        <v>12292606.183881201</v>
      </c>
      <c r="AE241" s="18" t="s">
        <v>1078</v>
      </c>
    </row>
    <row r="242" spans="1:31" x14ac:dyDescent="0.2">
      <c r="A242" s="18">
        <v>241</v>
      </c>
      <c r="B242" s="18">
        <v>241</v>
      </c>
      <c r="C242" s="18">
        <v>241</v>
      </c>
      <c r="D242" s="18">
        <v>531</v>
      </c>
      <c r="E242" s="18" t="s">
        <v>488</v>
      </c>
      <c r="F242" s="18" t="s">
        <v>490</v>
      </c>
      <c r="G242" s="18">
        <v>5600</v>
      </c>
      <c r="H242" s="18">
        <v>0</v>
      </c>
      <c r="I242" s="18">
        <v>3.14</v>
      </c>
      <c r="J242" s="18">
        <v>55.73</v>
      </c>
      <c r="K242" s="18">
        <v>0</v>
      </c>
      <c r="L242" s="18">
        <v>37.9</v>
      </c>
      <c r="M242" s="18">
        <v>0.96</v>
      </c>
      <c r="N242" s="18">
        <v>5.41</v>
      </c>
      <c r="O242" s="18">
        <v>0</v>
      </c>
      <c r="P242" s="18">
        <v>0</v>
      </c>
      <c r="Q242" s="18">
        <v>1</v>
      </c>
      <c r="R242" s="18">
        <v>0</v>
      </c>
      <c r="S242" s="18">
        <v>0</v>
      </c>
      <c r="T242" s="18">
        <v>0</v>
      </c>
      <c r="U242" s="18">
        <v>8</v>
      </c>
      <c r="V242" s="18">
        <v>564.48</v>
      </c>
      <c r="W242" s="18">
        <v>0.5</v>
      </c>
      <c r="X242" s="18">
        <v>4</v>
      </c>
      <c r="Y242" s="18">
        <v>282.24</v>
      </c>
      <c r="Z242" s="18">
        <v>1.27</v>
      </c>
      <c r="AA242" s="18">
        <v>282.24</v>
      </c>
      <c r="AB242" s="18">
        <v>78.400000000000006</v>
      </c>
      <c r="AC242" s="18">
        <v>19162.298296116842</v>
      </c>
      <c r="AD242" s="18">
        <v>16112139.607846839</v>
      </c>
      <c r="AE242" s="18" t="s">
        <v>1078</v>
      </c>
    </row>
    <row r="243" spans="1:31" x14ac:dyDescent="0.2">
      <c r="A243" s="18">
        <v>242</v>
      </c>
      <c r="B243" s="18">
        <v>242</v>
      </c>
      <c r="C243" s="18">
        <v>242</v>
      </c>
      <c r="D243" s="18">
        <v>535</v>
      </c>
      <c r="E243" s="18" t="s">
        <v>503</v>
      </c>
      <c r="F243" s="18" t="s">
        <v>505</v>
      </c>
      <c r="G243" s="18">
        <v>5600</v>
      </c>
      <c r="H243" s="18">
        <v>0</v>
      </c>
      <c r="I243" s="18">
        <v>44.46</v>
      </c>
      <c r="J243" s="18">
        <v>95.97</v>
      </c>
      <c r="K243" s="18">
        <v>0</v>
      </c>
      <c r="L243" s="18">
        <v>1.37</v>
      </c>
      <c r="M243" s="18">
        <v>2.59</v>
      </c>
      <c r="N243" s="18">
        <v>7.0000000000000007E-2</v>
      </c>
      <c r="O243" s="18">
        <v>0</v>
      </c>
      <c r="P243" s="18">
        <v>0</v>
      </c>
      <c r="Q243" s="18">
        <v>1</v>
      </c>
      <c r="R243" s="18">
        <v>0</v>
      </c>
      <c r="S243" s="18">
        <v>0</v>
      </c>
      <c r="T243" s="18">
        <v>0</v>
      </c>
      <c r="U243" s="18">
        <v>62</v>
      </c>
      <c r="V243" s="18">
        <v>3962.25</v>
      </c>
      <c r="W243" s="18">
        <v>0.5</v>
      </c>
      <c r="X243" s="18">
        <v>31</v>
      </c>
      <c r="Y243" s="18">
        <v>1981.12</v>
      </c>
      <c r="Z243" s="18">
        <v>0.7</v>
      </c>
      <c r="AA243" s="18">
        <v>1981.12</v>
      </c>
      <c r="AB243" s="18">
        <v>550.30999999999995</v>
      </c>
      <c r="AC243" s="18">
        <v>35781.29799240984</v>
      </c>
      <c r="AD243" s="18">
        <v>40163357.992994957</v>
      </c>
      <c r="AE243" s="18" t="s">
        <v>1074</v>
      </c>
    </row>
    <row r="244" spans="1:31" x14ac:dyDescent="0.2">
      <c r="A244" s="18">
        <v>243</v>
      </c>
      <c r="B244" s="18">
        <v>243</v>
      </c>
      <c r="C244" s="18">
        <v>243</v>
      </c>
      <c r="D244" s="18">
        <v>536</v>
      </c>
      <c r="E244" s="18" t="s">
        <v>509</v>
      </c>
      <c r="F244" s="18" t="s">
        <v>511</v>
      </c>
      <c r="G244" s="18">
        <v>5600</v>
      </c>
      <c r="H244" s="18">
        <v>0</v>
      </c>
      <c r="I244" s="18">
        <v>0.53</v>
      </c>
      <c r="J244" s="18">
        <v>90.57</v>
      </c>
      <c r="K244" s="18">
        <v>0</v>
      </c>
      <c r="L244" s="18">
        <v>1.89</v>
      </c>
      <c r="M244" s="18">
        <v>5.66</v>
      </c>
      <c r="N244" s="18">
        <v>1.89</v>
      </c>
      <c r="O244" s="18">
        <v>0</v>
      </c>
      <c r="P244" s="18">
        <v>0</v>
      </c>
      <c r="Q244" s="18">
        <v>1</v>
      </c>
      <c r="R244" s="18">
        <v>0</v>
      </c>
      <c r="S244" s="18">
        <v>0</v>
      </c>
      <c r="T244" s="18">
        <v>0</v>
      </c>
      <c r="U244" s="18">
        <v>7</v>
      </c>
      <c r="V244" s="18">
        <v>406.43</v>
      </c>
      <c r="W244" s="18">
        <v>0.5</v>
      </c>
      <c r="X244" s="18">
        <v>4</v>
      </c>
      <c r="Y244" s="18">
        <v>203.21</v>
      </c>
      <c r="Z244" s="18">
        <v>7.55</v>
      </c>
      <c r="AA244" s="18">
        <v>203.21</v>
      </c>
      <c r="AB244" s="18">
        <v>56.45</v>
      </c>
      <c r="AC244" s="18">
        <v>22829.164918142858</v>
      </c>
      <c r="AD244" s="18">
        <v>25096537.257244419</v>
      </c>
      <c r="AE244" s="18" t="s">
        <v>1077</v>
      </c>
    </row>
    <row r="245" spans="1:31" x14ac:dyDescent="0.2">
      <c r="A245" s="18">
        <v>244</v>
      </c>
      <c r="B245" s="18">
        <v>244</v>
      </c>
      <c r="C245" s="18">
        <v>244</v>
      </c>
      <c r="D245" s="18">
        <v>544</v>
      </c>
      <c r="E245" s="18" t="s">
        <v>533</v>
      </c>
      <c r="F245" s="18" t="s">
        <v>535</v>
      </c>
      <c r="G245" s="18">
        <v>5600</v>
      </c>
      <c r="H245" s="18">
        <v>0</v>
      </c>
      <c r="I245" s="18">
        <v>17.47</v>
      </c>
      <c r="J245" s="18">
        <v>93.99</v>
      </c>
      <c r="K245" s="18">
        <v>0</v>
      </c>
      <c r="L245" s="18">
        <v>0.11</v>
      </c>
      <c r="M245" s="18">
        <v>5.55</v>
      </c>
      <c r="N245" s="18">
        <v>0.34</v>
      </c>
      <c r="O245" s="18">
        <v>0</v>
      </c>
      <c r="P245" s="18">
        <v>0</v>
      </c>
      <c r="Q245" s="18">
        <v>1</v>
      </c>
      <c r="R245" s="18">
        <v>0</v>
      </c>
      <c r="S245" s="18">
        <v>0</v>
      </c>
      <c r="T245" s="18">
        <v>0</v>
      </c>
      <c r="U245" s="18">
        <v>24</v>
      </c>
      <c r="V245" s="18">
        <v>1533.77</v>
      </c>
      <c r="W245" s="18">
        <v>0.5</v>
      </c>
      <c r="X245" s="18">
        <v>12</v>
      </c>
      <c r="Y245" s="18">
        <v>766.89</v>
      </c>
      <c r="Z245" s="18">
        <v>0.69</v>
      </c>
      <c r="AA245" s="18">
        <v>766.89</v>
      </c>
      <c r="AB245" s="18">
        <v>213.03</v>
      </c>
      <c r="AC245" s="18">
        <v>29972.829873462091</v>
      </c>
      <c r="AD245" s="18">
        <v>29385500.421256479</v>
      </c>
      <c r="AE245" s="18" t="s">
        <v>1087</v>
      </c>
    </row>
    <row r="246" spans="1:31" x14ac:dyDescent="0.2">
      <c r="A246" s="18">
        <v>245</v>
      </c>
      <c r="B246" s="18">
        <v>245</v>
      </c>
      <c r="C246" s="18">
        <v>245</v>
      </c>
      <c r="D246" s="18">
        <v>545</v>
      </c>
      <c r="E246" s="18" t="s">
        <v>548</v>
      </c>
      <c r="F246" s="18" t="s">
        <v>550</v>
      </c>
      <c r="G246" s="18">
        <v>5600</v>
      </c>
      <c r="H246" s="18">
        <v>0</v>
      </c>
      <c r="I246" s="18">
        <v>1.73</v>
      </c>
      <c r="J246" s="18">
        <v>71.099999999999994</v>
      </c>
      <c r="K246" s="18">
        <v>11.56</v>
      </c>
      <c r="L246" s="18">
        <v>10.98</v>
      </c>
      <c r="M246" s="18">
        <v>5.78</v>
      </c>
      <c r="N246" s="18">
        <v>0.57999999999999996</v>
      </c>
      <c r="O246" s="18">
        <v>0</v>
      </c>
      <c r="P246" s="18">
        <v>0</v>
      </c>
      <c r="Q246" s="18">
        <v>1</v>
      </c>
      <c r="R246" s="18">
        <v>0</v>
      </c>
      <c r="S246" s="18">
        <v>0</v>
      </c>
      <c r="T246" s="18">
        <v>0</v>
      </c>
      <c r="U246" s="18">
        <v>10</v>
      </c>
      <c r="V246" s="18">
        <v>580.61</v>
      </c>
      <c r="W246" s="18">
        <v>0.5</v>
      </c>
      <c r="X246" s="18">
        <v>5</v>
      </c>
      <c r="Y246" s="18">
        <v>290.3</v>
      </c>
      <c r="Z246" s="18">
        <v>2.89</v>
      </c>
      <c r="AA246" s="18">
        <v>290.3</v>
      </c>
      <c r="AB246" s="18">
        <v>80.64</v>
      </c>
      <c r="AC246" s="18">
        <v>21361.388741540221</v>
      </c>
      <c r="AD246" s="18">
        <v>22771121.839611121</v>
      </c>
      <c r="AE246" s="18" t="s">
        <v>1101</v>
      </c>
    </row>
    <row r="247" spans="1:31" x14ac:dyDescent="0.2">
      <c r="A247" s="18">
        <v>246</v>
      </c>
      <c r="B247" s="18">
        <v>246</v>
      </c>
      <c r="C247" s="18">
        <v>246</v>
      </c>
      <c r="D247" s="18">
        <v>546</v>
      </c>
      <c r="E247" s="18" t="s">
        <v>536</v>
      </c>
      <c r="F247" s="18" t="s">
        <v>538</v>
      </c>
      <c r="G247" s="18">
        <v>5600</v>
      </c>
      <c r="H247" s="18">
        <v>0</v>
      </c>
      <c r="I247" s="18">
        <v>55.21</v>
      </c>
      <c r="J247" s="18">
        <v>15.43</v>
      </c>
      <c r="K247" s="18">
        <v>0.02</v>
      </c>
      <c r="L247" s="18">
        <v>78.61</v>
      </c>
      <c r="M247" s="18">
        <v>5.69</v>
      </c>
      <c r="N247" s="18">
        <v>0.25</v>
      </c>
      <c r="O247" s="18">
        <v>0</v>
      </c>
      <c r="P247" s="18">
        <v>0</v>
      </c>
      <c r="Q247" s="18">
        <v>1</v>
      </c>
      <c r="R247" s="18">
        <v>0</v>
      </c>
      <c r="S247" s="18">
        <v>0</v>
      </c>
      <c r="T247" s="18">
        <v>0</v>
      </c>
      <c r="U247" s="18">
        <v>70</v>
      </c>
      <c r="V247" s="18">
        <v>4939.2</v>
      </c>
      <c r="W247" s="18">
        <v>0.5</v>
      </c>
      <c r="X247" s="18">
        <v>35</v>
      </c>
      <c r="Y247" s="18">
        <v>2469.6</v>
      </c>
      <c r="Z247" s="18">
        <v>0.63</v>
      </c>
      <c r="AA247" s="18">
        <v>2469.6</v>
      </c>
      <c r="AB247" s="18">
        <v>686</v>
      </c>
      <c r="AC247" s="18">
        <v>32823.23527221394</v>
      </c>
      <c r="AD247" s="18">
        <v>52787494.83233317</v>
      </c>
      <c r="AE247" s="18" t="s">
        <v>1077</v>
      </c>
    </row>
    <row r="248" spans="1:31" x14ac:dyDescent="0.2">
      <c r="A248" s="18">
        <v>247</v>
      </c>
      <c r="B248" s="18">
        <v>247</v>
      </c>
      <c r="C248" s="18">
        <v>247</v>
      </c>
      <c r="D248" s="18">
        <v>570</v>
      </c>
      <c r="E248" s="18" t="s">
        <v>602</v>
      </c>
      <c r="F248" s="18" t="s">
        <v>604</v>
      </c>
      <c r="G248" s="18">
        <v>5600</v>
      </c>
      <c r="H248" s="18">
        <v>0</v>
      </c>
      <c r="I248" s="18">
        <v>1.57</v>
      </c>
      <c r="J248" s="18">
        <v>97.45</v>
      </c>
      <c r="K248" s="18">
        <v>0</v>
      </c>
      <c r="L248" s="18">
        <v>0</v>
      </c>
      <c r="M248" s="18">
        <v>0</v>
      </c>
      <c r="N248" s="18">
        <v>2.5499999999999998</v>
      </c>
      <c r="O248" s="18">
        <v>0</v>
      </c>
      <c r="P248" s="18">
        <v>0</v>
      </c>
      <c r="Q248" s="18">
        <v>1</v>
      </c>
      <c r="R248" s="18">
        <v>0</v>
      </c>
      <c r="S248" s="18">
        <v>0</v>
      </c>
      <c r="T248" s="18">
        <v>0</v>
      </c>
      <c r="U248" s="18">
        <v>7</v>
      </c>
      <c r="V248" s="18">
        <v>373.97</v>
      </c>
      <c r="W248" s="18">
        <v>0.5</v>
      </c>
      <c r="X248" s="18">
        <v>4</v>
      </c>
      <c r="Y248" s="18">
        <v>186.98</v>
      </c>
      <c r="Z248" s="18">
        <v>2.5499999999999998</v>
      </c>
      <c r="AA248" s="18">
        <v>186.98</v>
      </c>
      <c r="AB248" s="18">
        <v>51.94</v>
      </c>
      <c r="AC248" s="18">
        <v>25325.278527097529</v>
      </c>
      <c r="AD248" s="18">
        <v>34517160.677712873</v>
      </c>
      <c r="AE248" s="18" t="s">
        <v>1080</v>
      </c>
    </row>
    <row r="249" spans="1:31" x14ac:dyDescent="0.2">
      <c r="A249" s="18">
        <v>248</v>
      </c>
      <c r="B249" s="18">
        <v>248</v>
      </c>
      <c r="C249" s="18">
        <v>248</v>
      </c>
      <c r="D249" s="18">
        <v>550</v>
      </c>
      <c r="E249" s="18" t="s">
        <v>542</v>
      </c>
      <c r="F249" s="18" t="s">
        <v>544</v>
      </c>
      <c r="G249" s="18">
        <v>5600</v>
      </c>
      <c r="H249" s="18">
        <v>0</v>
      </c>
      <c r="I249" s="18">
        <v>7.49</v>
      </c>
      <c r="J249" s="18">
        <v>85.98</v>
      </c>
      <c r="K249" s="18">
        <v>0</v>
      </c>
      <c r="L249" s="18">
        <v>0.27</v>
      </c>
      <c r="M249" s="18">
        <v>12.82</v>
      </c>
      <c r="N249" s="18">
        <v>0.93</v>
      </c>
      <c r="O249" s="18">
        <v>0</v>
      </c>
      <c r="P249" s="18">
        <v>0</v>
      </c>
      <c r="Q249" s="18">
        <v>1</v>
      </c>
      <c r="R249" s="18">
        <v>0</v>
      </c>
      <c r="S249" s="18">
        <v>0</v>
      </c>
      <c r="T249" s="18">
        <v>0</v>
      </c>
      <c r="U249" s="18">
        <v>17</v>
      </c>
      <c r="V249" s="18">
        <v>1086.42</v>
      </c>
      <c r="W249" s="18">
        <v>0.5</v>
      </c>
      <c r="X249" s="18">
        <v>9</v>
      </c>
      <c r="Y249" s="18">
        <v>543.21</v>
      </c>
      <c r="Z249" s="18">
        <v>1.2</v>
      </c>
      <c r="AA249" s="18">
        <v>543.21</v>
      </c>
      <c r="AB249" s="18">
        <v>150.88999999999999</v>
      </c>
      <c r="AC249" s="18">
        <v>28077.781851873209</v>
      </c>
      <c r="AD249" s="18">
        <v>37060719.124055713</v>
      </c>
      <c r="AE249" s="18" t="s">
        <v>1077</v>
      </c>
    </row>
    <row r="250" spans="1:31" x14ac:dyDescent="0.2">
      <c r="A250" s="18">
        <v>249</v>
      </c>
      <c r="B250" s="18">
        <v>249</v>
      </c>
      <c r="C250" s="18">
        <v>249</v>
      </c>
      <c r="D250" s="18">
        <v>551</v>
      </c>
      <c r="E250" s="18" t="s">
        <v>545</v>
      </c>
      <c r="F250" s="18" t="s">
        <v>547</v>
      </c>
      <c r="G250" s="18">
        <v>5600</v>
      </c>
      <c r="H250" s="18">
        <v>0</v>
      </c>
      <c r="I250" s="18">
        <v>11.36</v>
      </c>
      <c r="J250" s="18">
        <v>96.92</v>
      </c>
      <c r="K250" s="18">
        <v>0</v>
      </c>
      <c r="L250" s="18">
        <v>0.7</v>
      </c>
      <c r="M250" s="18">
        <v>2.02</v>
      </c>
      <c r="N250" s="18">
        <v>0.35</v>
      </c>
      <c r="O250" s="18">
        <v>0</v>
      </c>
      <c r="P250" s="18">
        <v>0</v>
      </c>
      <c r="Q250" s="18">
        <v>1</v>
      </c>
      <c r="R250" s="18">
        <v>0</v>
      </c>
      <c r="S250" s="18">
        <v>0</v>
      </c>
      <c r="T250" s="18">
        <v>0</v>
      </c>
      <c r="U250" s="18">
        <v>25</v>
      </c>
      <c r="V250" s="18">
        <v>1597.68</v>
      </c>
      <c r="W250" s="18">
        <v>0.5</v>
      </c>
      <c r="X250" s="18">
        <v>13</v>
      </c>
      <c r="Y250" s="18">
        <v>798.84</v>
      </c>
      <c r="Z250" s="18">
        <v>1.1399999999999999</v>
      </c>
      <c r="AA250" s="18">
        <v>798.84</v>
      </c>
      <c r="AB250" s="18">
        <v>221.9</v>
      </c>
      <c r="AC250" s="18">
        <v>22488.095011550529</v>
      </c>
      <c r="AD250" s="18">
        <v>21948086.48868059</v>
      </c>
      <c r="AE250" s="18" t="s">
        <v>1078</v>
      </c>
    </row>
    <row r="251" spans="1:31" x14ac:dyDescent="0.2">
      <c r="A251" s="18">
        <v>250</v>
      </c>
      <c r="B251" s="18">
        <v>250</v>
      </c>
      <c r="C251" s="18">
        <v>250</v>
      </c>
      <c r="D251" s="18">
        <v>569</v>
      </c>
      <c r="E251" s="18" t="s">
        <v>599</v>
      </c>
      <c r="F251" s="18" t="s">
        <v>601</v>
      </c>
      <c r="G251" s="18">
        <v>5600</v>
      </c>
      <c r="H251" s="18">
        <v>0</v>
      </c>
      <c r="I251" s="18">
        <v>9.7899999999999991</v>
      </c>
      <c r="J251" s="18">
        <v>50.05</v>
      </c>
      <c r="K251" s="18">
        <v>0.92</v>
      </c>
      <c r="L251" s="18">
        <v>48.11</v>
      </c>
      <c r="M251" s="18">
        <v>0</v>
      </c>
      <c r="N251" s="18">
        <v>0.92</v>
      </c>
      <c r="O251" s="18">
        <v>0</v>
      </c>
      <c r="P251" s="18">
        <v>0</v>
      </c>
      <c r="Q251" s="18">
        <v>1</v>
      </c>
      <c r="R251" s="18">
        <v>0</v>
      </c>
      <c r="S251" s="18">
        <v>0</v>
      </c>
      <c r="T251" s="18">
        <v>0</v>
      </c>
      <c r="U251" s="18">
        <v>18</v>
      </c>
      <c r="V251" s="18">
        <v>961.63</v>
      </c>
      <c r="W251" s="18">
        <v>0.5</v>
      </c>
      <c r="X251" s="18">
        <v>9</v>
      </c>
      <c r="Y251" s="18">
        <v>480.82</v>
      </c>
      <c r="Z251" s="18">
        <v>0.92</v>
      </c>
      <c r="AA251" s="18">
        <v>480.82</v>
      </c>
      <c r="AB251" s="18">
        <v>133.56</v>
      </c>
      <c r="AC251" s="18">
        <v>28189.38705407899</v>
      </c>
      <c r="AD251" s="18">
        <v>35115841.696794942</v>
      </c>
      <c r="AE251" s="18" t="s">
        <v>1081</v>
      </c>
    </row>
    <row r="252" spans="1:31" x14ac:dyDescent="0.2">
      <c r="A252" s="18">
        <v>251</v>
      </c>
      <c r="B252" s="18">
        <v>251</v>
      </c>
      <c r="C252" s="18">
        <v>251</v>
      </c>
      <c r="D252" s="18">
        <v>571</v>
      </c>
      <c r="E252" s="18" t="s">
        <v>1114</v>
      </c>
      <c r="F252" s="18" t="s">
        <v>1115</v>
      </c>
      <c r="G252" s="18">
        <v>5600</v>
      </c>
      <c r="H252" s="18">
        <v>0</v>
      </c>
      <c r="I252" s="18">
        <v>58.28</v>
      </c>
      <c r="J252" s="18">
        <v>77.33</v>
      </c>
      <c r="K252" s="18">
        <v>0.27</v>
      </c>
      <c r="L252" s="18">
        <v>21.23</v>
      </c>
      <c r="M252" s="18">
        <v>1.17</v>
      </c>
      <c r="N252" s="18">
        <v>0</v>
      </c>
      <c r="O252" s="18">
        <v>0</v>
      </c>
      <c r="P252" s="18">
        <v>0</v>
      </c>
      <c r="Q252" s="18">
        <v>1</v>
      </c>
      <c r="R252" s="18">
        <v>0</v>
      </c>
      <c r="S252" s="18">
        <v>0</v>
      </c>
      <c r="T252" s="18">
        <v>0</v>
      </c>
      <c r="U252" s="18">
        <v>107</v>
      </c>
      <c r="V252" s="18">
        <v>5716.37</v>
      </c>
      <c r="W252" s="18">
        <v>0.5</v>
      </c>
      <c r="X252" s="18">
        <v>54</v>
      </c>
      <c r="Y252" s="18">
        <v>2858.18</v>
      </c>
      <c r="Z252" s="18">
        <v>0.93</v>
      </c>
      <c r="AA252" s="18">
        <v>2858.18</v>
      </c>
      <c r="AB252" s="18">
        <v>793.94</v>
      </c>
      <c r="AC252" s="18">
        <v>65587.038327564806</v>
      </c>
      <c r="AD252" s="18">
        <v>113945855.39447971</v>
      </c>
      <c r="AE252" s="18" t="s">
        <v>1080</v>
      </c>
    </row>
    <row r="253" spans="1:31" x14ac:dyDescent="0.2">
      <c r="A253" s="18">
        <v>252</v>
      </c>
      <c r="B253" s="18">
        <v>252</v>
      </c>
      <c r="C253" s="18">
        <v>252</v>
      </c>
      <c r="D253" s="18">
        <v>572</v>
      </c>
      <c r="E253" s="18" t="s">
        <v>605</v>
      </c>
      <c r="F253" s="18" t="s">
        <v>607</v>
      </c>
      <c r="G253" s="18">
        <v>5600</v>
      </c>
      <c r="H253" s="18">
        <v>0</v>
      </c>
      <c r="I253" s="18">
        <v>40.81</v>
      </c>
      <c r="J253" s="18">
        <v>26.32</v>
      </c>
      <c r="K253" s="18">
        <v>0</v>
      </c>
      <c r="L253" s="18">
        <v>70.13</v>
      </c>
      <c r="M253" s="18">
        <v>3.5</v>
      </c>
      <c r="N253" s="18">
        <v>0.05</v>
      </c>
      <c r="O253" s="18">
        <v>0</v>
      </c>
      <c r="P253" s="18">
        <v>0</v>
      </c>
      <c r="Q253" s="18">
        <v>1</v>
      </c>
      <c r="R253" s="18">
        <v>0</v>
      </c>
      <c r="S253" s="18">
        <v>0</v>
      </c>
      <c r="T253" s="18">
        <v>0</v>
      </c>
      <c r="U253" s="18">
        <v>66</v>
      </c>
      <c r="V253" s="18">
        <v>3525.98</v>
      </c>
      <c r="W253" s="18">
        <v>0.5</v>
      </c>
      <c r="X253" s="18">
        <v>33</v>
      </c>
      <c r="Y253" s="18">
        <v>1762.99</v>
      </c>
      <c r="Z253" s="18">
        <v>0.81</v>
      </c>
      <c r="AA253" s="18">
        <v>1762.99</v>
      </c>
      <c r="AB253" s="18">
        <v>489.72</v>
      </c>
      <c r="AC253" s="18">
        <v>43329.618708798247</v>
      </c>
      <c r="AD253" s="18">
        <v>64769102.030755177</v>
      </c>
      <c r="AE253" s="18" t="s">
        <v>1080</v>
      </c>
    </row>
    <row r="254" spans="1:31" x14ac:dyDescent="0.2">
      <c r="A254" s="18">
        <v>253</v>
      </c>
      <c r="B254" s="18">
        <v>253</v>
      </c>
      <c r="C254" s="18">
        <v>253</v>
      </c>
      <c r="D254" s="18">
        <v>575</v>
      </c>
      <c r="E254" s="18" t="s">
        <v>617</v>
      </c>
      <c r="F254" s="18" t="s">
        <v>619</v>
      </c>
      <c r="G254" s="18">
        <v>5600</v>
      </c>
      <c r="H254" s="18">
        <v>0</v>
      </c>
      <c r="I254" s="18">
        <v>4.54</v>
      </c>
      <c r="J254" s="18">
        <v>94.05</v>
      </c>
      <c r="K254" s="18">
        <v>0</v>
      </c>
      <c r="L254" s="18">
        <v>0</v>
      </c>
      <c r="M254" s="18">
        <v>5.95</v>
      </c>
      <c r="N254" s="18">
        <v>0</v>
      </c>
      <c r="O254" s="18">
        <v>0</v>
      </c>
      <c r="P254" s="18">
        <v>0</v>
      </c>
      <c r="Q254" s="18">
        <v>1</v>
      </c>
      <c r="R254" s="18">
        <v>0</v>
      </c>
      <c r="S254" s="18">
        <v>0</v>
      </c>
      <c r="T254" s="18">
        <v>0</v>
      </c>
      <c r="U254" s="18">
        <v>14</v>
      </c>
      <c r="V254" s="18">
        <v>747.94</v>
      </c>
      <c r="W254" s="18">
        <v>0.5</v>
      </c>
      <c r="X254" s="18">
        <v>7</v>
      </c>
      <c r="Y254" s="18">
        <v>373.97</v>
      </c>
      <c r="Z254" s="18">
        <v>1.54</v>
      </c>
      <c r="AA254" s="18">
        <v>373.97</v>
      </c>
      <c r="AB254" s="18">
        <v>103.88</v>
      </c>
      <c r="AC254" s="18">
        <v>28669.4425768931</v>
      </c>
      <c r="AD254" s="18">
        <v>29730160.713702582</v>
      </c>
      <c r="AE254" s="18" t="s">
        <v>1084</v>
      </c>
    </row>
    <row r="255" spans="1:31" x14ac:dyDescent="0.2">
      <c r="A255" s="18">
        <v>254</v>
      </c>
      <c r="B255" s="18">
        <v>254</v>
      </c>
      <c r="C255" s="18">
        <v>254</v>
      </c>
      <c r="D255" s="18">
        <v>580</v>
      </c>
      <c r="E255" s="18" t="s">
        <v>629</v>
      </c>
      <c r="F255" s="18" t="s">
        <v>631</v>
      </c>
      <c r="G255" s="18">
        <v>5600</v>
      </c>
      <c r="H255" s="18">
        <v>0</v>
      </c>
      <c r="I255" s="18">
        <v>8.32</v>
      </c>
      <c r="J255" s="18">
        <v>85.46</v>
      </c>
      <c r="K255" s="18">
        <v>1.32</v>
      </c>
      <c r="L255" s="18">
        <v>4.57</v>
      </c>
      <c r="M255" s="18">
        <v>7.57</v>
      </c>
      <c r="N255" s="18">
        <v>1.08</v>
      </c>
      <c r="O255" s="18">
        <v>0</v>
      </c>
      <c r="P255" s="18">
        <v>0</v>
      </c>
      <c r="Q255" s="18">
        <v>1</v>
      </c>
      <c r="R255" s="18">
        <v>0</v>
      </c>
      <c r="S255" s="18">
        <v>0</v>
      </c>
      <c r="T255" s="18">
        <v>0</v>
      </c>
      <c r="U255" s="18">
        <v>20</v>
      </c>
      <c r="V255" s="18">
        <v>1161.22</v>
      </c>
      <c r="W255" s="18">
        <v>0.5</v>
      </c>
      <c r="X255" s="18">
        <v>10</v>
      </c>
      <c r="Y255" s="18">
        <v>580.61</v>
      </c>
      <c r="Z255" s="18">
        <v>1.2</v>
      </c>
      <c r="AA255" s="18">
        <v>580.61</v>
      </c>
      <c r="AB255" s="18">
        <v>161.28</v>
      </c>
      <c r="AC255" s="18">
        <v>23965.760544414381</v>
      </c>
      <c r="AD255" s="18">
        <v>29689407.548205409</v>
      </c>
      <c r="AE255" s="18" t="s">
        <v>1082</v>
      </c>
    </row>
    <row r="256" spans="1:31" x14ac:dyDescent="0.2">
      <c r="A256" s="18">
        <v>255</v>
      </c>
      <c r="B256" s="18">
        <v>255</v>
      </c>
      <c r="C256" s="18">
        <v>255</v>
      </c>
      <c r="D256" s="18">
        <v>581</v>
      </c>
      <c r="E256" s="18" t="s">
        <v>743</v>
      </c>
      <c r="F256" s="18" t="s">
        <v>745</v>
      </c>
      <c r="G256" s="18">
        <v>5600</v>
      </c>
      <c r="H256" s="18">
        <v>0</v>
      </c>
      <c r="I256" s="18">
        <v>5.01</v>
      </c>
      <c r="J256" s="18">
        <v>11.38</v>
      </c>
      <c r="K256" s="18">
        <v>1.2</v>
      </c>
      <c r="L256" s="18">
        <v>87.03</v>
      </c>
      <c r="M256" s="18">
        <v>0</v>
      </c>
      <c r="N256" s="18">
        <v>0.4</v>
      </c>
      <c r="O256" s="18">
        <v>0</v>
      </c>
      <c r="P256" s="18">
        <v>0</v>
      </c>
      <c r="Q256" s="18">
        <v>1</v>
      </c>
      <c r="R256" s="18">
        <v>0</v>
      </c>
      <c r="S256" s="18">
        <v>0</v>
      </c>
      <c r="T256" s="18">
        <v>0</v>
      </c>
      <c r="U256" s="18">
        <v>9</v>
      </c>
      <c r="V256" s="18">
        <v>480.82</v>
      </c>
      <c r="W256" s="18">
        <v>0.5</v>
      </c>
      <c r="X256" s="18">
        <v>5</v>
      </c>
      <c r="Y256" s="18">
        <v>240.41</v>
      </c>
      <c r="Z256" s="18">
        <v>1</v>
      </c>
      <c r="AA256" s="18">
        <v>240.41</v>
      </c>
      <c r="AB256" s="18">
        <v>66.78</v>
      </c>
      <c r="AC256" s="18">
        <v>19558.95722397729</v>
      </c>
      <c r="AD256" s="18">
        <v>18840953.421839841</v>
      </c>
      <c r="AE256" s="18" t="s">
        <v>1085</v>
      </c>
    </row>
    <row r="257" spans="1:31" x14ac:dyDescent="0.2">
      <c r="A257" s="18">
        <v>256</v>
      </c>
      <c r="B257" s="18">
        <v>256</v>
      </c>
      <c r="C257" s="18">
        <v>256</v>
      </c>
      <c r="D257" s="18">
        <v>582</v>
      </c>
      <c r="E257" s="18" t="s">
        <v>632</v>
      </c>
      <c r="F257" s="18" t="s">
        <v>634</v>
      </c>
      <c r="G257" s="18">
        <v>5600</v>
      </c>
      <c r="H257" s="18">
        <v>0</v>
      </c>
      <c r="I257" s="18">
        <v>1.1599999999999999</v>
      </c>
      <c r="J257" s="18">
        <v>14.66</v>
      </c>
      <c r="K257" s="18">
        <v>0</v>
      </c>
      <c r="L257" s="18">
        <v>83.62</v>
      </c>
      <c r="M257" s="18">
        <v>0</v>
      </c>
      <c r="N257" s="18">
        <v>1.72</v>
      </c>
      <c r="O257" s="18">
        <v>0</v>
      </c>
      <c r="P257" s="18">
        <v>0</v>
      </c>
      <c r="Q257" s="18">
        <v>1</v>
      </c>
      <c r="R257" s="18">
        <v>0</v>
      </c>
      <c r="S257" s="18">
        <v>0</v>
      </c>
      <c r="T257" s="18">
        <v>0</v>
      </c>
      <c r="U257" s="18">
        <v>1</v>
      </c>
      <c r="V257" s="18">
        <v>53.42</v>
      </c>
      <c r="W257" s="18">
        <v>0.5</v>
      </c>
      <c r="X257" s="18">
        <v>1</v>
      </c>
      <c r="Y257" s="18">
        <v>26.71</v>
      </c>
      <c r="Z257" s="18">
        <v>0.86</v>
      </c>
      <c r="AA257" s="18">
        <v>26.71</v>
      </c>
      <c r="AB257" s="18">
        <v>7.42</v>
      </c>
      <c r="AC257" s="18">
        <v>43992.586799233992</v>
      </c>
      <c r="AD257" s="18">
        <v>65666881.038762569</v>
      </c>
      <c r="AE257" s="18" t="s">
        <v>1084</v>
      </c>
    </row>
    <row r="258" spans="1:31" x14ac:dyDescent="0.2">
      <c r="A258" s="18">
        <v>257</v>
      </c>
      <c r="B258" s="18">
        <v>257</v>
      </c>
      <c r="C258" s="18">
        <v>257</v>
      </c>
      <c r="D258" s="18">
        <v>583</v>
      </c>
      <c r="E258" s="18" t="s">
        <v>635</v>
      </c>
      <c r="F258" s="18" t="s">
        <v>637</v>
      </c>
      <c r="G258" s="18">
        <v>5600</v>
      </c>
      <c r="H258" s="18">
        <v>0</v>
      </c>
      <c r="I258" s="18">
        <v>36.659999999999997</v>
      </c>
      <c r="J258" s="18">
        <v>42.47</v>
      </c>
      <c r="K258" s="18">
        <v>0.03</v>
      </c>
      <c r="L258" s="18">
        <v>56.49</v>
      </c>
      <c r="M258" s="18">
        <v>0.74</v>
      </c>
      <c r="N258" s="18">
        <v>0.27</v>
      </c>
      <c r="O258" s="18">
        <v>0</v>
      </c>
      <c r="P258" s="18">
        <v>0</v>
      </c>
      <c r="Q258" s="18">
        <v>1</v>
      </c>
      <c r="R258" s="18">
        <v>0</v>
      </c>
      <c r="S258" s="18">
        <v>0</v>
      </c>
      <c r="T258" s="18">
        <v>0</v>
      </c>
      <c r="U258" s="18">
        <v>53</v>
      </c>
      <c r="V258" s="18">
        <v>2831.47</v>
      </c>
      <c r="W258" s="18">
        <v>0.5</v>
      </c>
      <c r="X258" s="18">
        <v>27</v>
      </c>
      <c r="Y258" s="18">
        <v>1415.74</v>
      </c>
      <c r="Z258" s="18">
        <v>0.74</v>
      </c>
      <c r="AA258" s="18">
        <v>1415.74</v>
      </c>
      <c r="AB258" s="18">
        <v>393.26</v>
      </c>
      <c r="AC258" s="18">
        <v>40866.878306262988</v>
      </c>
      <c r="AD258" s="18">
        <v>42229893.20528242</v>
      </c>
      <c r="AE258" s="18" t="s">
        <v>1084</v>
      </c>
    </row>
    <row r="259" spans="1:31" x14ac:dyDescent="0.2">
      <c r="A259" s="18">
        <v>258</v>
      </c>
      <c r="B259" s="18">
        <v>258</v>
      </c>
      <c r="C259" s="18">
        <v>258</v>
      </c>
      <c r="D259" s="18">
        <v>584</v>
      </c>
      <c r="E259" s="18" t="s">
        <v>1116</v>
      </c>
      <c r="F259" s="18" t="s">
        <v>1117</v>
      </c>
      <c r="G259" s="18">
        <v>5600</v>
      </c>
      <c r="H259" s="18">
        <v>0</v>
      </c>
      <c r="I259" s="18">
        <v>9.14</v>
      </c>
      <c r="J259" s="18">
        <v>86.87</v>
      </c>
      <c r="K259" s="18">
        <v>0</v>
      </c>
      <c r="L259" s="18">
        <v>11.05</v>
      </c>
      <c r="M259" s="18">
        <v>1.75</v>
      </c>
      <c r="N259" s="18">
        <v>0.33</v>
      </c>
      <c r="O259" s="18">
        <v>0</v>
      </c>
      <c r="P259" s="18">
        <v>0</v>
      </c>
      <c r="Q259" s="18">
        <v>1</v>
      </c>
      <c r="R259" s="18">
        <v>0</v>
      </c>
      <c r="S259" s="18">
        <v>0</v>
      </c>
      <c r="T259" s="18">
        <v>0</v>
      </c>
      <c r="U259" s="18">
        <v>22</v>
      </c>
      <c r="V259" s="18">
        <v>1175.33</v>
      </c>
      <c r="W259" s="18">
        <v>0.5</v>
      </c>
      <c r="X259" s="18">
        <v>11</v>
      </c>
      <c r="Y259" s="18">
        <v>587.66</v>
      </c>
      <c r="Z259" s="18">
        <v>1.2</v>
      </c>
      <c r="AA259" s="18">
        <v>587.66</v>
      </c>
      <c r="AB259" s="18">
        <v>163.24</v>
      </c>
      <c r="AC259" s="18">
        <v>27798.47572749864</v>
      </c>
      <c r="AD259" s="18">
        <v>28037435.22629147</v>
      </c>
      <c r="AE259" s="18" t="s">
        <v>1080</v>
      </c>
    </row>
    <row r="260" spans="1:31" x14ac:dyDescent="0.2">
      <c r="A260" s="18">
        <v>259</v>
      </c>
      <c r="B260" s="18">
        <v>259</v>
      </c>
      <c r="C260" s="18">
        <v>259</v>
      </c>
      <c r="D260" s="18">
        <v>585</v>
      </c>
      <c r="E260" s="18" t="s">
        <v>1118</v>
      </c>
      <c r="F260" s="18" t="s">
        <v>1119</v>
      </c>
      <c r="G260" s="18">
        <v>5600</v>
      </c>
      <c r="H260" s="18">
        <v>0</v>
      </c>
      <c r="I260" s="18">
        <v>36.51</v>
      </c>
      <c r="J260" s="18">
        <v>52.07</v>
      </c>
      <c r="K260" s="18">
        <v>0.19</v>
      </c>
      <c r="L260" s="18">
        <v>43.47</v>
      </c>
      <c r="M260" s="18">
        <v>4.25</v>
      </c>
      <c r="N260" s="18">
        <v>0.03</v>
      </c>
      <c r="O260" s="18">
        <v>0</v>
      </c>
      <c r="P260" s="18">
        <v>0</v>
      </c>
      <c r="Q260" s="18">
        <v>1</v>
      </c>
      <c r="R260" s="18">
        <v>0</v>
      </c>
      <c r="S260" s="18">
        <v>0</v>
      </c>
      <c r="T260" s="18">
        <v>0</v>
      </c>
      <c r="U260" s="18">
        <v>66</v>
      </c>
      <c r="V260" s="18">
        <v>3525.98</v>
      </c>
      <c r="W260" s="18">
        <v>0.5</v>
      </c>
      <c r="X260" s="18">
        <v>33</v>
      </c>
      <c r="Y260" s="18">
        <v>1762.99</v>
      </c>
      <c r="Z260" s="18">
        <v>0.9</v>
      </c>
      <c r="AA260" s="18">
        <v>1762.99</v>
      </c>
      <c r="AB260" s="18">
        <v>489.72</v>
      </c>
      <c r="AC260" s="18">
        <v>43226.65049151719</v>
      </c>
      <c r="AD260" s="18">
        <v>58526707.146027379</v>
      </c>
      <c r="AE260" s="18" t="s">
        <v>1080</v>
      </c>
    </row>
    <row r="261" spans="1:31" x14ac:dyDescent="0.2">
      <c r="A261" s="18">
        <v>260</v>
      </c>
      <c r="B261" s="18">
        <v>260</v>
      </c>
      <c r="C261" s="18">
        <v>260</v>
      </c>
      <c r="D261" s="18">
        <v>586</v>
      </c>
      <c r="E261" s="18" t="s">
        <v>638</v>
      </c>
      <c r="F261" s="18" t="s">
        <v>640</v>
      </c>
      <c r="G261" s="18">
        <v>5600</v>
      </c>
      <c r="H261" s="18">
        <v>0</v>
      </c>
      <c r="I261" s="18">
        <v>10.95</v>
      </c>
      <c r="J261" s="18">
        <v>23.84</v>
      </c>
      <c r="K261" s="18">
        <v>0</v>
      </c>
      <c r="L261" s="18">
        <v>75.709999999999994</v>
      </c>
      <c r="M261" s="18">
        <v>0.18</v>
      </c>
      <c r="N261" s="18">
        <v>0.27</v>
      </c>
      <c r="O261" s="18">
        <v>0</v>
      </c>
      <c r="P261" s="18">
        <v>0</v>
      </c>
      <c r="Q261" s="18">
        <v>1</v>
      </c>
      <c r="R261" s="18">
        <v>0</v>
      </c>
      <c r="S261" s="18">
        <v>0</v>
      </c>
      <c r="T261" s="18">
        <v>0</v>
      </c>
      <c r="U261" s="18">
        <v>17</v>
      </c>
      <c r="V261" s="18">
        <v>908.21</v>
      </c>
      <c r="W261" s="18">
        <v>0.5</v>
      </c>
      <c r="X261" s="18">
        <v>9</v>
      </c>
      <c r="Y261" s="18">
        <v>454.1</v>
      </c>
      <c r="Z261" s="18">
        <v>0.82</v>
      </c>
      <c r="AA261" s="18">
        <v>454.1</v>
      </c>
      <c r="AB261" s="18">
        <v>126.14</v>
      </c>
      <c r="AC261" s="18">
        <v>42767.437497213759</v>
      </c>
      <c r="AD261" s="18">
        <v>54754585.188498631</v>
      </c>
      <c r="AE261" s="18" t="s">
        <v>1081</v>
      </c>
    </row>
    <row r="262" spans="1:31" x14ac:dyDescent="0.2">
      <c r="A262" s="18">
        <v>261</v>
      </c>
      <c r="B262" s="18">
        <v>261</v>
      </c>
      <c r="C262" s="18">
        <v>261</v>
      </c>
      <c r="D262" s="18">
        <v>588</v>
      </c>
      <c r="E262" s="18" t="s">
        <v>644</v>
      </c>
      <c r="F262" s="18" t="s">
        <v>646</v>
      </c>
      <c r="G262" s="18">
        <v>5600</v>
      </c>
      <c r="H262" s="18">
        <v>0</v>
      </c>
      <c r="I262" s="18">
        <v>60.86</v>
      </c>
      <c r="J262" s="18">
        <v>43.59</v>
      </c>
      <c r="K262" s="18">
        <v>0.05</v>
      </c>
      <c r="L262" s="18">
        <v>53.83</v>
      </c>
      <c r="M262" s="18">
        <v>2.33</v>
      </c>
      <c r="N262" s="18">
        <v>0.2</v>
      </c>
      <c r="O262" s="18">
        <v>0</v>
      </c>
      <c r="P262" s="18">
        <v>0</v>
      </c>
      <c r="Q262" s="18">
        <v>1</v>
      </c>
      <c r="R262" s="18">
        <v>0</v>
      </c>
      <c r="S262" s="18">
        <v>0</v>
      </c>
      <c r="T262" s="18">
        <v>0</v>
      </c>
      <c r="U262" s="18">
        <v>92</v>
      </c>
      <c r="V262" s="18">
        <v>4915.01</v>
      </c>
      <c r="W262" s="18">
        <v>0.5</v>
      </c>
      <c r="X262" s="18">
        <v>46</v>
      </c>
      <c r="Y262" s="18">
        <v>2457.5</v>
      </c>
      <c r="Z262" s="18">
        <v>0.76</v>
      </c>
      <c r="AA262" s="18">
        <v>2457.5</v>
      </c>
      <c r="AB262" s="18">
        <v>682.64</v>
      </c>
      <c r="AC262" s="18">
        <v>45640.204748020988</v>
      </c>
      <c r="AD262" s="18">
        <v>81184940.140039667</v>
      </c>
      <c r="AE262" s="18" t="s">
        <v>1084</v>
      </c>
    </row>
    <row r="263" spans="1:31" x14ac:dyDescent="0.2">
      <c r="A263" s="18">
        <v>262</v>
      </c>
      <c r="B263" s="18">
        <v>262</v>
      </c>
      <c r="C263" s="18">
        <v>262</v>
      </c>
      <c r="D263" s="18">
        <v>589</v>
      </c>
      <c r="E263" s="18" t="s">
        <v>647</v>
      </c>
      <c r="F263" s="18" t="s">
        <v>649</v>
      </c>
      <c r="G263" s="18">
        <v>5600</v>
      </c>
      <c r="H263" s="18">
        <v>0</v>
      </c>
      <c r="I263" s="18">
        <v>71.260000000000005</v>
      </c>
      <c r="J263" s="18">
        <v>41.09</v>
      </c>
      <c r="K263" s="18">
        <v>0.1</v>
      </c>
      <c r="L263" s="18">
        <v>55.19</v>
      </c>
      <c r="M263" s="18">
        <v>3.41</v>
      </c>
      <c r="N263" s="18">
        <v>0.21</v>
      </c>
      <c r="O263" s="18">
        <v>0</v>
      </c>
      <c r="P263" s="18">
        <v>0</v>
      </c>
      <c r="Q263" s="18">
        <v>1</v>
      </c>
      <c r="R263" s="18">
        <v>0</v>
      </c>
      <c r="S263" s="18">
        <v>0</v>
      </c>
      <c r="T263" s="18">
        <v>0</v>
      </c>
      <c r="U263" s="18">
        <v>116</v>
      </c>
      <c r="V263" s="18">
        <v>6197.18</v>
      </c>
      <c r="W263" s="18">
        <v>0.5</v>
      </c>
      <c r="X263" s="18">
        <v>58</v>
      </c>
      <c r="Y263" s="18">
        <v>3098.59</v>
      </c>
      <c r="Z263" s="18">
        <v>0.81</v>
      </c>
      <c r="AA263" s="18">
        <v>3098.59</v>
      </c>
      <c r="AB263" s="18">
        <v>860.72</v>
      </c>
      <c r="AC263" s="18">
        <v>52905.50397196725</v>
      </c>
      <c r="AD263" s="18">
        <v>96477480.248596773</v>
      </c>
      <c r="AE263" s="18" t="s">
        <v>1084</v>
      </c>
    </row>
    <row r="264" spans="1:31" x14ac:dyDescent="0.2">
      <c r="A264" s="18">
        <v>263</v>
      </c>
      <c r="B264" s="18">
        <v>263</v>
      </c>
      <c r="C264" s="18">
        <v>263</v>
      </c>
      <c r="D264" s="18">
        <v>590</v>
      </c>
      <c r="E264" s="18" t="s">
        <v>1120</v>
      </c>
      <c r="F264" s="18" t="s">
        <v>1121</v>
      </c>
      <c r="G264" s="18">
        <v>5600</v>
      </c>
      <c r="H264" s="18">
        <v>0</v>
      </c>
      <c r="I264" s="18">
        <v>6.77</v>
      </c>
      <c r="J264" s="18">
        <v>79.03</v>
      </c>
      <c r="K264" s="18">
        <v>0</v>
      </c>
      <c r="L264" s="18">
        <v>18.61</v>
      </c>
      <c r="M264" s="18">
        <v>1.92</v>
      </c>
      <c r="N264" s="18">
        <v>0.44</v>
      </c>
      <c r="O264" s="18">
        <v>0</v>
      </c>
      <c r="P264" s="18">
        <v>0</v>
      </c>
      <c r="Q264" s="18">
        <v>1</v>
      </c>
      <c r="R264" s="18">
        <v>0</v>
      </c>
      <c r="S264" s="18">
        <v>0</v>
      </c>
      <c r="T264" s="18">
        <v>0</v>
      </c>
      <c r="U264" s="18">
        <v>13</v>
      </c>
      <c r="V264" s="18">
        <v>694.51</v>
      </c>
      <c r="W264" s="18">
        <v>0.5</v>
      </c>
      <c r="X264" s="18">
        <v>7</v>
      </c>
      <c r="Y264" s="18">
        <v>347.26</v>
      </c>
      <c r="Z264" s="18">
        <v>1.03</v>
      </c>
      <c r="AA264" s="18">
        <v>347.26</v>
      </c>
      <c r="AB264" s="18">
        <v>96.46</v>
      </c>
      <c r="AC264" s="18">
        <v>35131.262603708652</v>
      </c>
      <c r="AD264" s="18">
        <v>53078177.661720097</v>
      </c>
      <c r="AE264" s="18" t="s">
        <v>1080</v>
      </c>
    </row>
    <row r="265" spans="1:31" x14ac:dyDescent="0.2">
      <c r="A265" s="18">
        <v>264</v>
      </c>
      <c r="B265" s="18">
        <v>264</v>
      </c>
      <c r="C265" s="18">
        <v>264</v>
      </c>
      <c r="D265" s="18">
        <v>459</v>
      </c>
      <c r="E265" s="18" t="s">
        <v>284</v>
      </c>
      <c r="F265" s="18" t="s">
        <v>286</v>
      </c>
      <c r="G265" s="18">
        <v>5600</v>
      </c>
      <c r="H265" s="18">
        <v>2.12</v>
      </c>
      <c r="I265" s="18">
        <v>39.630000000000003</v>
      </c>
      <c r="J265" s="18">
        <v>97.4</v>
      </c>
      <c r="K265" s="18">
        <v>0</v>
      </c>
      <c r="L265" s="18">
        <v>1.0900000000000001</v>
      </c>
      <c r="M265" s="18">
        <v>0.88</v>
      </c>
      <c r="N265" s="18">
        <v>0.63</v>
      </c>
      <c r="O265" s="18">
        <v>5</v>
      </c>
      <c r="P265" s="18">
        <v>425.38</v>
      </c>
      <c r="Q265" s="18">
        <v>1</v>
      </c>
      <c r="R265" s="18">
        <v>5</v>
      </c>
      <c r="S265" s="18">
        <v>425.38</v>
      </c>
      <c r="T265" s="18">
        <v>2.36</v>
      </c>
      <c r="U265" s="18">
        <v>54</v>
      </c>
      <c r="V265" s="18">
        <v>2884.9</v>
      </c>
      <c r="W265" s="18">
        <v>0.5</v>
      </c>
      <c r="X265" s="18">
        <v>27</v>
      </c>
      <c r="Y265" s="18">
        <v>1442.45</v>
      </c>
      <c r="Z265" s="18">
        <v>0.68</v>
      </c>
      <c r="AA265" s="18">
        <v>1867.83</v>
      </c>
      <c r="AB265" s="18">
        <v>518.84</v>
      </c>
      <c r="AC265" s="18">
        <v>26271.150239486498</v>
      </c>
      <c r="AD265" s="18">
        <v>31416728.20717911</v>
      </c>
      <c r="AE265" s="18" t="s">
        <v>1072</v>
      </c>
    </row>
    <row r="266" spans="1:31" x14ac:dyDescent="0.2">
      <c r="A266" s="18">
        <v>265</v>
      </c>
      <c r="B266" s="18">
        <v>265</v>
      </c>
      <c r="C266" s="18">
        <v>265</v>
      </c>
      <c r="D266" s="18">
        <v>615</v>
      </c>
      <c r="E266" s="18" t="s">
        <v>713</v>
      </c>
      <c r="F266" s="18" t="s">
        <v>715</v>
      </c>
      <c r="G266" s="18">
        <v>5600</v>
      </c>
      <c r="H266" s="18">
        <v>0</v>
      </c>
      <c r="I266" s="18">
        <v>0.26</v>
      </c>
      <c r="J266" s="18">
        <v>0</v>
      </c>
      <c r="K266" s="18">
        <v>0</v>
      </c>
      <c r="L266" s="18">
        <v>84.62</v>
      </c>
      <c r="M266" s="18">
        <v>0</v>
      </c>
      <c r="N266" s="18">
        <v>15.38</v>
      </c>
      <c r="O266" s="18">
        <v>0</v>
      </c>
      <c r="P266" s="18">
        <v>0</v>
      </c>
      <c r="Q266" s="18">
        <v>1</v>
      </c>
      <c r="R266" s="18">
        <v>0</v>
      </c>
      <c r="S266" s="18">
        <v>0</v>
      </c>
      <c r="T266" s="18">
        <v>0</v>
      </c>
      <c r="U266" s="18">
        <v>3</v>
      </c>
      <c r="V266" s="18">
        <v>160.27000000000001</v>
      </c>
      <c r="W266" s="18">
        <v>0.5</v>
      </c>
      <c r="X266" s="18">
        <v>2</v>
      </c>
      <c r="Y266" s="18">
        <v>80.14</v>
      </c>
      <c r="Z266" s="18">
        <v>7.69</v>
      </c>
      <c r="AA266" s="18">
        <v>80.14</v>
      </c>
      <c r="AB266" s="18">
        <v>22.26</v>
      </c>
      <c r="AC266" s="18">
        <v>26428.426061465041</v>
      </c>
      <c r="AD266" s="18">
        <v>24686688.322729331</v>
      </c>
      <c r="AE266" s="18" t="s">
        <v>1083</v>
      </c>
    </row>
    <row r="267" spans="1:31" x14ac:dyDescent="0.2">
      <c r="A267" s="18">
        <v>266</v>
      </c>
      <c r="B267" s="18">
        <v>266</v>
      </c>
      <c r="C267" s="18">
        <v>266</v>
      </c>
      <c r="D267" s="18">
        <v>636</v>
      </c>
      <c r="E267" s="18" t="s">
        <v>818</v>
      </c>
      <c r="F267" s="18" t="s">
        <v>820</v>
      </c>
      <c r="G267" s="18">
        <v>5600</v>
      </c>
      <c r="H267" s="18">
        <v>0</v>
      </c>
      <c r="I267" s="18">
        <v>88.3</v>
      </c>
      <c r="J267" s="18">
        <v>48.2</v>
      </c>
      <c r="K267" s="18">
        <v>0</v>
      </c>
      <c r="L267" s="18">
        <v>49.78</v>
      </c>
      <c r="M267" s="18">
        <v>1.97</v>
      </c>
      <c r="N267" s="18">
        <v>0.05</v>
      </c>
      <c r="O267" s="18">
        <v>0</v>
      </c>
      <c r="P267" s="18">
        <v>0</v>
      </c>
      <c r="Q267" s="18">
        <v>1</v>
      </c>
      <c r="R267" s="18">
        <v>0</v>
      </c>
      <c r="S267" s="18">
        <v>0</v>
      </c>
      <c r="T267" s="18">
        <v>0</v>
      </c>
      <c r="U267" s="18">
        <v>126</v>
      </c>
      <c r="V267" s="18">
        <v>6731.42</v>
      </c>
      <c r="W267" s="18">
        <v>0.5</v>
      </c>
      <c r="X267" s="18">
        <v>63</v>
      </c>
      <c r="Y267" s="18">
        <v>3365.71</v>
      </c>
      <c r="Z267" s="18">
        <v>0.71</v>
      </c>
      <c r="AA267" s="18">
        <v>3365.71</v>
      </c>
      <c r="AB267" s="18">
        <v>934.92</v>
      </c>
      <c r="AC267" s="18">
        <v>41580.568267136689</v>
      </c>
      <c r="AD267" s="18">
        <v>78652821.27121596</v>
      </c>
      <c r="AE267" s="18" t="s">
        <v>1081</v>
      </c>
    </row>
    <row r="268" spans="1:31" x14ac:dyDescent="0.2">
      <c r="A268" s="18">
        <v>267</v>
      </c>
      <c r="B268" s="18">
        <v>267</v>
      </c>
      <c r="C268" s="18">
        <v>267</v>
      </c>
      <c r="D268" s="18">
        <v>593</v>
      </c>
      <c r="E268" s="18" t="s">
        <v>656</v>
      </c>
      <c r="F268" s="18" t="s">
        <v>658</v>
      </c>
      <c r="G268" s="18">
        <v>5600</v>
      </c>
      <c r="H268" s="18">
        <v>0</v>
      </c>
      <c r="I268" s="18">
        <v>49.41</v>
      </c>
      <c r="J268" s="18">
        <v>45.48</v>
      </c>
      <c r="K268" s="18">
        <v>0</v>
      </c>
      <c r="L268" s="18">
        <v>51.59</v>
      </c>
      <c r="M268" s="18">
        <v>2.41</v>
      </c>
      <c r="N268" s="18">
        <v>0.53</v>
      </c>
      <c r="O268" s="18">
        <v>0</v>
      </c>
      <c r="P268" s="18">
        <v>0</v>
      </c>
      <c r="Q268" s="18">
        <v>1</v>
      </c>
      <c r="R268" s="18">
        <v>0</v>
      </c>
      <c r="S268" s="18">
        <v>0</v>
      </c>
      <c r="T268" s="18">
        <v>0</v>
      </c>
      <c r="U268" s="18">
        <v>97</v>
      </c>
      <c r="V268" s="18">
        <v>5182.13</v>
      </c>
      <c r="W268" s="18">
        <v>0.5</v>
      </c>
      <c r="X268" s="18">
        <v>49</v>
      </c>
      <c r="Y268" s="18">
        <v>2591.06</v>
      </c>
      <c r="Z268" s="18">
        <v>0.99</v>
      </c>
      <c r="AA268" s="18">
        <v>2591.06</v>
      </c>
      <c r="AB268" s="18">
        <v>719.74</v>
      </c>
      <c r="AC268" s="18">
        <v>60486.107040937561</v>
      </c>
      <c r="AD268" s="18">
        <v>102846101.5059377</v>
      </c>
      <c r="AE268" s="18" t="s">
        <v>1081</v>
      </c>
    </row>
    <row r="269" spans="1:31" x14ac:dyDescent="0.2">
      <c r="A269" s="18">
        <v>268</v>
      </c>
      <c r="B269" s="18">
        <v>268</v>
      </c>
      <c r="C269" s="18">
        <v>268</v>
      </c>
      <c r="D269" s="18">
        <v>597</v>
      </c>
      <c r="E269" s="18" t="s">
        <v>659</v>
      </c>
      <c r="F269" s="18" t="s">
        <v>661</v>
      </c>
      <c r="G269" s="18">
        <v>5600</v>
      </c>
      <c r="H269" s="18">
        <v>0</v>
      </c>
      <c r="I269" s="18">
        <v>27.21</v>
      </c>
      <c r="J269" s="18">
        <v>36.46</v>
      </c>
      <c r="K269" s="18">
        <v>0.22</v>
      </c>
      <c r="L269" s="18">
        <v>59.21</v>
      </c>
      <c r="M269" s="18">
        <v>3.9</v>
      </c>
      <c r="N269" s="18">
        <v>0.22</v>
      </c>
      <c r="O269" s="18">
        <v>0</v>
      </c>
      <c r="P269" s="18">
        <v>0</v>
      </c>
      <c r="Q269" s="18">
        <v>1</v>
      </c>
      <c r="R269" s="18">
        <v>0</v>
      </c>
      <c r="S269" s="18">
        <v>0</v>
      </c>
      <c r="T269" s="18">
        <v>0</v>
      </c>
      <c r="U269" s="18">
        <v>59</v>
      </c>
      <c r="V269" s="18">
        <v>3152.02</v>
      </c>
      <c r="W269" s="18">
        <v>0.5</v>
      </c>
      <c r="X269" s="18">
        <v>30</v>
      </c>
      <c r="Y269" s="18">
        <v>1576.01</v>
      </c>
      <c r="Z269" s="18">
        <v>1.1000000000000001</v>
      </c>
      <c r="AA269" s="18">
        <v>1576.01</v>
      </c>
      <c r="AB269" s="18">
        <v>437.78</v>
      </c>
      <c r="AC269" s="18">
        <v>38457.85103450594</v>
      </c>
      <c r="AD269" s="18">
        <v>65108815.379325807</v>
      </c>
      <c r="AE269" s="18" t="s">
        <v>1084</v>
      </c>
    </row>
    <row r="270" spans="1:31" x14ac:dyDescent="0.2">
      <c r="A270" s="18">
        <v>269</v>
      </c>
      <c r="B270" s="18">
        <v>269</v>
      </c>
      <c r="C270" s="18">
        <v>269</v>
      </c>
      <c r="D270" s="18">
        <v>600</v>
      </c>
      <c r="E270" s="18" t="s">
        <v>668</v>
      </c>
      <c r="F270" s="18" t="s">
        <v>670</v>
      </c>
      <c r="G270" s="18">
        <v>5600</v>
      </c>
      <c r="H270" s="18">
        <v>0</v>
      </c>
      <c r="I270" s="18">
        <v>7.57</v>
      </c>
      <c r="J270" s="18">
        <v>75.3</v>
      </c>
      <c r="K270" s="18">
        <v>0</v>
      </c>
      <c r="L270" s="18">
        <v>24.17</v>
      </c>
      <c r="M270" s="18">
        <v>0</v>
      </c>
      <c r="N270" s="18">
        <v>0.53</v>
      </c>
      <c r="O270" s="18">
        <v>0</v>
      </c>
      <c r="P270" s="18">
        <v>0</v>
      </c>
      <c r="Q270" s="18">
        <v>1</v>
      </c>
      <c r="R270" s="18">
        <v>0</v>
      </c>
      <c r="S270" s="18">
        <v>0</v>
      </c>
      <c r="T270" s="18">
        <v>0</v>
      </c>
      <c r="U270" s="18">
        <v>28</v>
      </c>
      <c r="V270" s="18">
        <v>1495.87</v>
      </c>
      <c r="W270" s="18">
        <v>0.5</v>
      </c>
      <c r="X270" s="18">
        <v>14</v>
      </c>
      <c r="Y270" s="18">
        <v>747.94</v>
      </c>
      <c r="Z270" s="18">
        <v>1.85</v>
      </c>
      <c r="AA270" s="18">
        <v>747.94</v>
      </c>
      <c r="AB270" s="18">
        <v>207.76</v>
      </c>
      <c r="AC270" s="18">
        <v>47865.650206472397</v>
      </c>
      <c r="AD270" s="18">
        <v>64485817.887074061</v>
      </c>
      <c r="AE270" s="18" t="s">
        <v>1082</v>
      </c>
    </row>
    <row r="271" spans="1:31" x14ac:dyDescent="0.2">
      <c r="A271" s="18">
        <v>270</v>
      </c>
      <c r="B271" s="18">
        <v>270</v>
      </c>
      <c r="C271" s="18">
        <v>270</v>
      </c>
      <c r="D271" s="18">
        <v>601</v>
      </c>
      <c r="E271" s="18" t="s">
        <v>674</v>
      </c>
      <c r="F271" s="18" t="s">
        <v>676</v>
      </c>
      <c r="G271" s="18">
        <v>5600</v>
      </c>
      <c r="H271" s="18">
        <v>0</v>
      </c>
      <c r="I271" s="18">
        <v>39.85</v>
      </c>
      <c r="J271" s="18">
        <v>24.52</v>
      </c>
      <c r="K271" s="18">
        <v>0</v>
      </c>
      <c r="L271" s="18">
        <v>70.44</v>
      </c>
      <c r="M271" s="18">
        <v>4.99</v>
      </c>
      <c r="N271" s="18">
        <v>0.05</v>
      </c>
      <c r="O271" s="18">
        <v>0</v>
      </c>
      <c r="P271" s="18">
        <v>0</v>
      </c>
      <c r="Q271" s="18">
        <v>1</v>
      </c>
      <c r="R271" s="18">
        <v>0</v>
      </c>
      <c r="S271" s="18">
        <v>0</v>
      </c>
      <c r="T271" s="18">
        <v>0</v>
      </c>
      <c r="U271" s="18">
        <v>66</v>
      </c>
      <c r="V271" s="18">
        <v>3525.98</v>
      </c>
      <c r="W271" s="18">
        <v>0.5</v>
      </c>
      <c r="X271" s="18">
        <v>33</v>
      </c>
      <c r="Y271" s="18">
        <v>1762.99</v>
      </c>
      <c r="Z271" s="18">
        <v>0.83</v>
      </c>
      <c r="AA271" s="18">
        <v>1762.99</v>
      </c>
      <c r="AB271" s="18">
        <v>489.72</v>
      </c>
      <c r="AC271" s="18">
        <v>41546.788198219583</v>
      </c>
      <c r="AD271" s="18">
        <v>81429753.249844044</v>
      </c>
      <c r="AE271" s="18" t="s">
        <v>1081</v>
      </c>
    </row>
    <row r="272" spans="1:31" x14ac:dyDescent="0.2">
      <c r="A272" s="18">
        <v>271</v>
      </c>
      <c r="B272" s="18">
        <v>271</v>
      </c>
      <c r="C272" s="18">
        <v>271</v>
      </c>
      <c r="D272" s="18">
        <v>602</v>
      </c>
      <c r="E272" s="18" t="s">
        <v>677</v>
      </c>
      <c r="F272" s="18" t="s">
        <v>679</v>
      </c>
      <c r="G272" s="18">
        <v>5600</v>
      </c>
      <c r="H272" s="18">
        <v>0</v>
      </c>
      <c r="I272" s="18">
        <v>3.58</v>
      </c>
      <c r="J272" s="18">
        <v>73.180000000000007</v>
      </c>
      <c r="K272" s="18">
        <v>4.47</v>
      </c>
      <c r="L272" s="18">
        <v>22.07</v>
      </c>
      <c r="M272" s="18">
        <v>0</v>
      </c>
      <c r="N272" s="18">
        <v>0.28000000000000003</v>
      </c>
      <c r="O272" s="18">
        <v>0</v>
      </c>
      <c r="P272" s="18">
        <v>0</v>
      </c>
      <c r="Q272" s="18">
        <v>1</v>
      </c>
      <c r="R272" s="18">
        <v>0</v>
      </c>
      <c r="S272" s="18">
        <v>0</v>
      </c>
      <c r="T272" s="18">
        <v>0</v>
      </c>
      <c r="U272" s="18">
        <v>12</v>
      </c>
      <c r="V272" s="18">
        <v>641.09</v>
      </c>
      <c r="W272" s="18">
        <v>0.5</v>
      </c>
      <c r="X272" s="18">
        <v>6</v>
      </c>
      <c r="Y272" s="18">
        <v>320.54000000000002</v>
      </c>
      <c r="Z272" s="18">
        <v>1.68</v>
      </c>
      <c r="AA272" s="18">
        <v>320.54000000000002</v>
      </c>
      <c r="AB272" s="18">
        <v>89.04</v>
      </c>
      <c r="AC272" s="18">
        <v>27954.48726420055</v>
      </c>
      <c r="AD272" s="18">
        <v>26495117.980821919</v>
      </c>
      <c r="AE272" s="18" t="s">
        <v>1081</v>
      </c>
    </row>
    <row r="273" spans="1:31" x14ac:dyDescent="0.2">
      <c r="A273" s="18">
        <v>272</v>
      </c>
      <c r="B273" s="18">
        <v>272</v>
      </c>
      <c r="C273" s="18">
        <v>272</v>
      </c>
      <c r="D273" s="18">
        <v>365</v>
      </c>
      <c r="E273" s="18" t="s">
        <v>38</v>
      </c>
      <c r="F273" s="18" t="s">
        <v>40</v>
      </c>
      <c r="G273" s="18">
        <v>5600</v>
      </c>
      <c r="H273" s="18">
        <v>0</v>
      </c>
      <c r="I273" s="18">
        <v>29.94</v>
      </c>
      <c r="J273" s="18">
        <v>13.76</v>
      </c>
      <c r="K273" s="18">
        <v>7.0000000000000007E-2</v>
      </c>
      <c r="L273" s="18">
        <v>84.54</v>
      </c>
      <c r="M273" s="18">
        <v>0.53</v>
      </c>
      <c r="N273" s="18">
        <v>1.1000000000000001</v>
      </c>
      <c r="O273" s="18">
        <v>0</v>
      </c>
      <c r="P273" s="18">
        <v>0</v>
      </c>
      <c r="Q273" s="18">
        <v>1</v>
      </c>
      <c r="R273" s="18">
        <v>0</v>
      </c>
      <c r="S273" s="18">
        <v>0</v>
      </c>
      <c r="T273" s="18">
        <v>0</v>
      </c>
      <c r="U273" s="18">
        <v>46</v>
      </c>
      <c r="V273" s="18">
        <v>3570.34</v>
      </c>
      <c r="W273" s="18">
        <v>0.5</v>
      </c>
      <c r="X273" s="18">
        <v>23</v>
      </c>
      <c r="Y273" s="18">
        <v>1785.17</v>
      </c>
      <c r="Z273" s="18">
        <v>0.77</v>
      </c>
      <c r="AA273" s="18">
        <v>1785.17</v>
      </c>
      <c r="AB273" s="18">
        <v>495.88</v>
      </c>
      <c r="AC273" s="18">
        <v>52689.348767608113</v>
      </c>
      <c r="AD273" s="18">
        <v>58997438.477034397</v>
      </c>
      <c r="AE273" s="18" t="s">
        <v>1064</v>
      </c>
    </row>
    <row r="274" spans="1:31" x14ac:dyDescent="0.2">
      <c r="A274" s="18">
        <v>273</v>
      </c>
      <c r="B274" s="18">
        <v>273</v>
      </c>
      <c r="C274" s="18">
        <v>273</v>
      </c>
      <c r="D274" s="18">
        <v>366</v>
      </c>
      <c r="E274" s="18" t="s">
        <v>62</v>
      </c>
      <c r="F274" s="18" t="s">
        <v>64</v>
      </c>
      <c r="G274" s="18">
        <v>5600</v>
      </c>
      <c r="H274" s="18">
        <v>0</v>
      </c>
      <c r="I274" s="18">
        <v>94.53</v>
      </c>
      <c r="J274" s="18">
        <v>11.91</v>
      </c>
      <c r="K274" s="18">
        <v>0</v>
      </c>
      <c r="L274" s="18">
        <v>87.2</v>
      </c>
      <c r="M274" s="18">
        <v>0.84</v>
      </c>
      <c r="N274" s="18">
        <v>0.05</v>
      </c>
      <c r="O274" s="18">
        <v>0</v>
      </c>
      <c r="P274" s="18">
        <v>0</v>
      </c>
      <c r="Q274" s="18">
        <v>1</v>
      </c>
      <c r="R274" s="18">
        <v>0</v>
      </c>
      <c r="S274" s="18">
        <v>0</v>
      </c>
      <c r="T274" s="18">
        <v>0</v>
      </c>
      <c r="U274" s="18">
        <v>128</v>
      </c>
      <c r="V274" s="18">
        <v>9934.85</v>
      </c>
      <c r="W274" s="18">
        <v>0.5</v>
      </c>
      <c r="X274" s="18">
        <v>64</v>
      </c>
      <c r="Y274" s="18">
        <v>4967.42</v>
      </c>
      <c r="Z274" s="18">
        <v>0.68</v>
      </c>
      <c r="AA274" s="18">
        <v>4967.42</v>
      </c>
      <c r="AB274" s="18">
        <v>1379.84</v>
      </c>
      <c r="AC274" s="18">
        <v>68668.583032346913</v>
      </c>
      <c r="AD274" s="18">
        <v>91995138.47048749</v>
      </c>
      <c r="AE274" s="18" t="s">
        <v>1064</v>
      </c>
    </row>
    <row r="275" spans="1:31" x14ac:dyDescent="0.2">
      <c r="A275" s="18">
        <v>274</v>
      </c>
      <c r="B275" s="18">
        <v>274</v>
      </c>
      <c r="C275" s="18">
        <v>274</v>
      </c>
      <c r="D275" s="18">
        <v>606</v>
      </c>
      <c r="E275" s="18" t="s">
        <v>1122</v>
      </c>
      <c r="F275" s="18" t="s">
        <v>1123</v>
      </c>
      <c r="G275" s="18">
        <v>5600</v>
      </c>
      <c r="H275" s="18">
        <v>0</v>
      </c>
      <c r="I275" s="18">
        <v>11.39</v>
      </c>
      <c r="J275" s="18">
        <v>47.23</v>
      </c>
      <c r="K275" s="18">
        <v>0</v>
      </c>
      <c r="L275" s="18">
        <v>52.06</v>
      </c>
      <c r="M275" s="18">
        <v>0.35</v>
      </c>
      <c r="N275" s="18">
        <v>0.35</v>
      </c>
      <c r="O275" s="18">
        <v>0</v>
      </c>
      <c r="P275" s="18">
        <v>0</v>
      </c>
      <c r="Q275" s="18">
        <v>1</v>
      </c>
      <c r="R275" s="18">
        <v>0</v>
      </c>
      <c r="S275" s="18">
        <v>0</v>
      </c>
      <c r="T275" s="18">
        <v>0</v>
      </c>
      <c r="U275" s="18">
        <v>20</v>
      </c>
      <c r="V275" s="18">
        <v>1068.48</v>
      </c>
      <c r="W275" s="18">
        <v>0.5</v>
      </c>
      <c r="X275" s="18">
        <v>10</v>
      </c>
      <c r="Y275" s="18">
        <v>534.24</v>
      </c>
      <c r="Z275" s="18">
        <v>0.88</v>
      </c>
      <c r="AA275" s="18">
        <v>534.24</v>
      </c>
      <c r="AB275" s="18">
        <v>148.4</v>
      </c>
      <c r="AC275" s="18">
        <v>42025.709806572442</v>
      </c>
      <c r="AD275" s="18">
        <v>67589875.858451411</v>
      </c>
      <c r="AE275" s="18" t="s">
        <v>1080</v>
      </c>
    </row>
    <row r="276" spans="1:31" x14ac:dyDescent="0.2">
      <c r="A276" s="18">
        <v>275</v>
      </c>
      <c r="B276" s="18">
        <v>275</v>
      </c>
      <c r="C276" s="18">
        <v>275</v>
      </c>
      <c r="D276" s="18">
        <v>398</v>
      </c>
      <c r="E276" s="18" t="s">
        <v>362</v>
      </c>
      <c r="F276" s="18" t="s">
        <v>364</v>
      </c>
      <c r="G276" s="18">
        <v>5600</v>
      </c>
      <c r="H276" s="18">
        <v>93.41</v>
      </c>
      <c r="I276" s="18">
        <v>4.7699999999999996</v>
      </c>
      <c r="J276" s="18">
        <v>74.63</v>
      </c>
      <c r="K276" s="18">
        <v>0</v>
      </c>
      <c r="L276" s="18">
        <v>22.01</v>
      </c>
      <c r="M276" s="18">
        <v>3.14</v>
      </c>
      <c r="N276" s="18">
        <v>0.21</v>
      </c>
      <c r="O276" s="18">
        <v>265</v>
      </c>
      <c r="P276" s="18">
        <v>22544.93</v>
      </c>
      <c r="Q276" s="18">
        <v>1</v>
      </c>
      <c r="R276" s="18">
        <v>265</v>
      </c>
      <c r="S276" s="18">
        <v>22544.93</v>
      </c>
      <c r="T276" s="18">
        <v>2.84</v>
      </c>
      <c r="U276" s="18">
        <v>7</v>
      </c>
      <c r="V276" s="18">
        <v>493.92</v>
      </c>
      <c r="W276" s="18">
        <v>0.5</v>
      </c>
      <c r="X276" s="18">
        <v>4</v>
      </c>
      <c r="Y276" s="18">
        <v>246.96</v>
      </c>
      <c r="Z276" s="18">
        <v>0.84</v>
      </c>
      <c r="AA276" s="18">
        <v>22791.89</v>
      </c>
      <c r="AB276" s="18">
        <v>6331.09</v>
      </c>
      <c r="AC276" s="18">
        <v>18894.21562852729</v>
      </c>
      <c r="AD276" s="18">
        <v>13173574.59824989</v>
      </c>
      <c r="AE276" s="18" t="s">
        <v>1075</v>
      </c>
    </row>
    <row r="277" spans="1:31" x14ac:dyDescent="0.2">
      <c r="A277" s="18">
        <v>276</v>
      </c>
      <c r="B277" s="18">
        <v>276</v>
      </c>
      <c r="C277" s="18">
        <v>276</v>
      </c>
      <c r="D277" s="18">
        <v>608</v>
      </c>
      <c r="E277" s="18" t="s">
        <v>692</v>
      </c>
      <c r="F277" s="18" t="s">
        <v>694</v>
      </c>
      <c r="G277" s="18">
        <v>5600</v>
      </c>
      <c r="H277" s="18">
        <v>0</v>
      </c>
      <c r="I277" s="18">
        <v>1.83</v>
      </c>
      <c r="J277" s="18">
        <v>31.15</v>
      </c>
      <c r="K277" s="18">
        <v>0</v>
      </c>
      <c r="L277" s="18">
        <v>51.37</v>
      </c>
      <c r="M277" s="18">
        <v>10.93</v>
      </c>
      <c r="N277" s="18">
        <v>6.56</v>
      </c>
      <c r="O277" s="18">
        <v>0</v>
      </c>
      <c r="P277" s="18">
        <v>0</v>
      </c>
      <c r="Q277" s="18">
        <v>1</v>
      </c>
      <c r="R277" s="18">
        <v>0</v>
      </c>
      <c r="S277" s="18">
        <v>0</v>
      </c>
      <c r="T277" s="18">
        <v>0</v>
      </c>
      <c r="U277" s="18">
        <v>4</v>
      </c>
      <c r="V277" s="18">
        <v>213.7</v>
      </c>
      <c r="W277" s="18">
        <v>0.5</v>
      </c>
      <c r="X277" s="18">
        <v>2</v>
      </c>
      <c r="Y277" s="18">
        <v>106.85</v>
      </c>
      <c r="Z277" s="18">
        <v>1.0900000000000001</v>
      </c>
      <c r="AA277" s="18">
        <v>106.85</v>
      </c>
      <c r="AB277" s="18">
        <v>29.68</v>
      </c>
      <c r="AC277" s="18">
        <v>29561.576194344481</v>
      </c>
      <c r="AD277" s="18">
        <v>31915256.005193729</v>
      </c>
      <c r="AE277" s="18" t="s">
        <v>1081</v>
      </c>
    </row>
    <row r="278" spans="1:31" x14ac:dyDescent="0.2">
      <c r="A278" s="18">
        <v>277</v>
      </c>
      <c r="B278" s="18">
        <v>277</v>
      </c>
      <c r="C278" s="18">
        <v>277</v>
      </c>
      <c r="D278" s="18">
        <v>609</v>
      </c>
      <c r="E278" s="18" t="s">
        <v>695</v>
      </c>
      <c r="F278" s="18" t="s">
        <v>697</v>
      </c>
      <c r="G278" s="18">
        <v>5600</v>
      </c>
      <c r="H278" s="18">
        <v>0</v>
      </c>
      <c r="I278" s="18">
        <v>16.11</v>
      </c>
      <c r="J278" s="18">
        <v>77.28</v>
      </c>
      <c r="K278" s="18">
        <v>0</v>
      </c>
      <c r="L278" s="18">
        <v>18.25</v>
      </c>
      <c r="M278" s="18">
        <v>2.98</v>
      </c>
      <c r="N278" s="18">
        <v>1.49</v>
      </c>
      <c r="O278" s="18">
        <v>0</v>
      </c>
      <c r="P278" s="18">
        <v>0</v>
      </c>
      <c r="Q278" s="18">
        <v>1</v>
      </c>
      <c r="R278" s="18">
        <v>0</v>
      </c>
      <c r="S278" s="18">
        <v>0</v>
      </c>
      <c r="T278" s="18">
        <v>0</v>
      </c>
      <c r="U278" s="18">
        <v>31</v>
      </c>
      <c r="V278" s="18">
        <v>1656.14</v>
      </c>
      <c r="W278" s="18">
        <v>0.5</v>
      </c>
      <c r="X278" s="18">
        <v>16</v>
      </c>
      <c r="Y278" s="18">
        <v>828.07</v>
      </c>
      <c r="Z278" s="18">
        <v>0.99</v>
      </c>
      <c r="AA278" s="18">
        <v>828.07</v>
      </c>
      <c r="AB278" s="18">
        <v>230.02</v>
      </c>
      <c r="AC278" s="18">
        <v>30671.28213617544</v>
      </c>
      <c r="AD278" s="18">
        <v>34461527.1311979</v>
      </c>
      <c r="AE278" s="18" t="s">
        <v>1080</v>
      </c>
    </row>
    <row r="279" spans="1:31" x14ac:dyDescent="0.2">
      <c r="A279" s="18">
        <v>278</v>
      </c>
      <c r="B279" s="18">
        <v>278</v>
      </c>
      <c r="C279" s="18">
        <v>278</v>
      </c>
      <c r="D279" s="18">
        <v>377</v>
      </c>
      <c r="E279" s="18" t="s">
        <v>827</v>
      </c>
      <c r="F279" s="18" t="s">
        <v>829</v>
      </c>
      <c r="G279" s="18">
        <v>5600</v>
      </c>
      <c r="H279" s="18">
        <v>131.5</v>
      </c>
      <c r="I279" s="18">
        <v>179.6</v>
      </c>
      <c r="J279" s="18">
        <v>64.36</v>
      </c>
      <c r="K279" s="18">
        <v>0.06</v>
      </c>
      <c r="L279" s="18">
        <v>29.64</v>
      </c>
      <c r="M279" s="18">
        <v>5.05</v>
      </c>
      <c r="N279" s="18">
        <v>0.89</v>
      </c>
      <c r="O279" s="18">
        <v>413</v>
      </c>
      <c r="P279" s="18">
        <v>35136.06</v>
      </c>
      <c r="Q279" s="18">
        <v>1</v>
      </c>
      <c r="R279" s="18">
        <v>413</v>
      </c>
      <c r="S279" s="18">
        <v>35136.06</v>
      </c>
      <c r="T279" s="18">
        <v>3.14</v>
      </c>
      <c r="U279" s="18">
        <v>304</v>
      </c>
      <c r="V279" s="18">
        <v>21450.240000000002</v>
      </c>
      <c r="W279" s="18">
        <v>0.5</v>
      </c>
      <c r="X279" s="18">
        <v>152</v>
      </c>
      <c r="Y279" s="18">
        <v>10725.12</v>
      </c>
      <c r="Z279" s="18">
        <v>0.85</v>
      </c>
      <c r="AA279" s="18">
        <v>45861.18</v>
      </c>
      <c r="AB279" s="18">
        <v>12739.23</v>
      </c>
      <c r="AC279" s="18">
        <v>112250.1413597393</v>
      </c>
      <c r="AD279" s="18">
        <v>232208970.33446461</v>
      </c>
      <c r="AE279" s="18" t="s">
        <v>1079</v>
      </c>
    </row>
    <row r="280" spans="1:31" x14ac:dyDescent="0.2">
      <c r="A280" s="18">
        <v>279</v>
      </c>
      <c r="B280" s="18">
        <v>279</v>
      </c>
      <c r="C280" s="18">
        <v>279</v>
      </c>
      <c r="D280" s="18">
        <v>611</v>
      </c>
      <c r="E280" s="18" t="s">
        <v>701</v>
      </c>
      <c r="F280" s="18" t="s">
        <v>703</v>
      </c>
      <c r="G280" s="18">
        <v>5600</v>
      </c>
      <c r="H280" s="18">
        <v>0</v>
      </c>
      <c r="I280" s="18">
        <v>36.950000000000003</v>
      </c>
      <c r="J280" s="18">
        <v>95.94</v>
      </c>
      <c r="K280" s="18">
        <v>0.08</v>
      </c>
      <c r="L280" s="18">
        <v>2.95</v>
      </c>
      <c r="M280" s="18">
        <v>0.97</v>
      </c>
      <c r="N280" s="18">
        <v>0.05</v>
      </c>
      <c r="O280" s="18">
        <v>0</v>
      </c>
      <c r="P280" s="18">
        <v>0</v>
      </c>
      <c r="Q280" s="18">
        <v>1</v>
      </c>
      <c r="R280" s="18">
        <v>0</v>
      </c>
      <c r="S280" s="18">
        <v>0</v>
      </c>
      <c r="T280" s="18">
        <v>0</v>
      </c>
      <c r="U280" s="18">
        <v>65</v>
      </c>
      <c r="V280" s="18">
        <v>3773.95</v>
      </c>
      <c r="W280" s="18">
        <v>0.5</v>
      </c>
      <c r="X280" s="18">
        <v>33</v>
      </c>
      <c r="Y280" s="18">
        <v>1886.98</v>
      </c>
      <c r="Z280" s="18">
        <v>0.89</v>
      </c>
      <c r="AA280" s="18">
        <v>1886.98</v>
      </c>
      <c r="AB280" s="18">
        <v>524.16</v>
      </c>
      <c r="AC280" s="18">
        <v>42130.487414709467</v>
      </c>
      <c r="AD280" s="18">
        <v>67724194.303628102</v>
      </c>
      <c r="AE280" s="18" t="s">
        <v>1084</v>
      </c>
    </row>
    <row r="281" spans="1:31" x14ac:dyDescent="0.2">
      <c r="A281" s="18">
        <v>280</v>
      </c>
      <c r="B281" s="18">
        <v>280</v>
      </c>
      <c r="C281" s="18">
        <v>280</v>
      </c>
      <c r="D281" s="18">
        <v>449</v>
      </c>
      <c r="E281" s="18" t="s">
        <v>266</v>
      </c>
      <c r="F281" s="18" t="s">
        <v>268</v>
      </c>
      <c r="G281" s="18">
        <v>5600</v>
      </c>
      <c r="H281" s="18">
        <v>68.819999999999993</v>
      </c>
      <c r="I281" s="18">
        <v>358.43</v>
      </c>
      <c r="J281" s="18">
        <v>79.75</v>
      </c>
      <c r="K281" s="18">
        <v>0.13</v>
      </c>
      <c r="L281" s="18">
        <v>18.600000000000001</v>
      </c>
      <c r="M281" s="18">
        <v>0.94</v>
      </c>
      <c r="N281" s="18">
        <v>0.57999999999999996</v>
      </c>
      <c r="O281" s="18">
        <v>195</v>
      </c>
      <c r="P281" s="18">
        <v>16589.66</v>
      </c>
      <c r="Q281" s="18">
        <v>1</v>
      </c>
      <c r="R281" s="18">
        <v>195</v>
      </c>
      <c r="S281" s="18">
        <v>16589.66</v>
      </c>
      <c r="T281" s="18">
        <v>2.83</v>
      </c>
      <c r="U281" s="18">
        <v>491</v>
      </c>
      <c r="V281" s="18">
        <v>31378.44</v>
      </c>
      <c r="W281" s="18">
        <v>0.5</v>
      </c>
      <c r="X281" s="18">
        <v>246</v>
      </c>
      <c r="Y281" s="18">
        <v>15689.22</v>
      </c>
      <c r="Z281" s="18">
        <v>0.69</v>
      </c>
      <c r="AA281" s="18">
        <v>32278.880000000001</v>
      </c>
      <c r="AB281" s="18">
        <v>8966.36</v>
      </c>
      <c r="AC281" s="18">
        <v>81879.230235483978</v>
      </c>
      <c r="AD281" s="18">
        <v>338475526.55070549</v>
      </c>
      <c r="AE281" s="18" t="s">
        <v>1093</v>
      </c>
    </row>
    <row r="282" spans="1:31" x14ac:dyDescent="0.2">
      <c r="A282" s="18">
        <v>281</v>
      </c>
      <c r="B282" s="18">
        <v>281</v>
      </c>
      <c r="C282" s="18">
        <v>281</v>
      </c>
      <c r="D282" s="18">
        <v>612</v>
      </c>
      <c r="E282" s="18" t="s">
        <v>704</v>
      </c>
      <c r="F282" s="18" t="s">
        <v>706</v>
      </c>
      <c r="G282" s="18">
        <v>5600</v>
      </c>
      <c r="H282" s="18">
        <v>0</v>
      </c>
      <c r="I282" s="18">
        <v>51.54</v>
      </c>
      <c r="J282" s="18">
        <v>21.4</v>
      </c>
      <c r="K282" s="18">
        <v>0.5</v>
      </c>
      <c r="L282" s="18">
        <v>77.959999999999994</v>
      </c>
      <c r="M282" s="18">
        <v>0.1</v>
      </c>
      <c r="N282" s="18">
        <v>0.04</v>
      </c>
      <c r="O282" s="18">
        <v>0</v>
      </c>
      <c r="P282" s="18">
        <v>0</v>
      </c>
      <c r="Q282" s="18">
        <v>1</v>
      </c>
      <c r="R282" s="18">
        <v>0</v>
      </c>
      <c r="S282" s="18">
        <v>0</v>
      </c>
      <c r="T282" s="18">
        <v>0</v>
      </c>
      <c r="U282" s="18">
        <v>72</v>
      </c>
      <c r="V282" s="18">
        <v>3846.53</v>
      </c>
      <c r="W282" s="18">
        <v>0.5</v>
      </c>
      <c r="X282" s="18">
        <v>36</v>
      </c>
      <c r="Y282" s="18">
        <v>1923.26</v>
      </c>
      <c r="Z282" s="18">
        <v>0.7</v>
      </c>
      <c r="AA282" s="18">
        <v>1923.26</v>
      </c>
      <c r="AB282" s="18">
        <v>534.24</v>
      </c>
      <c r="AC282" s="18">
        <v>48370.560553341587</v>
      </c>
      <c r="AD282" s="18">
        <v>91988337.094597816</v>
      </c>
      <c r="AE282" s="18" t="s">
        <v>1082</v>
      </c>
    </row>
    <row r="283" spans="1:31" x14ac:dyDescent="0.2">
      <c r="A283" s="18">
        <v>282</v>
      </c>
      <c r="B283" s="18">
        <v>282</v>
      </c>
      <c r="C283" s="18">
        <v>282</v>
      </c>
      <c r="D283" s="18">
        <v>363</v>
      </c>
      <c r="E283" s="18" t="s">
        <v>32</v>
      </c>
      <c r="F283" s="18" t="s">
        <v>34</v>
      </c>
      <c r="G283" s="18">
        <v>5600</v>
      </c>
      <c r="H283" s="18">
        <v>9.19</v>
      </c>
      <c r="I283" s="18">
        <v>300.73</v>
      </c>
      <c r="J283" s="18">
        <v>60.31</v>
      </c>
      <c r="K283" s="18">
        <v>0.36</v>
      </c>
      <c r="L283" s="18">
        <v>36.51</v>
      </c>
      <c r="M283" s="18">
        <v>2.41</v>
      </c>
      <c r="N283" s="18">
        <v>0.42</v>
      </c>
      <c r="O283" s="18">
        <v>21</v>
      </c>
      <c r="P283" s="18">
        <v>1786.58</v>
      </c>
      <c r="Q283" s="18">
        <v>1</v>
      </c>
      <c r="R283" s="18">
        <v>21</v>
      </c>
      <c r="S283" s="18">
        <v>1786.58</v>
      </c>
      <c r="T283" s="18">
        <v>2.29</v>
      </c>
      <c r="U283" s="18">
        <v>403</v>
      </c>
      <c r="V283" s="18">
        <v>23398.5</v>
      </c>
      <c r="W283" s="18">
        <v>0.5</v>
      </c>
      <c r="X283" s="18">
        <v>202</v>
      </c>
      <c r="Y283" s="18">
        <v>11699.25</v>
      </c>
      <c r="Z283" s="18">
        <v>0.67</v>
      </c>
      <c r="AA283" s="18">
        <v>13485.83</v>
      </c>
      <c r="AB283" s="18">
        <v>3746.07</v>
      </c>
      <c r="AC283" s="18">
        <v>81497.315541712058</v>
      </c>
      <c r="AD283" s="18">
        <v>253588508.24582261</v>
      </c>
      <c r="AE283" s="18" t="s">
        <v>1093</v>
      </c>
    </row>
    <row r="284" spans="1:31" x14ac:dyDescent="0.2">
      <c r="A284" s="18">
        <v>283</v>
      </c>
      <c r="B284" s="18">
        <v>283</v>
      </c>
      <c r="C284" s="18">
        <v>283</v>
      </c>
      <c r="D284" s="18">
        <v>614</v>
      </c>
      <c r="E284" s="18" t="s">
        <v>710</v>
      </c>
      <c r="F284" s="18" t="s">
        <v>712</v>
      </c>
      <c r="G284" s="18">
        <v>5600</v>
      </c>
      <c r="H284" s="18">
        <v>0</v>
      </c>
      <c r="I284" s="18">
        <v>39.85</v>
      </c>
      <c r="J284" s="18">
        <v>76.16</v>
      </c>
      <c r="K284" s="18">
        <v>0</v>
      </c>
      <c r="L284" s="18">
        <v>1.66</v>
      </c>
      <c r="M284" s="18">
        <v>20.68</v>
      </c>
      <c r="N284" s="18">
        <v>1.51</v>
      </c>
      <c r="O284" s="18">
        <v>0</v>
      </c>
      <c r="P284" s="18">
        <v>0</v>
      </c>
      <c r="Q284" s="18">
        <v>1</v>
      </c>
      <c r="R284" s="18">
        <v>0</v>
      </c>
      <c r="S284" s="18">
        <v>0</v>
      </c>
      <c r="T284" s="18">
        <v>0</v>
      </c>
      <c r="U284" s="18">
        <v>71</v>
      </c>
      <c r="V284" s="18">
        <v>4537.41</v>
      </c>
      <c r="W284" s="18">
        <v>0.5</v>
      </c>
      <c r="X284" s="18">
        <v>36</v>
      </c>
      <c r="Y284" s="18">
        <v>2268.71</v>
      </c>
      <c r="Z284" s="18">
        <v>0.9</v>
      </c>
      <c r="AA284" s="18">
        <v>2268.71</v>
      </c>
      <c r="AB284" s="18">
        <v>630.20000000000005</v>
      </c>
      <c r="AC284" s="18">
        <v>30656.616009643181</v>
      </c>
      <c r="AD284" s="18">
        <v>45139710.840695031</v>
      </c>
      <c r="AE284" s="18" t="s">
        <v>1076</v>
      </c>
    </row>
    <row r="285" spans="1:31" x14ac:dyDescent="0.2">
      <c r="A285" s="18">
        <v>284</v>
      </c>
      <c r="B285" s="18">
        <v>284</v>
      </c>
      <c r="C285" s="18">
        <v>284</v>
      </c>
      <c r="D285" s="18">
        <v>649</v>
      </c>
      <c r="E285" s="18" t="s">
        <v>1126</v>
      </c>
      <c r="F285" s="18" t="s">
        <v>1127</v>
      </c>
      <c r="G285" s="18">
        <v>5600</v>
      </c>
      <c r="H285" s="18">
        <v>0</v>
      </c>
      <c r="I285" s="18">
        <v>41.88</v>
      </c>
      <c r="J285" s="18">
        <v>42.67</v>
      </c>
      <c r="K285" s="18">
        <v>0.6</v>
      </c>
      <c r="L285" s="18">
        <v>56.66</v>
      </c>
      <c r="M285" s="18">
        <v>7.0000000000000007E-2</v>
      </c>
      <c r="N285" s="18">
        <v>0</v>
      </c>
      <c r="O285" s="18">
        <v>0</v>
      </c>
      <c r="P285" s="18">
        <v>0</v>
      </c>
      <c r="Q285" s="18">
        <v>1</v>
      </c>
      <c r="R285" s="18">
        <v>0</v>
      </c>
      <c r="S285" s="18">
        <v>0</v>
      </c>
      <c r="T285" s="18">
        <v>0</v>
      </c>
      <c r="U285" s="18">
        <v>98</v>
      </c>
      <c r="V285" s="18">
        <v>5235.55</v>
      </c>
      <c r="W285" s="18">
        <v>0.5</v>
      </c>
      <c r="X285" s="18">
        <v>49</v>
      </c>
      <c r="Y285" s="18">
        <v>2617.7800000000002</v>
      </c>
      <c r="Z285" s="18">
        <v>1.17</v>
      </c>
      <c r="AA285" s="18">
        <v>2617.7800000000002</v>
      </c>
      <c r="AB285" s="18">
        <v>727.16</v>
      </c>
      <c r="AC285" s="18">
        <v>46011.048937563282</v>
      </c>
      <c r="AD285" s="18">
        <v>99810171.358433247</v>
      </c>
      <c r="AE285" s="18" t="s">
        <v>1080</v>
      </c>
    </row>
    <row r="286" spans="1:31" x14ac:dyDescent="0.2">
      <c r="A286" s="18">
        <v>285</v>
      </c>
      <c r="B286" s="18">
        <v>285</v>
      </c>
      <c r="C286" s="18">
        <v>285</v>
      </c>
      <c r="D286" s="18">
        <v>419</v>
      </c>
      <c r="E286" s="18" t="s">
        <v>194</v>
      </c>
      <c r="F286" s="18" t="s">
        <v>196</v>
      </c>
      <c r="G286" s="18">
        <v>5600</v>
      </c>
      <c r="H286" s="18">
        <v>6.61</v>
      </c>
      <c r="I286" s="18">
        <v>35.520000000000003</v>
      </c>
      <c r="J286" s="18">
        <v>16.5</v>
      </c>
      <c r="K286" s="18">
        <v>0.06</v>
      </c>
      <c r="L286" s="18">
        <v>83.19</v>
      </c>
      <c r="M286" s="18">
        <v>0.08</v>
      </c>
      <c r="N286" s="18">
        <v>0.17</v>
      </c>
      <c r="O286" s="18">
        <v>19</v>
      </c>
      <c r="P286" s="18">
        <v>1616.43</v>
      </c>
      <c r="Q286" s="18">
        <v>1</v>
      </c>
      <c r="R286" s="18">
        <v>19</v>
      </c>
      <c r="S286" s="18">
        <v>1616.43</v>
      </c>
      <c r="T286" s="18">
        <v>2.87</v>
      </c>
      <c r="U286" s="18">
        <v>45</v>
      </c>
      <c r="V286" s="18">
        <v>2404.08</v>
      </c>
      <c r="W286" s="18">
        <v>0.5</v>
      </c>
      <c r="X286" s="18">
        <v>23</v>
      </c>
      <c r="Y286" s="18">
        <v>1202.04</v>
      </c>
      <c r="Z286" s="18">
        <v>0.65</v>
      </c>
      <c r="AA286" s="18">
        <v>2818.47</v>
      </c>
      <c r="AB286" s="18">
        <v>782.91</v>
      </c>
      <c r="AC286" s="18">
        <v>31433.537047845359</v>
      </c>
      <c r="AD286" s="18">
        <v>38882003.203658603</v>
      </c>
      <c r="AE286" s="18" t="s">
        <v>1094</v>
      </c>
    </row>
    <row r="287" spans="1:31" x14ac:dyDescent="0.2">
      <c r="A287" s="18">
        <v>286</v>
      </c>
      <c r="B287" s="18">
        <v>286</v>
      </c>
      <c r="C287" s="18">
        <v>286</v>
      </c>
      <c r="D287" s="18">
        <v>617</v>
      </c>
      <c r="E287" s="18" t="s">
        <v>719</v>
      </c>
      <c r="F287" s="18" t="s">
        <v>721</v>
      </c>
      <c r="G287" s="18">
        <v>5600</v>
      </c>
      <c r="H287" s="18">
        <v>0</v>
      </c>
      <c r="I287" s="18">
        <v>10.81</v>
      </c>
      <c r="J287" s="18">
        <v>69.94</v>
      </c>
      <c r="K287" s="18">
        <v>0</v>
      </c>
      <c r="L287" s="18">
        <v>27.29</v>
      </c>
      <c r="M287" s="18">
        <v>2.2200000000000002</v>
      </c>
      <c r="N287" s="18">
        <v>0.56000000000000005</v>
      </c>
      <c r="O287" s="18">
        <v>0</v>
      </c>
      <c r="P287" s="18">
        <v>0</v>
      </c>
      <c r="Q287" s="18">
        <v>1</v>
      </c>
      <c r="R287" s="18">
        <v>0</v>
      </c>
      <c r="S287" s="18">
        <v>0</v>
      </c>
      <c r="T287" s="18">
        <v>0</v>
      </c>
      <c r="U287" s="18">
        <v>30</v>
      </c>
      <c r="V287" s="18">
        <v>1602.72</v>
      </c>
      <c r="W287" s="18">
        <v>0.5</v>
      </c>
      <c r="X287" s="18">
        <v>15</v>
      </c>
      <c r="Y287" s="18">
        <v>801.36</v>
      </c>
      <c r="Z287" s="18">
        <v>1.39</v>
      </c>
      <c r="AA287" s="18">
        <v>801.36</v>
      </c>
      <c r="AB287" s="18">
        <v>222.6</v>
      </c>
      <c r="AC287" s="18">
        <v>24757.689514535861</v>
      </c>
      <c r="AD287" s="18">
        <v>29211261.50781386</v>
      </c>
      <c r="AE287" s="18" t="s">
        <v>1085</v>
      </c>
    </row>
    <row r="288" spans="1:31" x14ac:dyDescent="0.2">
      <c r="A288" s="18">
        <v>287</v>
      </c>
      <c r="B288" s="18">
        <v>287</v>
      </c>
      <c r="C288" s="18">
        <v>287</v>
      </c>
      <c r="D288" s="18">
        <v>619</v>
      </c>
      <c r="E288" s="18" t="s">
        <v>728</v>
      </c>
      <c r="F288" s="18" t="s">
        <v>730</v>
      </c>
      <c r="G288" s="18">
        <v>5600</v>
      </c>
      <c r="H288" s="18">
        <v>0</v>
      </c>
      <c r="I288" s="18">
        <v>22.18</v>
      </c>
      <c r="J288" s="18">
        <v>72.77</v>
      </c>
      <c r="K288" s="18">
        <v>2.66</v>
      </c>
      <c r="L288" s="18">
        <v>12.76</v>
      </c>
      <c r="M288" s="18">
        <v>11.59</v>
      </c>
      <c r="N288" s="18">
        <v>0.23</v>
      </c>
      <c r="O288" s="18">
        <v>0</v>
      </c>
      <c r="P288" s="18">
        <v>0</v>
      </c>
      <c r="Q288" s="18">
        <v>1</v>
      </c>
      <c r="R288" s="18">
        <v>0</v>
      </c>
      <c r="S288" s="18">
        <v>0</v>
      </c>
      <c r="T288" s="18">
        <v>0</v>
      </c>
      <c r="U288" s="18">
        <v>51</v>
      </c>
      <c r="V288" s="18">
        <v>2724.62</v>
      </c>
      <c r="W288" s="18">
        <v>0.5</v>
      </c>
      <c r="X288" s="18">
        <v>26</v>
      </c>
      <c r="Y288" s="18">
        <v>1362.31</v>
      </c>
      <c r="Z288" s="18">
        <v>1.17</v>
      </c>
      <c r="AA288" s="18">
        <v>1362.31</v>
      </c>
      <c r="AB288" s="18">
        <v>378.42</v>
      </c>
      <c r="AC288" s="18">
        <v>36484.053221547772</v>
      </c>
      <c r="AD288" s="18">
        <v>50398937.542720072</v>
      </c>
      <c r="AE288" s="18" t="s">
        <v>1085</v>
      </c>
    </row>
    <row r="289" spans="1:31" x14ac:dyDescent="0.2">
      <c r="A289" s="18">
        <v>288</v>
      </c>
      <c r="B289" s="18">
        <v>288</v>
      </c>
      <c r="C289" s="18">
        <v>288</v>
      </c>
      <c r="D289" s="18">
        <v>391</v>
      </c>
      <c r="E289" s="18" t="s">
        <v>839</v>
      </c>
      <c r="F289" s="18" t="s">
        <v>841</v>
      </c>
      <c r="G289" s="18">
        <v>5600</v>
      </c>
      <c r="H289" s="18">
        <v>16.37</v>
      </c>
      <c r="I289" s="18">
        <v>83.55</v>
      </c>
      <c r="J289" s="18">
        <v>90.7</v>
      </c>
      <c r="K289" s="18">
        <v>0.06</v>
      </c>
      <c r="L289" s="18">
        <v>7.73</v>
      </c>
      <c r="M289" s="18">
        <v>1.51</v>
      </c>
      <c r="N289" s="18">
        <v>0</v>
      </c>
      <c r="O289" s="18">
        <v>50</v>
      </c>
      <c r="P289" s="18">
        <v>4253.76</v>
      </c>
      <c r="Q289" s="18">
        <v>1</v>
      </c>
      <c r="R289" s="18">
        <v>50</v>
      </c>
      <c r="S289" s="18">
        <v>4253.76</v>
      </c>
      <c r="T289" s="18">
        <v>3.05</v>
      </c>
      <c r="U289" s="18">
        <v>124</v>
      </c>
      <c r="V289" s="18">
        <v>8749.44</v>
      </c>
      <c r="W289" s="18">
        <v>0.5</v>
      </c>
      <c r="X289" s="18">
        <v>62</v>
      </c>
      <c r="Y289" s="18">
        <v>4374.72</v>
      </c>
      <c r="Z289" s="18">
        <v>0.74</v>
      </c>
      <c r="AA289" s="18">
        <v>8628.48</v>
      </c>
      <c r="AB289" s="18">
        <v>2396.8000000000002</v>
      </c>
      <c r="AC289" s="18">
        <v>49391.203859716567</v>
      </c>
      <c r="AD289" s="18">
        <v>89943837.293878213</v>
      </c>
      <c r="AE289" s="18" t="s">
        <v>1079</v>
      </c>
    </row>
    <row r="290" spans="1:31" x14ac:dyDescent="0.2">
      <c r="A290" s="18">
        <v>289</v>
      </c>
      <c r="B290" s="18">
        <v>289</v>
      </c>
      <c r="C290" s="18">
        <v>289</v>
      </c>
      <c r="D290" s="18">
        <v>621</v>
      </c>
      <c r="E290" s="18" t="s">
        <v>734</v>
      </c>
      <c r="F290" s="18" t="s">
        <v>736</v>
      </c>
      <c r="G290" s="18">
        <v>5600</v>
      </c>
      <c r="H290" s="18">
        <v>0</v>
      </c>
      <c r="I290" s="18">
        <v>0.45</v>
      </c>
      <c r="J290" s="18">
        <v>31.11</v>
      </c>
      <c r="K290" s="18">
        <v>35.56</v>
      </c>
      <c r="L290" s="18">
        <v>13.33</v>
      </c>
      <c r="M290" s="18">
        <v>4.4400000000000004</v>
      </c>
      <c r="N290" s="18">
        <v>15.56</v>
      </c>
      <c r="O290" s="18">
        <v>0</v>
      </c>
      <c r="P290" s="18">
        <v>0</v>
      </c>
      <c r="Q290" s="18">
        <v>1</v>
      </c>
      <c r="R290" s="18">
        <v>0</v>
      </c>
      <c r="S290" s="18">
        <v>0</v>
      </c>
      <c r="T290" s="18">
        <v>0</v>
      </c>
      <c r="U290" s="18">
        <v>3</v>
      </c>
      <c r="V290" s="18">
        <v>160.27000000000001</v>
      </c>
      <c r="W290" s="18">
        <v>0.5</v>
      </c>
      <c r="X290" s="18">
        <v>2</v>
      </c>
      <c r="Y290" s="18">
        <v>80.14</v>
      </c>
      <c r="Z290" s="18">
        <v>4.4400000000000004</v>
      </c>
      <c r="AA290" s="18">
        <v>80.14</v>
      </c>
      <c r="AB290" s="18">
        <v>22.26</v>
      </c>
      <c r="AC290" s="18">
        <v>26729.20793774429</v>
      </c>
      <c r="AD290" s="18">
        <v>22169836.12109236</v>
      </c>
      <c r="AE290" s="18" t="s">
        <v>1083</v>
      </c>
    </row>
    <row r="291" spans="1:31" x14ac:dyDescent="0.2">
      <c r="A291" s="18">
        <v>290</v>
      </c>
      <c r="B291" s="18">
        <v>290</v>
      </c>
      <c r="C291" s="18">
        <v>290</v>
      </c>
      <c r="D291" s="18">
        <v>625</v>
      </c>
      <c r="E291" s="18" t="s">
        <v>752</v>
      </c>
      <c r="F291" s="18" t="s">
        <v>754</v>
      </c>
      <c r="G291" s="18">
        <v>5600</v>
      </c>
      <c r="H291" s="18">
        <v>0</v>
      </c>
      <c r="I291" s="18">
        <v>3.22</v>
      </c>
      <c r="J291" s="18">
        <v>98.76</v>
      </c>
      <c r="K291" s="18">
        <v>0</v>
      </c>
      <c r="L291" s="18">
        <v>0</v>
      </c>
      <c r="M291" s="18">
        <v>0</v>
      </c>
      <c r="N291" s="18">
        <v>1.24</v>
      </c>
      <c r="O291" s="18">
        <v>0</v>
      </c>
      <c r="P291" s="18">
        <v>0</v>
      </c>
      <c r="Q291" s="18">
        <v>1</v>
      </c>
      <c r="R291" s="18">
        <v>0</v>
      </c>
      <c r="S291" s="18">
        <v>0</v>
      </c>
      <c r="T291" s="18">
        <v>0</v>
      </c>
      <c r="U291" s="18">
        <v>12</v>
      </c>
      <c r="V291" s="18">
        <v>696.73</v>
      </c>
      <c r="W291" s="18">
        <v>0.5</v>
      </c>
      <c r="X291" s="18">
        <v>6</v>
      </c>
      <c r="Y291" s="18">
        <v>348.36</v>
      </c>
      <c r="Z291" s="18">
        <v>1.86</v>
      </c>
      <c r="AA291" s="18">
        <v>348.36</v>
      </c>
      <c r="AB291" s="18">
        <v>96.77</v>
      </c>
      <c r="AC291" s="18">
        <v>19883.277670914071</v>
      </c>
      <c r="AD291" s="18">
        <v>16034576.50609681</v>
      </c>
      <c r="AE291" s="18" t="s">
        <v>1083</v>
      </c>
    </row>
    <row r="292" spans="1:31" x14ac:dyDescent="0.2">
      <c r="A292" s="18">
        <v>291</v>
      </c>
      <c r="B292" s="18">
        <v>291</v>
      </c>
      <c r="C292" s="18">
        <v>291</v>
      </c>
      <c r="D292" s="18">
        <v>507</v>
      </c>
      <c r="E292" s="18" t="s">
        <v>443</v>
      </c>
      <c r="F292" s="18" t="s">
        <v>445</v>
      </c>
      <c r="G292" s="18">
        <v>5600</v>
      </c>
      <c r="H292" s="18">
        <v>16.329999999999998</v>
      </c>
      <c r="I292" s="18">
        <v>25.24</v>
      </c>
      <c r="J292" s="18">
        <v>98.45</v>
      </c>
      <c r="K292" s="18">
        <v>0</v>
      </c>
      <c r="L292" s="18">
        <v>0.32</v>
      </c>
      <c r="M292" s="18">
        <v>1.1100000000000001</v>
      </c>
      <c r="N292" s="18">
        <v>0.12</v>
      </c>
      <c r="O292" s="18">
        <v>50</v>
      </c>
      <c r="P292" s="18">
        <v>4253.76</v>
      </c>
      <c r="Q292" s="18">
        <v>1</v>
      </c>
      <c r="R292" s="18">
        <v>50</v>
      </c>
      <c r="S292" s="18">
        <v>4253.76</v>
      </c>
      <c r="T292" s="18">
        <v>3.06</v>
      </c>
      <c r="U292" s="18">
        <v>58</v>
      </c>
      <c r="V292" s="18">
        <v>4092.48</v>
      </c>
      <c r="W292" s="18">
        <v>0.5</v>
      </c>
      <c r="X292" s="18">
        <v>29</v>
      </c>
      <c r="Y292" s="18">
        <v>2046.24</v>
      </c>
      <c r="Z292" s="18">
        <v>1.1499999999999999</v>
      </c>
      <c r="AA292" s="18">
        <v>6300</v>
      </c>
      <c r="AB292" s="18">
        <v>1750</v>
      </c>
      <c r="AC292" s="18">
        <v>37512.42471276498</v>
      </c>
      <c r="AD292" s="18">
        <v>59429302.756394267</v>
      </c>
      <c r="AE292" s="18" t="s">
        <v>1075</v>
      </c>
    </row>
    <row r="293" spans="1:31" x14ac:dyDescent="0.2">
      <c r="A293" s="18">
        <v>292</v>
      </c>
      <c r="B293" s="18">
        <v>292</v>
      </c>
      <c r="C293" s="18">
        <v>292</v>
      </c>
      <c r="D293" s="18">
        <v>626</v>
      </c>
      <c r="E293" s="18" t="s">
        <v>755</v>
      </c>
      <c r="F293" s="18" t="s">
        <v>757</v>
      </c>
      <c r="G293" s="18">
        <v>5600</v>
      </c>
      <c r="H293" s="18">
        <v>0</v>
      </c>
      <c r="I293" s="18">
        <v>0.66</v>
      </c>
      <c r="J293" s="18">
        <v>42.42</v>
      </c>
      <c r="K293" s="18">
        <v>21.21</v>
      </c>
      <c r="L293" s="18">
        <v>6.06</v>
      </c>
      <c r="M293" s="18">
        <v>30.3</v>
      </c>
      <c r="N293" s="18">
        <v>0</v>
      </c>
      <c r="O293" s="18">
        <v>0</v>
      </c>
      <c r="P293" s="18">
        <v>0</v>
      </c>
      <c r="Q293" s="18">
        <v>1</v>
      </c>
      <c r="R293" s="18">
        <v>0</v>
      </c>
      <c r="S293" s="18">
        <v>0</v>
      </c>
      <c r="T293" s="18">
        <v>0</v>
      </c>
      <c r="U293" s="18">
        <v>6</v>
      </c>
      <c r="V293" s="18">
        <v>320.54000000000002</v>
      </c>
      <c r="W293" s="18">
        <v>0.5</v>
      </c>
      <c r="X293" s="18">
        <v>3</v>
      </c>
      <c r="Y293" s="18">
        <v>160.27000000000001</v>
      </c>
      <c r="Z293" s="18">
        <v>4.55</v>
      </c>
      <c r="AA293" s="18">
        <v>160.27000000000001</v>
      </c>
      <c r="AB293" s="18">
        <v>44.52</v>
      </c>
      <c r="AC293" s="18">
        <v>29956.618405758862</v>
      </c>
      <c r="AD293" s="18">
        <v>22780479.390135109</v>
      </c>
      <c r="AE293" s="18" t="s">
        <v>1083</v>
      </c>
    </row>
    <row r="294" spans="1:31" x14ac:dyDescent="0.2">
      <c r="A294" s="18">
        <v>293</v>
      </c>
      <c r="B294" s="18">
        <v>293</v>
      </c>
      <c r="C294" s="18">
        <v>293</v>
      </c>
      <c r="D294" s="18">
        <v>629</v>
      </c>
      <c r="E294" s="18" t="s">
        <v>764</v>
      </c>
      <c r="F294" s="18" t="s">
        <v>766</v>
      </c>
      <c r="G294" s="18">
        <v>5600</v>
      </c>
      <c r="H294" s="18">
        <v>0</v>
      </c>
      <c r="I294" s="18">
        <v>55.58</v>
      </c>
      <c r="J294" s="18">
        <v>61.84</v>
      </c>
      <c r="K294" s="18">
        <v>0.34</v>
      </c>
      <c r="L294" s="18">
        <v>34.54</v>
      </c>
      <c r="M294" s="18">
        <v>1.78</v>
      </c>
      <c r="N294" s="18">
        <v>1.49</v>
      </c>
      <c r="O294" s="18">
        <v>0</v>
      </c>
      <c r="P294" s="18">
        <v>0</v>
      </c>
      <c r="Q294" s="18">
        <v>1</v>
      </c>
      <c r="R294" s="18">
        <v>0</v>
      </c>
      <c r="S294" s="18">
        <v>0</v>
      </c>
      <c r="T294" s="18">
        <v>0</v>
      </c>
      <c r="U294" s="18">
        <v>106</v>
      </c>
      <c r="V294" s="18">
        <v>5662.94</v>
      </c>
      <c r="W294" s="18">
        <v>0.5</v>
      </c>
      <c r="X294" s="18">
        <v>53</v>
      </c>
      <c r="Y294" s="18">
        <v>2831.47</v>
      </c>
      <c r="Z294" s="18">
        <v>0.95</v>
      </c>
      <c r="AA294" s="18">
        <v>2831.47</v>
      </c>
      <c r="AB294" s="18">
        <v>786.52</v>
      </c>
      <c r="AC294" s="18">
        <v>66281.19889209207</v>
      </c>
      <c r="AD294" s="18">
        <v>165036905.54547799</v>
      </c>
      <c r="AE294" s="18" t="s">
        <v>1085</v>
      </c>
    </row>
    <row r="295" spans="1:31" x14ac:dyDescent="0.2">
      <c r="A295" s="18">
        <v>294</v>
      </c>
      <c r="B295" s="18">
        <v>294</v>
      </c>
      <c r="C295" s="18">
        <v>294</v>
      </c>
      <c r="D295" s="18">
        <v>630</v>
      </c>
      <c r="E295" s="18" t="s">
        <v>767</v>
      </c>
      <c r="F295" s="18" t="s">
        <v>769</v>
      </c>
      <c r="G295" s="18">
        <v>5600</v>
      </c>
      <c r="H295" s="18">
        <v>0</v>
      </c>
      <c r="I295" s="18">
        <v>13.47</v>
      </c>
      <c r="J295" s="18">
        <v>96.66</v>
      </c>
      <c r="K295" s="18">
        <v>0</v>
      </c>
      <c r="L295" s="18">
        <v>2</v>
      </c>
      <c r="M295" s="18">
        <v>0</v>
      </c>
      <c r="N295" s="18">
        <v>1.34</v>
      </c>
      <c r="O295" s="18">
        <v>0</v>
      </c>
      <c r="P295" s="18">
        <v>0</v>
      </c>
      <c r="Q295" s="18">
        <v>1</v>
      </c>
      <c r="R295" s="18">
        <v>0</v>
      </c>
      <c r="S295" s="18">
        <v>0</v>
      </c>
      <c r="T295" s="18">
        <v>0</v>
      </c>
      <c r="U295" s="18">
        <v>29</v>
      </c>
      <c r="V295" s="18">
        <v>1549.3</v>
      </c>
      <c r="W295" s="18">
        <v>0.5</v>
      </c>
      <c r="X295" s="18">
        <v>15</v>
      </c>
      <c r="Y295" s="18">
        <v>774.65</v>
      </c>
      <c r="Z295" s="18">
        <v>1.1100000000000001</v>
      </c>
      <c r="AA295" s="18">
        <v>774.65</v>
      </c>
      <c r="AB295" s="18">
        <v>215.18</v>
      </c>
      <c r="AC295" s="18">
        <v>27068.079980512859</v>
      </c>
      <c r="AD295" s="18">
        <v>31547611.299202882</v>
      </c>
      <c r="AE295" s="18" t="s">
        <v>1083</v>
      </c>
    </row>
    <row r="296" spans="1:31" x14ac:dyDescent="0.2">
      <c r="A296" s="18">
        <v>295</v>
      </c>
      <c r="B296" s="18">
        <v>295</v>
      </c>
      <c r="C296" s="18">
        <v>295</v>
      </c>
      <c r="D296" s="18">
        <v>631</v>
      </c>
      <c r="E296" s="18" t="s">
        <v>770</v>
      </c>
      <c r="F296" s="18" t="s">
        <v>772</v>
      </c>
      <c r="G296" s="18">
        <v>5600</v>
      </c>
      <c r="H296" s="18">
        <v>0</v>
      </c>
      <c r="I296" s="18">
        <v>32.42</v>
      </c>
      <c r="J296" s="18">
        <v>63.73</v>
      </c>
      <c r="K296" s="18">
        <v>0</v>
      </c>
      <c r="L296" s="18">
        <v>35.659999999999997</v>
      </c>
      <c r="M296" s="18">
        <v>0.62</v>
      </c>
      <c r="N296" s="18">
        <v>0</v>
      </c>
      <c r="O296" s="18">
        <v>0</v>
      </c>
      <c r="P296" s="18">
        <v>0</v>
      </c>
      <c r="Q296" s="18">
        <v>1</v>
      </c>
      <c r="R296" s="18">
        <v>0</v>
      </c>
      <c r="S296" s="18">
        <v>0</v>
      </c>
      <c r="T296" s="18">
        <v>0</v>
      </c>
      <c r="U296" s="18">
        <v>70</v>
      </c>
      <c r="V296" s="18">
        <v>3739.68</v>
      </c>
      <c r="W296" s="18">
        <v>0.5</v>
      </c>
      <c r="X296" s="18">
        <v>35</v>
      </c>
      <c r="Y296" s="18">
        <v>1869.84</v>
      </c>
      <c r="Z296" s="18">
        <v>1.08</v>
      </c>
      <c r="AA296" s="18">
        <v>1869.84</v>
      </c>
      <c r="AB296" s="18">
        <v>519.4</v>
      </c>
      <c r="AC296" s="18">
        <v>49969.00261872416</v>
      </c>
      <c r="AD296" s="18">
        <v>105444248.0844686</v>
      </c>
      <c r="AE296" s="18" t="s">
        <v>1085</v>
      </c>
    </row>
    <row r="297" spans="1:31" x14ac:dyDescent="0.2">
      <c r="A297" s="18">
        <v>296</v>
      </c>
      <c r="B297" s="18">
        <v>296</v>
      </c>
      <c r="C297" s="18">
        <v>296</v>
      </c>
      <c r="D297" s="18">
        <v>639</v>
      </c>
      <c r="E297" s="18" t="s">
        <v>797</v>
      </c>
      <c r="F297" s="18" t="s">
        <v>799</v>
      </c>
      <c r="G297" s="18">
        <v>5600</v>
      </c>
      <c r="H297" s="18">
        <v>0</v>
      </c>
      <c r="I297" s="18">
        <v>1.51</v>
      </c>
      <c r="J297" s="18">
        <v>76.819999999999993</v>
      </c>
      <c r="K297" s="18">
        <v>5.96</v>
      </c>
      <c r="L297" s="18">
        <v>1.32</v>
      </c>
      <c r="M297" s="18">
        <v>3.97</v>
      </c>
      <c r="N297" s="18">
        <v>11.92</v>
      </c>
      <c r="O297" s="18">
        <v>0</v>
      </c>
      <c r="P297" s="18">
        <v>0</v>
      </c>
      <c r="Q297" s="18">
        <v>1</v>
      </c>
      <c r="R297" s="18">
        <v>0</v>
      </c>
      <c r="S297" s="18">
        <v>0</v>
      </c>
      <c r="T297" s="18">
        <v>0</v>
      </c>
      <c r="U297" s="18">
        <v>12</v>
      </c>
      <c r="V297" s="18">
        <v>766.89</v>
      </c>
      <c r="W297" s="18">
        <v>0.5</v>
      </c>
      <c r="X297" s="18">
        <v>6</v>
      </c>
      <c r="Y297" s="18">
        <v>383.44</v>
      </c>
      <c r="Z297" s="18">
        <v>3.97</v>
      </c>
      <c r="AA297" s="18">
        <v>383.44</v>
      </c>
      <c r="AB297" s="18">
        <v>106.51</v>
      </c>
      <c r="AC297" s="18">
        <v>39943.972469109918</v>
      </c>
      <c r="AD297" s="18">
        <v>56391855.265287913</v>
      </c>
      <c r="AE297" s="18" t="s">
        <v>1077</v>
      </c>
    </row>
    <row r="298" spans="1:31" x14ac:dyDescent="0.2">
      <c r="A298" s="18">
        <v>297</v>
      </c>
      <c r="B298" s="18">
        <v>297</v>
      </c>
      <c r="C298" s="18">
        <v>297</v>
      </c>
      <c r="D298" s="18">
        <v>640</v>
      </c>
      <c r="E298" s="18" t="s">
        <v>800</v>
      </c>
      <c r="F298" s="18" t="s">
        <v>802</v>
      </c>
      <c r="G298" s="18">
        <v>5600</v>
      </c>
      <c r="H298" s="18">
        <v>0</v>
      </c>
      <c r="I298" s="18">
        <v>79.37</v>
      </c>
      <c r="J298" s="18">
        <v>47.84</v>
      </c>
      <c r="K298" s="18">
        <v>0.31</v>
      </c>
      <c r="L298" s="18">
        <v>49.79</v>
      </c>
      <c r="M298" s="18">
        <v>1.22</v>
      </c>
      <c r="N298" s="18">
        <v>0.83</v>
      </c>
      <c r="O298" s="18">
        <v>0</v>
      </c>
      <c r="P298" s="18">
        <v>0</v>
      </c>
      <c r="Q298" s="18">
        <v>1</v>
      </c>
      <c r="R298" s="18">
        <v>0</v>
      </c>
      <c r="S298" s="18">
        <v>0</v>
      </c>
      <c r="T298" s="18">
        <v>0</v>
      </c>
      <c r="U298" s="18">
        <v>153</v>
      </c>
      <c r="V298" s="18">
        <v>8173.87</v>
      </c>
      <c r="W298" s="18">
        <v>0.5</v>
      </c>
      <c r="X298" s="18">
        <v>77</v>
      </c>
      <c r="Y298" s="18">
        <v>4086.94</v>
      </c>
      <c r="Z298" s="18">
        <v>0.97</v>
      </c>
      <c r="AA298" s="18">
        <v>4086.94</v>
      </c>
      <c r="AB298" s="18">
        <v>1135.26</v>
      </c>
      <c r="AC298" s="18">
        <v>73240.140917805707</v>
      </c>
      <c r="AD298" s="18">
        <v>164856629.15112591</v>
      </c>
      <c r="AE298" s="18" t="s">
        <v>1085</v>
      </c>
    </row>
    <row r="299" spans="1:31" x14ac:dyDescent="0.2">
      <c r="A299" s="18">
        <v>298</v>
      </c>
      <c r="B299" s="18">
        <v>298</v>
      </c>
      <c r="C299" s="18">
        <v>298</v>
      </c>
      <c r="D299" s="18">
        <v>645</v>
      </c>
      <c r="E299" s="18" t="s">
        <v>812</v>
      </c>
      <c r="F299" s="18" t="s">
        <v>814</v>
      </c>
      <c r="G299" s="18">
        <v>5600</v>
      </c>
      <c r="H299" s="18">
        <v>0</v>
      </c>
      <c r="I299" s="18">
        <v>141.24</v>
      </c>
      <c r="J299" s="18">
        <v>19.91</v>
      </c>
      <c r="K299" s="18">
        <v>0</v>
      </c>
      <c r="L299" s="18">
        <v>78.400000000000006</v>
      </c>
      <c r="M299" s="18">
        <v>1.43</v>
      </c>
      <c r="N299" s="18">
        <v>0.26</v>
      </c>
      <c r="O299" s="18">
        <v>0</v>
      </c>
      <c r="P299" s="18">
        <v>0</v>
      </c>
      <c r="Q299" s="18">
        <v>1</v>
      </c>
      <c r="R299" s="18">
        <v>0</v>
      </c>
      <c r="S299" s="18">
        <v>0</v>
      </c>
      <c r="T299" s="18">
        <v>0</v>
      </c>
      <c r="U299" s="18">
        <v>182</v>
      </c>
      <c r="V299" s="18">
        <v>9723.17</v>
      </c>
      <c r="W299" s="18">
        <v>0.5</v>
      </c>
      <c r="X299" s="18">
        <v>91</v>
      </c>
      <c r="Y299" s="18">
        <v>4861.58</v>
      </c>
      <c r="Z299" s="18">
        <v>0.64</v>
      </c>
      <c r="AA299" s="18">
        <v>4861.58</v>
      </c>
      <c r="AB299" s="18">
        <v>1350.44</v>
      </c>
      <c r="AC299" s="18">
        <v>51078.329727732089</v>
      </c>
      <c r="AD299" s="18">
        <v>105119936.8020038</v>
      </c>
      <c r="AE299" s="18" t="s">
        <v>1081</v>
      </c>
    </row>
    <row r="300" spans="1:31" x14ac:dyDescent="0.2">
      <c r="A300" s="18">
        <v>299</v>
      </c>
      <c r="B300" s="18">
        <v>299</v>
      </c>
      <c r="C300" s="18">
        <v>299</v>
      </c>
      <c r="D300" s="18">
        <v>646</v>
      </c>
      <c r="E300" s="18" t="s">
        <v>815</v>
      </c>
      <c r="F300" s="18" t="s">
        <v>817</v>
      </c>
      <c r="G300" s="18">
        <v>5600</v>
      </c>
      <c r="H300" s="18">
        <v>0</v>
      </c>
      <c r="I300" s="18">
        <v>13.42</v>
      </c>
      <c r="J300" s="18">
        <v>76.08</v>
      </c>
      <c r="K300" s="18">
        <v>2.68</v>
      </c>
      <c r="L300" s="18">
        <v>20.79</v>
      </c>
      <c r="M300" s="18">
        <v>0.37</v>
      </c>
      <c r="N300" s="18">
        <v>7.0000000000000007E-2</v>
      </c>
      <c r="O300" s="18">
        <v>0</v>
      </c>
      <c r="P300" s="18">
        <v>0</v>
      </c>
      <c r="Q300" s="18">
        <v>1</v>
      </c>
      <c r="R300" s="18">
        <v>0</v>
      </c>
      <c r="S300" s="18">
        <v>0</v>
      </c>
      <c r="T300" s="18">
        <v>0</v>
      </c>
      <c r="U300" s="18">
        <v>43</v>
      </c>
      <c r="V300" s="18">
        <v>2297.23</v>
      </c>
      <c r="W300" s="18">
        <v>0.5</v>
      </c>
      <c r="X300" s="18">
        <v>22</v>
      </c>
      <c r="Y300" s="18">
        <v>1148.6199999999999</v>
      </c>
      <c r="Z300" s="18">
        <v>1.64</v>
      </c>
      <c r="AA300" s="18">
        <v>1148.6199999999999</v>
      </c>
      <c r="AB300" s="18">
        <v>319.06</v>
      </c>
      <c r="AC300" s="18">
        <v>37865.498301498752</v>
      </c>
      <c r="AD300" s="18">
        <v>56168666.407503933</v>
      </c>
      <c r="AE300" s="18" t="s">
        <v>1081</v>
      </c>
    </row>
    <row r="301" spans="1:31" x14ac:dyDescent="0.2">
      <c r="A301" s="18">
        <v>300</v>
      </c>
      <c r="B301" s="18">
        <v>300</v>
      </c>
      <c r="C301" s="18">
        <v>300</v>
      </c>
      <c r="D301" s="18">
        <v>647</v>
      </c>
      <c r="E301" s="18" t="s">
        <v>833</v>
      </c>
      <c r="F301" s="18" t="s">
        <v>835</v>
      </c>
      <c r="G301" s="18">
        <v>5600</v>
      </c>
      <c r="H301" s="18">
        <v>0</v>
      </c>
      <c r="I301" s="18">
        <v>284.83999999999997</v>
      </c>
      <c r="J301" s="18">
        <v>70.12</v>
      </c>
      <c r="K301" s="18">
        <v>0.5</v>
      </c>
      <c r="L301" s="18">
        <v>27.87</v>
      </c>
      <c r="M301" s="18">
        <v>1.28</v>
      </c>
      <c r="N301" s="18">
        <v>0.22</v>
      </c>
      <c r="O301" s="18">
        <v>0</v>
      </c>
      <c r="P301" s="18">
        <v>0</v>
      </c>
      <c r="Q301" s="18">
        <v>1</v>
      </c>
      <c r="R301" s="18">
        <v>0</v>
      </c>
      <c r="S301" s="18">
        <v>0</v>
      </c>
      <c r="T301" s="18">
        <v>0</v>
      </c>
      <c r="U301" s="18">
        <v>376</v>
      </c>
      <c r="V301" s="18">
        <v>24029.11</v>
      </c>
      <c r="W301" s="18">
        <v>0.5</v>
      </c>
      <c r="X301" s="18">
        <v>188</v>
      </c>
      <c r="Y301" s="18">
        <v>12014.55</v>
      </c>
      <c r="Z301" s="18">
        <v>0.66</v>
      </c>
      <c r="AA301" s="18">
        <v>12014.55</v>
      </c>
      <c r="AB301" s="18">
        <v>3337.38</v>
      </c>
      <c r="AC301" s="18">
        <v>67764.729033017851</v>
      </c>
      <c r="AD301" s="18">
        <v>277924563.20031083</v>
      </c>
      <c r="AE301" s="18" t="s">
        <v>1065</v>
      </c>
    </row>
    <row r="302" spans="1:31" x14ac:dyDescent="0.2">
      <c r="A302" s="18">
        <v>301</v>
      </c>
      <c r="B302" s="18">
        <v>301</v>
      </c>
      <c r="C302" s="18">
        <v>301</v>
      </c>
      <c r="D302" s="18">
        <v>676</v>
      </c>
      <c r="E302" s="18" t="s">
        <v>908</v>
      </c>
      <c r="F302" s="18" t="s">
        <v>910</v>
      </c>
      <c r="G302" s="18">
        <v>5600</v>
      </c>
      <c r="H302" s="18">
        <v>0</v>
      </c>
      <c r="I302" s="18">
        <v>6.27</v>
      </c>
      <c r="J302" s="18">
        <v>20.89</v>
      </c>
      <c r="K302" s="18">
        <v>3.35</v>
      </c>
      <c r="L302" s="18">
        <v>75.12</v>
      </c>
      <c r="M302" s="18">
        <v>0.64</v>
      </c>
      <c r="N302" s="18">
        <v>0</v>
      </c>
      <c r="O302" s="18">
        <v>0</v>
      </c>
      <c r="P302" s="18">
        <v>0</v>
      </c>
      <c r="Q302" s="18">
        <v>1</v>
      </c>
      <c r="R302" s="18">
        <v>0</v>
      </c>
      <c r="S302" s="18">
        <v>0</v>
      </c>
      <c r="T302" s="18">
        <v>0</v>
      </c>
      <c r="U302" s="18">
        <v>16</v>
      </c>
      <c r="V302" s="18">
        <v>854.78</v>
      </c>
      <c r="W302" s="18">
        <v>0.5</v>
      </c>
      <c r="X302" s="18">
        <v>8</v>
      </c>
      <c r="Y302" s="18">
        <v>427.39</v>
      </c>
      <c r="Z302" s="18">
        <v>1.28</v>
      </c>
      <c r="AA302" s="18">
        <v>427.39</v>
      </c>
      <c r="AB302" s="18">
        <v>118.72</v>
      </c>
      <c r="AC302" s="18">
        <v>29024.131733737151</v>
      </c>
      <c r="AD302" s="18">
        <v>31393825.537063569</v>
      </c>
      <c r="AE302" s="18" t="s">
        <v>1081</v>
      </c>
    </row>
    <row r="303" spans="1:31" x14ac:dyDescent="0.2">
      <c r="A303" s="18">
        <v>302</v>
      </c>
      <c r="B303" s="18">
        <v>302</v>
      </c>
      <c r="C303" s="18">
        <v>302</v>
      </c>
      <c r="D303" s="18">
        <v>650</v>
      </c>
      <c r="E303" s="18" t="s">
        <v>1128</v>
      </c>
      <c r="F303" s="18" t="s">
        <v>1129</v>
      </c>
      <c r="G303" s="18">
        <v>5600</v>
      </c>
      <c r="H303" s="18">
        <v>0</v>
      </c>
      <c r="I303" s="18">
        <v>39.81</v>
      </c>
      <c r="J303" s="18">
        <v>36.35</v>
      </c>
      <c r="K303" s="18">
        <v>0.48</v>
      </c>
      <c r="L303" s="18">
        <v>61.39</v>
      </c>
      <c r="M303" s="18">
        <v>1.06</v>
      </c>
      <c r="N303" s="18">
        <v>0.73</v>
      </c>
      <c r="O303" s="18">
        <v>0</v>
      </c>
      <c r="P303" s="18">
        <v>0</v>
      </c>
      <c r="Q303" s="18">
        <v>1</v>
      </c>
      <c r="R303" s="18">
        <v>0</v>
      </c>
      <c r="S303" s="18">
        <v>0</v>
      </c>
      <c r="T303" s="18">
        <v>0</v>
      </c>
      <c r="U303" s="18">
        <v>60</v>
      </c>
      <c r="V303" s="18">
        <v>3205.44</v>
      </c>
      <c r="W303" s="18">
        <v>0.5</v>
      </c>
      <c r="X303" s="18">
        <v>30</v>
      </c>
      <c r="Y303" s="18">
        <v>1602.72</v>
      </c>
      <c r="Z303" s="18">
        <v>0.75</v>
      </c>
      <c r="AA303" s="18">
        <v>1602.72</v>
      </c>
      <c r="AB303" s="18">
        <v>445.2</v>
      </c>
      <c r="AC303" s="18">
        <v>49345.243957691542</v>
      </c>
      <c r="AD303" s="18">
        <v>70682741.373426825</v>
      </c>
      <c r="AE303" s="18" t="s">
        <v>1080</v>
      </c>
    </row>
    <row r="304" spans="1:31" x14ac:dyDescent="0.2">
      <c r="A304" s="18">
        <v>303</v>
      </c>
      <c r="B304" s="18">
        <v>303</v>
      </c>
      <c r="C304" s="18">
        <v>303</v>
      </c>
      <c r="D304" s="18">
        <v>654</v>
      </c>
      <c r="E304" s="18" t="s">
        <v>854</v>
      </c>
      <c r="F304" s="18" t="s">
        <v>856</v>
      </c>
      <c r="G304" s="18">
        <v>5600</v>
      </c>
      <c r="H304" s="18">
        <v>0</v>
      </c>
      <c r="I304" s="18">
        <v>17.440000000000001</v>
      </c>
      <c r="J304" s="18">
        <v>79.87</v>
      </c>
      <c r="K304" s="18">
        <v>3.27</v>
      </c>
      <c r="L304" s="18">
        <v>1.32</v>
      </c>
      <c r="M304" s="18">
        <v>14.97</v>
      </c>
      <c r="N304" s="18">
        <v>0.56999999999999995</v>
      </c>
      <c r="O304" s="18">
        <v>0</v>
      </c>
      <c r="P304" s="18">
        <v>0</v>
      </c>
      <c r="Q304" s="18">
        <v>1</v>
      </c>
      <c r="R304" s="18">
        <v>0</v>
      </c>
      <c r="S304" s="18">
        <v>0</v>
      </c>
      <c r="T304" s="18">
        <v>0</v>
      </c>
      <c r="U304" s="18">
        <v>46</v>
      </c>
      <c r="V304" s="18">
        <v>2670.8</v>
      </c>
      <c r="W304" s="18">
        <v>0.5</v>
      </c>
      <c r="X304" s="18">
        <v>23</v>
      </c>
      <c r="Y304" s="18">
        <v>1335.4</v>
      </c>
      <c r="Z304" s="18">
        <v>1.32</v>
      </c>
      <c r="AA304" s="18">
        <v>1335.4</v>
      </c>
      <c r="AB304" s="18">
        <v>370.94</v>
      </c>
      <c r="AC304" s="18">
        <v>45500.486538188292</v>
      </c>
      <c r="AD304" s="18">
        <v>69179534.622781828</v>
      </c>
      <c r="AE304" s="18" t="s">
        <v>1073</v>
      </c>
    </row>
    <row r="305" spans="1:31" x14ac:dyDescent="0.2">
      <c r="A305" s="18">
        <v>304</v>
      </c>
      <c r="B305" s="18">
        <v>304</v>
      </c>
      <c r="C305" s="18">
        <v>304</v>
      </c>
      <c r="D305" s="18">
        <v>655</v>
      </c>
      <c r="E305" s="18" t="s">
        <v>857</v>
      </c>
      <c r="F305" s="18" t="s">
        <v>859</v>
      </c>
      <c r="G305" s="18">
        <v>5600</v>
      </c>
      <c r="H305" s="18">
        <v>0</v>
      </c>
      <c r="I305" s="18">
        <v>20.5</v>
      </c>
      <c r="J305" s="18">
        <v>37.119999999999997</v>
      </c>
      <c r="K305" s="18">
        <v>0</v>
      </c>
      <c r="L305" s="18">
        <v>59.32</v>
      </c>
      <c r="M305" s="18">
        <v>2.68</v>
      </c>
      <c r="N305" s="18">
        <v>0.88</v>
      </c>
      <c r="O305" s="18">
        <v>0</v>
      </c>
      <c r="P305" s="18">
        <v>0</v>
      </c>
      <c r="Q305" s="18">
        <v>1</v>
      </c>
      <c r="R305" s="18">
        <v>0</v>
      </c>
      <c r="S305" s="18">
        <v>0</v>
      </c>
      <c r="T305" s="18">
        <v>0</v>
      </c>
      <c r="U305" s="18">
        <v>27</v>
      </c>
      <c r="V305" s="18">
        <v>1442.45</v>
      </c>
      <c r="W305" s="18">
        <v>0.5</v>
      </c>
      <c r="X305" s="18">
        <v>14</v>
      </c>
      <c r="Y305" s="18">
        <v>721.22</v>
      </c>
      <c r="Z305" s="18">
        <v>0.68</v>
      </c>
      <c r="AA305" s="18">
        <v>721.22</v>
      </c>
      <c r="AB305" s="18">
        <v>200.34</v>
      </c>
      <c r="AC305" s="18">
        <v>44838.67592938662</v>
      </c>
      <c r="AD305" s="18">
        <v>78137381.253035769</v>
      </c>
      <c r="AE305" s="18" t="s">
        <v>1081</v>
      </c>
    </row>
    <row r="306" spans="1:31" x14ac:dyDescent="0.2">
      <c r="A306" s="18">
        <v>305</v>
      </c>
      <c r="B306" s="18">
        <v>305</v>
      </c>
      <c r="C306" s="18">
        <v>305</v>
      </c>
      <c r="D306" s="18">
        <v>662</v>
      </c>
      <c r="E306" s="18" t="s">
        <v>875</v>
      </c>
      <c r="F306" s="18" t="s">
        <v>877</v>
      </c>
      <c r="G306" s="18">
        <v>5600</v>
      </c>
      <c r="H306" s="18">
        <v>0</v>
      </c>
      <c r="I306" s="18">
        <v>29.41</v>
      </c>
      <c r="J306" s="18">
        <v>59.33</v>
      </c>
      <c r="K306" s="18">
        <v>1.73</v>
      </c>
      <c r="L306" s="18">
        <v>36.590000000000003</v>
      </c>
      <c r="M306" s="18">
        <v>0.71</v>
      </c>
      <c r="N306" s="18">
        <v>1.63</v>
      </c>
      <c r="O306" s="18">
        <v>0</v>
      </c>
      <c r="P306" s="18">
        <v>0</v>
      </c>
      <c r="Q306" s="18">
        <v>1</v>
      </c>
      <c r="R306" s="18">
        <v>0</v>
      </c>
      <c r="S306" s="18">
        <v>0</v>
      </c>
      <c r="T306" s="18">
        <v>0</v>
      </c>
      <c r="U306" s="18">
        <v>82</v>
      </c>
      <c r="V306" s="18">
        <v>4380.7700000000004</v>
      </c>
      <c r="W306" s="18">
        <v>0.5</v>
      </c>
      <c r="X306" s="18">
        <v>41</v>
      </c>
      <c r="Y306" s="18">
        <v>2190.38</v>
      </c>
      <c r="Z306" s="18">
        <v>1.39</v>
      </c>
      <c r="AA306" s="18">
        <v>2190.38</v>
      </c>
      <c r="AB306" s="18">
        <v>608.44000000000005</v>
      </c>
      <c r="AC306" s="18">
        <v>47060.91469492027</v>
      </c>
      <c r="AD306" s="18">
        <v>90375883.511780724</v>
      </c>
      <c r="AE306" s="18" t="s">
        <v>1080</v>
      </c>
    </row>
    <row r="307" spans="1:31" x14ac:dyDescent="0.2">
      <c r="A307" s="18">
        <v>306</v>
      </c>
      <c r="B307" s="18">
        <v>306</v>
      </c>
      <c r="C307" s="18">
        <v>306</v>
      </c>
      <c r="D307" s="18">
        <v>668</v>
      </c>
      <c r="E307" s="18" t="s">
        <v>884</v>
      </c>
      <c r="F307" s="18" t="s">
        <v>886</v>
      </c>
      <c r="G307" s="18">
        <v>5600</v>
      </c>
      <c r="H307" s="18">
        <v>0</v>
      </c>
      <c r="I307" s="18">
        <v>58.35</v>
      </c>
      <c r="J307" s="18">
        <v>35.130000000000003</v>
      </c>
      <c r="K307" s="18">
        <v>0</v>
      </c>
      <c r="L307" s="18">
        <v>64.150000000000006</v>
      </c>
      <c r="M307" s="18">
        <v>0.6</v>
      </c>
      <c r="N307" s="18">
        <v>0.12</v>
      </c>
      <c r="O307" s="18">
        <v>0</v>
      </c>
      <c r="P307" s="18">
        <v>0</v>
      </c>
      <c r="Q307" s="18">
        <v>1</v>
      </c>
      <c r="R307" s="18">
        <v>0</v>
      </c>
      <c r="S307" s="18">
        <v>0</v>
      </c>
      <c r="T307" s="18">
        <v>0</v>
      </c>
      <c r="U307" s="18">
        <v>85</v>
      </c>
      <c r="V307" s="18">
        <v>4541.04</v>
      </c>
      <c r="W307" s="18">
        <v>0.5</v>
      </c>
      <c r="X307" s="18">
        <v>43</v>
      </c>
      <c r="Y307" s="18">
        <v>2270.52</v>
      </c>
      <c r="Z307" s="18">
        <v>0.74</v>
      </c>
      <c r="AA307" s="18">
        <v>2270.52</v>
      </c>
      <c r="AB307" s="18">
        <v>630.70000000000005</v>
      </c>
      <c r="AC307" s="18">
        <v>44041.501147281997</v>
      </c>
      <c r="AD307" s="18">
        <v>75705317.923880249</v>
      </c>
      <c r="AE307" s="18" t="s">
        <v>1081</v>
      </c>
    </row>
    <row r="308" spans="1:31" x14ac:dyDescent="0.2">
      <c r="A308" s="18">
        <v>307</v>
      </c>
      <c r="B308" s="18">
        <v>307</v>
      </c>
      <c r="C308" s="18">
        <v>307</v>
      </c>
      <c r="D308" s="18">
        <v>675</v>
      </c>
      <c r="E308" s="18" t="s">
        <v>905</v>
      </c>
      <c r="F308" s="18" t="s">
        <v>907</v>
      </c>
      <c r="G308" s="18">
        <v>5600</v>
      </c>
      <c r="H308" s="18">
        <v>0</v>
      </c>
      <c r="I308" s="18">
        <v>44.46</v>
      </c>
      <c r="J308" s="18">
        <v>28.41</v>
      </c>
      <c r="K308" s="18">
        <v>0.11</v>
      </c>
      <c r="L308" s="18">
        <v>70.900000000000006</v>
      </c>
      <c r="M308" s="18">
        <v>0.04</v>
      </c>
      <c r="N308" s="18">
        <v>0.54</v>
      </c>
      <c r="O308" s="18">
        <v>0</v>
      </c>
      <c r="P308" s="18">
        <v>0</v>
      </c>
      <c r="Q308" s="18">
        <v>1</v>
      </c>
      <c r="R308" s="18">
        <v>0</v>
      </c>
      <c r="S308" s="18">
        <v>0</v>
      </c>
      <c r="T308" s="18">
        <v>0</v>
      </c>
      <c r="U308" s="18">
        <v>80</v>
      </c>
      <c r="V308" s="18">
        <v>4273.92</v>
      </c>
      <c r="W308" s="18">
        <v>0.5</v>
      </c>
      <c r="X308" s="18">
        <v>40</v>
      </c>
      <c r="Y308" s="18">
        <v>2136.96</v>
      </c>
      <c r="Z308" s="18">
        <v>0.9</v>
      </c>
      <c r="AA308" s="18">
        <v>2136.96</v>
      </c>
      <c r="AB308" s="18">
        <v>593.6</v>
      </c>
      <c r="AC308" s="18">
        <v>45037.498761401534</v>
      </c>
      <c r="AD308" s="18">
        <v>94358195.034294128</v>
      </c>
      <c r="AE308" s="18" t="s">
        <v>1067</v>
      </c>
    </row>
    <row r="309" spans="1:31" x14ac:dyDescent="0.2">
      <c r="A309" s="18">
        <v>308</v>
      </c>
      <c r="B309" s="18">
        <v>308</v>
      </c>
      <c r="C309" s="18">
        <v>308</v>
      </c>
      <c r="D309" s="18">
        <v>679</v>
      </c>
      <c r="E309" s="18" t="s">
        <v>917</v>
      </c>
      <c r="F309" s="18" t="s">
        <v>919</v>
      </c>
      <c r="G309" s="18">
        <v>5600</v>
      </c>
      <c r="H309" s="18">
        <v>0</v>
      </c>
      <c r="I309" s="18">
        <v>1.67</v>
      </c>
      <c r="J309" s="18">
        <v>0.6</v>
      </c>
      <c r="K309" s="18">
        <v>0</v>
      </c>
      <c r="L309" s="18">
        <v>97.6</v>
      </c>
      <c r="M309" s="18">
        <v>1.8</v>
      </c>
      <c r="N309" s="18">
        <v>0</v>
      </c>
      <c r="O309" s="18">
        <v>0</v>
      </c>
      <c r="P309" s="18">
        <v>0</v>
      </c>
      <c r="Q309" s="18">
        <v>1</v>
      </c>
      <c r="R309" s="18">
        <v>0</v>
      </c>
      <c r="S309" s="18">
        <v>0</v>
      </c>
      <c r="T309" s="18">
        <v>0</v>
      </c>
      <c r="U309" s="18">
        <v>3</v>
      </c>
      <c r="V309" s="18">
        <v>211.68</v>
      </c>
      <c r="W309" s="18">
        <v>0.5</v>
      </c>
      <c r="X309" s="18">
        <v>2</v>
      </c>
      <c r="Y309" s="18">
        <v>105.84</v>
      </c>
      <c r="Z309" s="18">
        <v>1.2</v>
      </c>
      <c r="AA309" s="18">
        <v>105.84</v>
      </c>
      <c r="AB309" s="18">
        <v>29.4</v>
      </c>
      <c r="AC309" s="18">
        <v>52378.222441208309</v>
      </c>
      <c r="AD309" s="18">
        <v>81411258.37165907</v>
      </c>
      <c r="AE309" s="18" t="s">
        <v>1077</v>
      </c>
    </row>
    <row r="310" spans="1:31" x14ac:dyDescent="0.2">
      <c r="A310" s="18">
        <v>309</v>
      </c>
      <c r="B310" s="18">
        <v>309</v>
      </c>
      <c r="C310" s="18">
        <v>309</v>
      </c>
      <c r="D310" s="18">
        <v>687</v>
      </c>
      <c r="E310" s="18" t="s">
        <v>941</v>
      </c>
      <c r="F310" s="18" t="s">
        <v>943</v>
      </c>
      <c r="G310" s="18">
        <v>5600</v>
      </c>
      <c r="H310" s="18">
        <v>0</v>
      </c>
      <c r="I310" s="18">
        <v>80.349999999999994</v>
      </c>
      <c r="J310" s="18">
        <v>59.03</v>
      </c>
      <c r="K310" s="18">
        <v>0.01</v>
      </c>
      <c r="L310" s="18">
        <v>39.950000000000003</v>
      </c>
      <c r="M310" s="18">
        <v>0.56000000000000005</v>
      </c>
      <c r="N310" s="18">
        <v>0.45</v>
      </c>
      <c r="O310" s="18">
        <v>0</v>
      </c>
      <c r="P310" s="18">
        <v>0</v>
      </c>
      <c r="Q310" s="18">
        <v>1</v>
      </c>
      <c r="R310" s="18">
        <v>0</v>
      </c>
      <c r="S310" s="18">
        <v>0</v>
      </c>
      <c r="T310" s="18">
        <v>0</v>
      </c>
      <c r="U310" s="18">
        <v>152</v>
      </c>
      <c r="V310" s="18">
        <v>8120.45</v>
      </c>
      <c r="W310" s="18">
        <v>0.5</v>
      </c>
      <c r="X310" s="18">
        <v>76</v>
      </c>
      <c r="Y310" s="18">
        <v>4060.22</v>
      </c>
      <c r="Z310" s="18">
        <v>0.95</v>
      </c>
      <c r="AA310" s="18">
        <v>4060.22</v>
      </c>
      <c r="AB310" s="18">
        <v>1127.8399999999999</v>
      </c>
      <c r="AC310" s="18">
        <v>58390.14136667108</v>
      </c>
      <c r="AD310" s="18">
        <v>161307709.25108719</v>
      </c>
      <c r="AE310" s="18" t="s">
        <v>1085</v>
      </c>
    </row>
    <row r="311" spans="1:31" x14ac:dyDescent="0.2">
      <c r="A311" s="18">
        <v>310</v>
      </c>
      <c r="B311" s="18">
        <v>310</v>
      </c>
      <c r="C311" s="18">
        <v>310</v>
      </c>
      <c r="D311" s="18">
        <v>694</v>
      </c>
      <c r="E311" s="18" t="s">
        <v>971</v>
      </c>
      <c r="F311" s="18" t="s">
        <v>973</v>
      </c>
      <c r="G311" s="18">
        <v>5600</v>
      </c>
      <c r="H311" s="18">
        <v>0</v>
      </c>
      <c r="I311" s="18">
        <v>5.0599999999999996</v>
      </c>
      <c r="J311" s="18">
        <v>54.74</v>
      </c>
      <c r="K311" s="18">
        <v>0</v>
      </c>
      <c r="L311" s="18">
        <v>35.57</v>
      </c>
      <c r="M311" s="18">
        <v>9.49</v>
      </c>
      <c r="N311" s="18">
        <v>0.2</v>
      </c>
      <c r="O311" s="18">
        <v>0</v>
      </c>
      <c r="P311" s="18">
        <v>0</v>
      </c>
      <c r="Q311" s="18">
        <v>1</v>
      </c>
      <c r="R311" s="18">
        <v>0</v>
      </c>
      <c r="S311" s="18">
        <v>0</v>
      </c>
      <c r="T311" s="18">
        <v>0</v>
      </c>
      <c r="U311" s="18">
        <v>10</v>
      </c>
      <c r="V311" s="18">
        <v>639.07000000000005</v>
      </c>
      <c r="W311" s="18">
        <v>0.5</v>
      </c>
      <c r="X311" s="18">
        <v>5</v>
      </c>
      <c r="Y311" s="18">
        <v>319.54000000000002</v>
      </c>
      <c r="Z311" s="18">
        <v>0.99</v>
      </c>
      <c r="AA311" s="18">
        <v>319.54000000000002</v>
      </c>
      <c r="AB311" s="18">
        <v>88.76</v>
      </c>
      <c r="AC311" s="18">
        <v>31651.54990313591</v>
      </c>
      <c r="AD311" s="18">
        <v>38600152.302875407</v>
      </c>
      <c r="AE311" s="18" t="s">
        <v>1077</v>
      </c>
    </row>
    <row r="312" spans="1:31" x14ac:dyDescent="0.2">
      <c r="A312" s="18">
        <v>311</v>
      </c>
      <c r="B312" s="18">
        <v>311</v>
      </c>
      <c r="C312" s="18">
        <v>311</v>
      </c>
      <c r="D312" s="18">
        <v>372</v>
      </c>
      <c r="E312" s="18" t="s">
        <v>41</v>
      </c>
      <c r="F312" s="18" t="s">
        <v>43</v>
      </c>
      <c r="G312" s="18">
        <v>5600</v>
      </c>
      <c r="H312" s="18">
        <v>0</v>
      </c>
      <c r="I312" s="18">
        <v>3.96</v>
      </c>
      <c r="J312" s="18">
        <v>92.93</v>
      </c>
      <c r="K312" s="18">
        <v>0</v>
      </c>
      <c r="L312" s="18">
        <v>2.5299999999999998</v>
      </c>
      <c r="M312" s="18">
        <v>2.78</v>
      </c>
      <c r="N312" s="18">
        <v>1.77</v>
      </c>
      <c r="O312" s="18">
        <v>0</v>
      </c>
      <c r="P312" s="18">
        <v>0</v>
      </c>
      <c r="Q312" s="18">
        <v>1</v>
      </c>
      <c r="R312" s="18">
        <v>0</v>
      </c>
      <c r="S312" s="18">
        <v>0</v>
      </c>
      <c r="T312" s="18">
        <v>0</v>
      </c>
      <c r="U312" s="18">
        <v>20</v>
      </c>
      <c r="V312" s="18">
        <v>1552.32</v>
      </c>
      <c r="W312" s="18">
        <v>0.5</v>
      </c>
      <c r="X312" s="18">
        <v>10</v>
      </c>
      <c r="Y312" s="18">
        <v>776.16</v>
      </c>
      <c r="Z312" s="18">
        <v>2.5299999999999998</v>
      </c>
      <c r="AA312" s="18">
        <v>776.16</v>
      </c>
      <c r="AB312" s="18">
        <v>215.6</v>
      </c>
      <c r="AC312" s="18">
        <v>25974.02195368801</v>
      </c>
      <c r="AD312" s="18">
        <v>26112823.249090441</v>
      </c>
      <c r="AE312" s="18" t="s">
        <v>1064</v>
      </c>
    </row>
    <row r="313" spans="1:31" x14ac:dyDescent="0.2">
      <c r="A313" s="18">
        <v>312</v>
      </c>
      <c r="B313" s="18">
        <v>312</v>
      </c>
      <c r="C313" s="18">
        <v>312</v>
      </c>
      <c r="D313" s="18">
        <v>494</v>
      </c>
      <c r="E313" s="18" t="s">
        <v>416</v>
      </c>
      <c r="F313" s="18" t="s">
        <v>418</v>
      </c>
      <c r="G313" s="18">
        <v>5600</v>
      </c>
      <c r="H313" s="18">
        <v>0</v>
      </c>
      <c r="I313" s="18">
        <v>92.06</v>
      </c>
      <c r="J313" s="18">
        <v>46.71</v>
      </c>
      <c r="K313" s="18">
        <v>0.34</v>
      </c>
      <c r="L313" s="18">
        <v>48.85</v>
      </c>
      <c r="M313" s="18">
        <v>4.05</v>
      </c>
      <c r="N313" s="18">
        <v>0.05</v>
      </c>
      <c r="O313" s="18">
        <v>1</v>
      </c>
      <c r="P313" s="18">
        <v>85.08</v>
      </c>
      <c r="Q313" s="18">
        <v>1</v>
      </c>
      <c r="R313" s="18">
        <v>1</v>
      </c>
      <c r="S313" s="18">
        <v>85.08</v>
      </c>
      <c r="T313" s="18">
        <v>0</v>
      </c>
      <c r="U313" s="18">
        <v>161</v>
      </c>
      <c r="V313" s="18">
        <v>12496.18</v>
      </c>
      <c r="W313" s="18">
        <v>0.5</v>
      </c>
      <c r="X313" s="18">
        <v>81</v>
      </c>
      <c r="Y313" s="18">
        <v>6248.09</v>
      </c>
      <c r="Z313" s="18">
        <v>0.88</v>
      </c>
      <c r="AA313" s="18">
        <v>6333.17</v>
      </c>
      <c r="AB313" s="18">
        <v>1759.22</v>
      </c>
      <c r="AC313" s="18">
        <v>57908.845258499838</v>
      </c>
      <c r="AD313" s="18">
        <v>163656864.49034771</v>
      </c>
      <c r="AE313" s="18" t="s">
        <v>1075</v>
      </c>
    </row>
    <row r="314" spans="1:31" x14ac:dyDescent="0.2">
      <c r="A314" s="18">
        <v>313</v>
      </c>
      <c r="B314" s="18">
        <v>313</v>
      </c>
      <c r="C314" s="18">
        <v>313</v>
      </c>
      <c r="D314" s="18">
        <v>519</v>
      </c>
      <c r="E314" s="18" t="s">
        <v>458</v>
      </c>
      <c r="F314" s="18" t="s">
        <v>460</v>
      </c>
      <c r="G314" s="18">
        <v>5600</v>
      </c>
      <c r="H314" s="18">
        <v>0</v>
      </c>
      <c r="I314" s="18">
        <v>1.44</v>
      </c>
      <c r="J314" s="18">
        <v>92.36</v>
      </c>
      <c r="K314" s="18">
        <v>0</v>
      </c>
      <c r="L314" s="18">
        <v>0</v>
      </c>
      <c r="M314" s="18">
        <v>5.56</v>
      </c>
      <c r="N314" s="18">
        <v>2.08</v>
      </c>
      <c r="O314" s="18">
        <v>0</v>
      </c>
      <c r="P314" s="18">
        <v>0</v>
      </c>
      <c r="Q314" s="18">
        <v>1</v>
      </c>
      <c r="R314" s="18">
        <v>0</v>
      </c>
      <c r="S314" s="18">
        <v>0</v>
      </c>
      <c r="T314" s="18">
        <v>0</v>
      </c>
      <c r="U314" s="18">
        <v>3</v>
      </c>
      <c r="V314" s="18">
        <v>191.72</v>
      </c>
      <c r="W314" s="18">
        <v>0.5</v>
      </c>
      <c r="X314" s="18">
        <v>2</v>
      </c>
      <c r="Y314" s="18">
        <v>95.86</v>
      </c>
      <c r="Z314" s="18">
        <v>1.39</v>
      </c>
      <c r="AA314" s="18">
        <v>95.86</v>
      </c>
      <c r="AB314" s="18">
        <v>26.63</v>
      </c>
      <c r="AC314" s="18">
        <v>23253.760955438909</v>
      </c>
      <c r="AD314" s="18">
        <v>18103140.196811128</v>
      </c>
      <c r="AE314" s="18" t="s">
        <v>1087</v>
      </c>
    </row>
    <row r="315" spans="1:31" x14ac:dyDescent="0.2">
      <c r="A315" s="18">
        <v>314</v>
      </c>
      <c r="B315" s="18">
        <v>314</v>
      </c>
      <c r="C315" s="18">
        <v>314</v>
      </c>
      <c r="D315" s="18">
        <v>487</v>
      </c>
      <c r="E315" s="18" t="s">
        <v>386</v>
      </c>
      <c r="F315" s="18" t="s">
        <v>388</v>
      </c>
      <c r="G315" s="18">
        <v>5600</v>
      </c>
      <c r="H315" s="18">
        <v>28.13</v>
      </c>
      <c r="I315" s="18">
        <v>0.17</v>
      </c>
      <c r="J315" s="18">
        <v>88.24</v>
      </c>
      <c r="K315" s="18">
        <v>0</v>
      </c>
      <c r="L315" s="18">
        <v>0</v>
      </c>
      <c r="M315" s="18">
        <v>0</v>
      </c>
      <c r="N315" s="18">
        <v>11.76</v>
      </c>
      <c r="O315" s="18">
        <v>78</v>
      </c>
      <c r="P315" s="18">
        <v>6635.87</v>
      </c>
      <c r="Q315" s="18">
        <v>1</v>
      </c>
      <c r="R315" s="18">
        <v>78</v>
      </c>
      <c r="S315" s="18">
        <v>6635.87</v>
      </c>
      <c r="T315" s="18">
        <v>2.77</v>
      </c>
      <c r="U315" s="18">
        <v>1</v>
      </c>
      <c r="V315" s="18">
        <v>70.56</v>
      </c>
      <c r="W315" s="18">
        <v>0.5</v>
      </c>
      <c r="X315" s="18">
        <v>1</v>
      </c>
      <c r="Y315" s="18">
        <v>35.28</v>
      </c>
      <c r="Z315" s="18">
        <v>5.88</v>
      </c>
      <c r="AA315" s="18">
        <v>6671.15</v>
      </c>
      <c r="AB315" s="18">
        <v>1853.1</v>
      </c>
      <c r="AC315" s="18">
        <v>26263.92769664439</v>
      </c>
      <c r="AD315" s="18">
        <v>21079978.427152481</v>
      </c>
      <c r="AE315" s="18" t="s">
        <v>1075</v>
      </c>
    </row>
    <row r="316" spans="1:31" x14ac:dyDescent="0.2">
      <c r="A316" s="18">
        <v>315</v>
      </c>
      <c r="B316" s="18">
        <v>315</v>
      </c>
      <c r="C316" s="18">
        <v>315</v>
      </c>
      <c r="D316" s="18">
        <v>557</v>
      </c>
      <c r="E316" s="18" t="s">
        <v>560</v>
      </c>
      <c r="F316" s="18" t="s">
        <v>562</v>
      </c>
      <c r="G316" s="18">
        <v>5600</v>
      </c>
      <c r="H316" s="18">
        <v>0</v>
      </c>
      <c r="I316" s="18">
        <v>150.83000000000001</v>
      </c>
      <c r="J316" s="18">
        <v>91.72</v>
      </c>
      <c r="K316" s="18">
        <v>0.06</v>
      </c>
      <c r="L316" s="18">
        <v>5.77</v>
      </c>
      <c r="M316" s="18">
        <v>1.47</v>
      </c>
      <c r="N316" s="18">
        <v>0.98</v>
      </c>
      <c r="O316" s="18">
        <v>0</v>
      </c>
      <c r="P316" s="18">
        <v>0</v>
      </c>
      <c r="Q316" s="18">
        <v>1</v>
      </c>
      <c r="R316" s="18">
        <v>0</v>
      </c>
      <c r="S316" s="18">
        <v>0</v>
      </c>
      <c r="T316" s="18">
        <v>0</v>
      </c>
      <c r="U316" s="18">
        <v>269</v>
      </c>
      <c r="V316" s="18">
        <v>17191.04</v>
      </c>
      <c r="W316" s="18">
        <v>0.5</v>
      </c>
      <c r="X316" s="18">
        <v>135</v>
      </c>
      <c r="Y316" s="18">
        <v>8595.52</v>
      </c>
      <c r="Z316" s="18">
        <v>0.9</v>
      </c>
      <c r="AA316" s="18">
        <v>8595.52</v>
      </c>
      <c r="AB316" s="18">
        <v>2387.65</v>
      </c>
      <c r="AC316" s="18">
        <v>67474.302367866432</v>
      </c>
      <c r="AD316" s="18">
        <v>182219758.01890209</v>
      </c>
      <c r="AE316" s="18" t="s">
        <v>1079</v>
      </c>
    </row>
    <row r="317" spans="1:31" x14ac:dyDescent="0.2">
      <c r="A317" s="18">
        <v>316</v>
      </c>
      <c r="B317" s="18">
        <v>316</v>
      </c>
      <c r="C317" s="18">
        <v>316</v>
      </c>
      <c r="D317" s="18">
        <v>563</v>
      </c>
      <c r="E317" s="18" t="s">
        <v>581</v>
      </c>
      <c r="F317" s="18" t="s">
        <v>583</v>
      </c>
      <c r="G317" s="18">
        <v>5600</v>
      </c>
      <c r="H317" s="18">
        <v>0</v>
      </c>
      <c r="I317" s="18">
        <v>5.51</v>
      </c>
      <c r="J317" s="18">
        <v>53.18</v>
      </c>
      <c r="K317" s="18">
        <v>21.05</v>
      </c>
      <c r="L317" s="18">
        <v>14.88</v>
      </c>
      <c r="M317" s="18">
        <v>10.89</v>
      </c>
      <c r="N317" s="18">
        <v>0</v>
      </c>
      <c r="O317" s="18">
        <v>0</v>
      </c>
      <c r="P317" s="18">
        <v>0</v>
      </c>
      <c r="Q317" s="18">
        <v>1</v>
      </c>
      <c r="R317" s="18">
        <v>0</v>
      </c>
      <c r="S317" s="18">
        <v>0</v>
      </c>
      <c r="T317" s="18">
        <v>0</v>
      </c>
      <c r="U317" s="18">
        <v>28</v>
      </c>
      <c r="V317" s="18">
        <v>1789.4</v>
      </c>
      <c r="W317" s="18">
        <v>0.5</v>
      </c>
      <c r="X317" s="18">
        <v>14</v>
      </c>
      <c r="Y317" s="18">
        <v>894.7</v>
      </c>
      <c r="Z317" s="18">
        <v>2.54</v>
      </c>
      <c r="AA317" s="18">
        <v>894.7</v>
      </c>
      <c r="AB317" s="18">
        <v>248.53</v>
      </c>
      <c r="AC317" s="18">
        <v>49786.470126678578</v>
      </c>
      <c r="AD317" s="18">
        <v>38519643.031722911</v>
      </c>
      <c r="AE317" s="18" t="s">
        <v>1079</v>
      </c>
    </row>
    <row r="318" spans="1:31" x14ac:dyDescent="0.2">
      <c r="A318" s="18">
        <v>317</v>
      </c>
      <c r="B318" s="18">
        <v>317</v>
      </c>
      <c r="C318" s="18">
        <v>317</v>
      </c>
      <c r="D318" s="18">
        <v>440</v>
      </c>
      <c r="E318" s="18" t="s">
        <v>221</v>
      </c>
      <c r="F318" s="18" t="s">
        <v>223</v>
      </c>
      <c r="G318" s="18">
        <v>5600</v>
      </c>
      <c r="H318" s="18">
        <v>1.55</v>
      </c>
      <c r="I318" s="18">
        <v>53.72</v>
      </c>
      <c r="J318" s="18">
        <v>30.17</v>
      </c>
      <c r="K318" s="18">
        <v>0</v>
      </c>
      <c r="L318" s="18">
        <v>69.709999999999994</v>
      </c>
      <c r="M318" s="18">
        <v>0.02</v>
      </c>
      <c r="N318" s="18">
        <v>0.09</v>
      </c>
      <c r="O318" s="18">
        <v>0</v>
      </c>
      <c r="P318" s="18">
        <v>0</v>
      </c>
      <c r="Q318" s="18">
        <v>1</v>
      </c>
      <c r="R318" s="18">
        <v>0</v>
      </c>
      <c r="S318" s="18">
        <v>0</v>
      </c>
      <c r="T318" s="18">
        <v>0</v>
      </c>
      <c r="U318" s="18">
        <v>80</v>
      </c>
      <c r="V318" s="18">
        <v>4273.92</v>
      </c>
      <c r="W318" s="18">
        <v>0.5</v>
      </c>
      <c r="X318" s="18">
        <v>40</v>
      </c>
      <c r="Y318" s="18">
        <v>2136.96</v>
      </c>
      <c r="Z318" s="18">
        <v>0.74</v>
      </c>
      <c r="AA318" s="18">
        <v>2136.96</v>
      </c>
      <c r="AB318" s="18">
        <v>593.6</v>
      </c>
      <c r="AC318" s="18">
        <v>40785.826377422527</v>
      </c>
      <c r="AD318" s="18">
        <v>85612181.354950234</v>
      </c>
      <c r="AE318" s="18" t="s">
        <v>1094</v>
      </c>
    </row>
    <row r="319" spans="1:31" x14ac:dyDescent="0.2">
      <c r="A319" s="18">
        <v>318</v>
      </c>
      <c r="B319" s="18">
        <v>318</v>
      </c>
      <c r="C319" s="18">
        <v>318</v>
      </c>
      <c r="D319" s="18">
        <v>454</v>
      </c>
      <c r="E319" s="18" t="s">
        <v>263</v>
      </c>
      <c r="F319" s="18" t="s">
        <v>265</v>
      </c>
      <c r="G319" s="18">
        <v>5600</v>
      </c>
      <c r="H319" s="18">
        <v>0.38</v>
      </c>
      <c r="I319" s="18">
        <v>208.19</v>
      </c>
      <c r="J319" s="18">
        <v>9.83</v>
      </c>
      <c r="K319" s="18">
        <v>0</v>
      </c>
      <c r="L319" s="18">
        <v>90.12</v>
      </c>
      <c r="M319" s="18">
        <v>0.03</v>
      </c>
      <c r="N319" s="18">
        <v>0.01</v>
      </c>
      <c r="O319" s="18">
        <v>0</v>
      </c>
      <c r="P319" s="18">
        <v>0</v>
      </c>
      <c r="Q319" s="18">
        <v>1</v>
      </c>
      <c r="R319" s="18">
        <v>0</v>
      </c>
      <c r="S319" s="18">
        <v>0</v>
      </c>
      <c r="T319" s="18">
        <v>0</v>
      </c>
      <c r="U319" s="18">
        <v>233</v>
      </c>
      <c r="V319" s="18">
        <v>12447.79</v>
      </c>
      <c r="W319" s="18">
        <v>0.5</v>
      </c>
      <c r="X319" s="18">
        <v>117</v>
      </c>
      <c r="Y319" s="18">
        <v>6223.9</v>
      </c>
      <c r="Z319" s="18">
        <v>0.56000000000000005</v>
      </c>
      <c r="AA319" s="18">
        <v>6223.9</v>
      </c>
      <c r="AB319" s="18">
        <v>1728.86</v>
      </c>
      <c r="AC319" s="18">
        <v>54695.195490493221</v>
      </c>
      <c r="AD319" s="18">
        <v>128900372.30036201</v>
      </c>
      <c r="AE319" s="18" t="s">
        <v>1094</v>
      </c>
    </row>
    <row r="320" spans="1:31" x14ac:dyDescent="0.2">
      <c r="A320" s="18">
        <v>319</v>
      </c>
      <c r="B320" s="18">
        <v>319</v>
      </c>
      <c r="C320" s="18">
        <v>319</v>
      </c>
      <c r="D320" s="18">
        <v>552</v>
      </c>
      <c r="E320" s="18" t="s">
        <v>551</v>
      </c>
      <c r="F320" s="18" t="s">
        <v>553</v>
      </c>
      <c r="G320" s="18">
        <v>5600</v>
      </c>
      <c r="H320" s="18">
        <v>0.01</v>
      </c>
      <c r="I320" s="18">
        <v>41.75</v>
      </c>
      <c r="J320" s="18">
        <v>88.72</v>
      </c>
      <c r="K320" s="18">
        <v>5.15</v>
      </c>
      <c r="L320" s="18">
        <v>2.97</v>
      </c>
      <c r="M320" s="18">
        <v>1.51</v>
      </c>
      <c r="N320" s="18">
        <v>1.65</v>
      </c>
      <c r="O320" s="18">
        <v>0</v>
      </c>
      <c r="P320" s="18">
        <v>0</v>
      </c>
      <c r="Q320" s="18">
        <v>1</v>
      </c>
      <c r="R320" s="18">
        <v>0</v>
      </c>
      <c r="S320" s="18">
        <v>0</v>
      </c>
      <c r="T320" s="18">
        <v>0</v>
      </c>
      <c r="U320" s="18">
        <v>123</v>
      </c>
      <c r="V320" s="18">
        <v>7860.59</v>
      </c>
      <c r="W320" s="18">
        <v>0.5</v>
      </c>
      <c r="X320" s="18">
        <v>62</v>
      </c>
      <c r="Y320" s="18">
        <v>3930.29</v>
      </c>
      <c r="Z320" s="18">
        <v>1.49</v>
      </c>
      <c r="AA320" s="18">
        <v>3930.29</v>
      </c>
      <c r="AB320" s="18">
        <v>1091.75</v>
      </c>
      <c r="AC320" s="18">
        <v>55226.349774574359</v>
      </c>
      <c r="AD320" s="18">
        <v>145911756.98817351</v>
      </c>
      <c r="AE320" s="18" t="s">
        <v>1079</v>
      </c>
    </row>
    <row r="321" spans="1:31" x14ac:dyDescent="0.2">
      <c r="A321" s="18">
        <v>320</v>
      </c>
      <c r="B321" s="18">
        <v>320</v>
      </c>
      <c r="C321" s="18">
        <v>320</v>
      </c>
      <c r="D321" s="18">
        <v>560</v>
      </c>
      <c r="E321" s="18" t="s">
        <v>566</v>
      </c>
      <c r="F321" s="18" t="s">
        <v>568</v>
      </c>
      <c r="G321" s="18">
        <v>5600</v>
      </c>
      <c r="H321" s="18">
        <v>0.08</v>
      </c>
      <c r="I321" s="18">
        <v>7.61</v>
      </c>
      <c r="J321" s="18">
        <v>82.65</v>
      </c>
      <c r="K321" s="18">
        <v>0</v>
      </c>
      <c r="L321" s="18">
        <v>14.06</v>
      </c>
      <c r="M321" s="18">
        <v>1.05</v>
      </c>
      <c r="N321" s="18">
        <v>2.23</v>
      </c>
      <c r="O321" s="18">
        <v>0</v>
      </c>
      <c r="P321" s="18">
        <v>0</v>
      </c>
      <c r="Q321" s="18">
        <v>1</v>
      </c>
      <c r="R321" s="18">
        <v>0</v>
      </c>
      <c r="S321" s="18">
        <v>0</v>
      </c>
      <c r="T321" s="18">
        <v>0</v>
      </c>
      <c r="U321" s="18">
        <v>21</v>
      </c>
      <c r="V321" s="18">
        <v>1342.05</v>
      </c>
      <c r="W321" s="18">
        <v>0.5</v>
      </c>
      <c r="X321" s="18">
        <v>11</v>
      </c>
      <c r="Y321" s="18">
        <v>671.03</v>
      </c>
      <c r="Z321" s="18">
        <v>1.45</v>
      </c>
      <c r="AA321" s="18">
        <v>671.03</v>
      </c>
      <c r="AB321" s="18">
        <v>186.4</v>
      </c>
      <c r="AC321" s="18">
        <v>40856.365331964153</v>
      </c>
      <c r="AD321" s="18">
        <v>49906909.507165506</v>
      </c>
      <c r="AE321" s="18" t="s">
        <v>1079</v>
      </c>
    </row>
    <row r="322" spans="1:31" x14ac:dyDescent="0.2">
      <c r="A322" s="18">
        <v>321</v>
      </c>
      <c r="B322" s="18">
        <v>321</v>
      </c>
      <c r="C322" s="18">
        <v>321</v>
      </c>
      <c r="D322" s="18">
        <v>405</v>
      </c>
      <c r="E322" s="18" t="s">
        <v>119</v>
      </c>
      <c r="F322" s="18" t="s">
        <v>121</v>
      </c>
      <c r="G322" s="18">
        <v>5600</v>
      </c>
      <c r="H322" s="18">
        <v>99.85</v>
      </c>
      <c r="I322" s="18">
        <v>476.47</v>
      </c>
      <c r="J322" s="18">
        <v>90.04</v>
      </c>
      <c r="K322" s="18">
        <v>0.28999999999999998</v>
      </c>
      <c r="L322" s="18">
        <v>8.0399999999999991</v>
      </c>
      <c r="M322" s="18">
        <v>1.47</v>
      </c>
      <c r="N322" s="18">
        <v>0.16</v>
      </c>
      <c r="O322" s="18">
        <v>287</v>
      </c>
      <c r="P322" s="18">
        <v>24416.58</v>
      </c>
      <c r="Q322" s="18">
        <v>1</v>
      </c>
      <c r="R322" s="18">
        <v>287</v>
      </c>
      <c r="S322" s="18">
        <v>24416.58</v>
      </c>
      <c r="T322" s="18">
        <v>2.87</v>
      </c>
      <c r="U322" s="18">
        <v>761</v>
      </c>
      <c r="V322" s="18">
        <v>53696.160000000003</v>
      </c>
      <c r="W322" s="18">
        <v>0.5</v>
      </c>
      <c r="X322" s="18">
        <v>381</v>
      </c>
      <c r="Y322" s="18">
        <v>26848.080000000002</v>
      </c>
      <c r="Z322" s="18">
        <v>0.8</v>
      </c>
      <c r="AA322" s="18">
        <v>51264.66</v>
      </c>
      <c r="AB322" s="18">
        <v>14240.19</v>
      </c>
      <c r="AC322" s="18">
        <v>98860.032908337394</v>
      </c>
      <c r="AD322" s="18">
        <v>467361307.11429209</v>
      </c>
      <c r="AE322" s="18" t="s">
        <v>1093</v>
      </c>
    </row>
    <row r="323" spans="1:31" x14ac:dyDescent="0.2">
      <c r="A323" s="18">
        <v>322</v>
      </c>
      <c r="B323" s="18">
        <v>322</v>
      </c>
      <c r="C323" s="18">
        <v>322</v>
      </c>
      <c r="D323" s="18">
        <v>403</v>
      </c>
      <c r="E323" s="18" t="s">
        <v>113</v>
      </c>
      <c r="F323" s="18" t="s">
        <v>115</v>
      </c>
      <c r="G323" s="18">
        <v>5600</v>
      </c>
      <c r="H323" s="18">
        <v>10.6</v>
      </c>
      <c r="I323" s="18">
        <v>91.73</v>
      </c>
      <c r="J323" s="18">
        <v>82.72</v>
      </c>
      <c r="K323" s="18">
        <v>0.01</v>
      </c>
      <c r="L323" s="18">
        <v>14.74</v>
      </c>
      <c r="M323" s="18">
        <v>2.23</v>
      </c>
      <c r="N323" s="18">
        <v>0.28999999999999998</v>
      </c>
      <c r="O323" s="18">
        <v>22</v>
      </c>
      <c r="P323" s="18">
        <v>1871.65</v>
      </c>
      <c r="Q323" s="18">
        <v>1</v>
      </c>
      <c r="R323" s="18">
        <v>22</v>
      </c>
      <c r="S323" s="18">
        <v>1871.65</v>
      </c>
      <c r="T323" s="18">
        <v>2.08</v>
      </c>
      <c r="U323" s="18">
        <v>188</v>
      </c>
      <c r="V323" s="18">
        <v>12014.55</v>
      </c>
      <c r="W323" s="18">
        <v>0.5</v>
      </c>
      <c r="X323" s="18">
        <v>94</v>
      </c>
      <c r="Y323" s="18">
        <v>6007.28</v>
      </c>
      <c r="Z323" s="18">
        <v>1.02</v>
      </c>
      <c r="AA323" s="18">
        <v>7878.93</v>
      </c>
      <c r="AB323" s="18">
        <v>2188.59</v>
      </c>
      <c r="AC323" s="18">
        <v>62141.010371679098</v>
      </c>
      <c r="AD323" s="18">
        <v>148368736.21191511</v>
      </c>
      <c r="AE323" s="18" t="s">
        <v>1066</v>
      </c>
    </row>
    <row r="324" spans="1:31" x14ac:dyDescent="0.2">
      <c r="A324" s="18">
        <v>323</v>
      </c>
      <c r="B324" s="18">
        <v>323</v>
      </c>
      <c r="C324" s="18">
        <v>323</v>
      </c>
      <c r="D324" s="18">
        <v>427</v>
      </c>
      <c r="E324" s="18" t="s">
        <v>185</v>
      </c>
      <c r="F324" s="18" t="s">
        <v>187</v>
      </c>
      <c r="G324" s="18">
        <v>5600</v>
      </c>
      <c r="H324" s="18">
        <v>1.37</v>
      </c>
      <c r="I324" s="18">
        <v>62.22</v>
      </c>
      <c r="J324" s="18">
        <v>21.76</v>
      </c>
      <c r="K324" s="18">
        <v>0.59</v>
      </c>
      <c r="L324" s="18">
        <v>77.400000000000006</v>
      </c>
      <c r="M324" s="18">
        <v>0</v>
      </c>
      <c r="N324" s="18">
        <v>0.24</v>
      </c>
      <c r="O324" s="18">
        <v>5</v>
      </c>
      <c r="P324" s="18">
        <v>425.38</v>
      </c>
      <c r="Q324" s="18">
        <v>1</v>
      </c>
      <c r="R324" s="18">
        <v>5</v>
      </c>
      <c r="S324" s="18">
        <v>425.38</v>
      </c>
      <c r="T324" s="18">
        <v>3.65</v>
      </c>
      <c r="U324" s="18">
        <v>84</v>
      </c>
      <c r="V324" s="18">
        <v>4487.62</v>
      </c>
      <c r="W324" s="18">
        <v>0.5</v>
      </c>
      <c r="X324" s="18">
        <v>42</v>
      </c>
      <c r="Y324" s="18">
        <v>2243.81</v>
      </c>
      <c r="Z324" s="18">
        <v>0.68</v>
      </c>
      <c r="AA324" s="18">
        <v>2669.19</v>
      </c>
      <c r="AB324" s="18">
        <v>741.44</v>
      </c>
      <c r="AC324" s="18">
        <v>43775.805901709638</v>
      </c>
      <c r="AD324" s="18">
        <v>64057811.659251213</v>
      </c>
      <c r="AE324" s="18" t="s">
        <v>1094</v>
      </c>
    </row>
    <row r="325" spans="1:31" x14ac:dyDescent="0.2">
      <c r="A325" s="18">
        <v>324</v>
      </c>
      <c r="B325" s="18">
        <v>324</v>
      </c>
      <c r="C325" s="18">
        <v>324</v>
      </c>
      <c r="D325" s="18">
        <v>456</v>
      </c>
      <c r="E325" s="18" t="s">
        <v>281</v>
      </c>
      <c r="F325" s="18" t="s">
        <v>283</v>
      </c>
      <c r="G325" s="18">
        <v>5600</v>
      </c>
      <c r="H325" s="18">
        <v>2.67</v>
      </c>
      <c r="I325" s="18">
        <v>23.69</v>
      </c>
      <c r="J325" s="18">
        <v>98.82</v>
      </c>
      <c r="K325" s="18">
        <v>0</v>
      </c>
      <c r="L325" s="18">
        <v>0.13</v>
      </c>
      <c r="M325" s="18">
        <v>1.06</v>
      </c>
      <c r="N325" s="18">
        <v>0</v>
      </c>
      <c r="O325" s="18">
        <v>8</v>
      </c>
      <c r="P325" s="18">
        <v>680.6</v>
      </c>
      <c r="Q325" s="18">
        <v>1</v>
      </c>
      <c r="R325" s="18">
        <v>8</v>
      </c>
      <c r="S325" s="18">
        <v>680.6</v>
      </c>
      <c r="T325" s="18">
        <v>3</v>
      </c>
      <c r="U325" s="18">
        <v>36</v>
      </c>
      <c r="V325" s="18">
        <v>2090.19</v>
      </c>
      <c r="W325" s="18">
        <v>0.5</v>
      </c>
      <c r="X325" s="18">
        <v>18</v>
      </c>
      <c r="Y325" s="18">
        <v>1045.0899999999999</v>
      </c>
      <c r="Z325" s="18">
        <v>0.76</v>
      </c>
      <c r="AA325" s="18">
        <v>1725.69</v>
      </c>
      <c r="AB325" s="18">
        <v>479.36</v>
      </c>
      <c r="AC325" s="18">
        <v>24571.223650437249</v>
      </c>
      <c r="AD325" s="18">
        <v>30903730.766550928</v>
      </c>
      <c r="AE325" s="18" t="s">
        <v>1072</v>
      </c>
    </row>
    <row r="326" spans="1:31" x14ac:dyDescent="0.2">
      <c r="A326" s="18">
        <v>325</v>
      </c>
      <c r="B326" s="18">
        <v>325</v>
      </c>
      <c r="C326" s="18">
        <v>325</v>
      </c>
      <c r="D326" s="18">
        <v>429</v>
      </c>
      <c r="E326" s="18" t="s">
        <v>191</v>
      </c>
      <c r="F326" s="18" t="s">
        <v>193</v>
      </c>
      <c r="G326" s="18">
        <v>5600</v>
      </c>
      <c r="H326" s="18">
        <v>1.4</v>
      </c>
      <c r="I326" s="18">
        <v>97.67</v>
      </c>
      <c r="J326" s="18">
        <v>4.47</v>
      </c>
      <c r="K326" s="18">
        <v>0.2</v>
      </c>
      <c r="L326" s="18">
        <v>94.74</v>
      </c>
      <c r="M326" s="18">
        <v>0</v>
      </c>
      <c r="N326" s="18">
        <v>0.57999999999999996</v>
      </c>
      <c r="O326" s="18">
        <v>2</v>
      </c>
      <c r="P326" s="18">
        <v>170.15</v>
      </c>
      <c r="Q326" s="18">
        <v>1</v>
      </c>
      <c r="R326" s="18">
        <v>2</v>
      </c>
      <c r="S326" s="18">
        <v>170.15</v>
      </c>
      <c r="T326" s="18">
        <v>1.43</v>
      </c>
      <c r="U326" s="18">
        <v>118</v>
      </c>
      <c r="V326" s="18">
        <v>6304.03</v>
      </c>
      <c r="W326" s="18">
        <v>0.5</v>
      </c>
      <c r="X326" s="18">
        <v>59</v>
      </c>
      <c r="Y326" s="18">
        <v>3152.02</v>
      </c>
      <c r="Z326" s="18">
        <v>0.6</v>
      </c>
      <c r="AA326" s="18">
        <v>3322.17</v>
      </c>
      <c r="AB326" s="18">
        <v>922.83</v>
      </c>
      <c r="AC326" s="18">
        <v>46247.87639999541</v>
      </c>
      <c r="AD326" s="18">
        <v>85431798.011544511</v>
      </c>
      <c r="AE326" s="18" t="s">
        <v>1094</v>
      </c>
    </row>
    <row r="327" spans="1:31" x14ac:dyDescent="0.2">
      <c r="A327" s="18">
        <v>326</v>
      </c>
      <c r="B327" s="18">
        <v>326</v>
      </c>
      <c r="C327" s="18">
        <v>326</v>
      </c>
      <c r="D327" s="18">
        <v>435</v>
      </c>
      <c r="E327" s="18" t="s">
        <v>209</v>
      </c>
      <c r="F327" s="18" t="s">
        <v>211</v>
      </c>
      <c r="G327" s="18">
        <v>5600</v>
      </c>
      <c r="H327" s="18">
        <v>0.34</v>
      </c>
      <c r="I327" s="18">
        <v>29.78</v>
      </c>
      <c r="J327" s="18">
        <v>77.900000000000006</v>
      </c>
      <c r="K327" s="18">
        <v>0.13</v>
      </c>
      <c r="L327" s="18">
        <v>4.03</v>
      </c>
      <c r="M327" s="18">
        <v>17.899999999999999</v>
      </c>
      <c r="N327" s="18">
        <v>0.03</v>
      </c>
      <c r="O327" s="18">
        <v>3</v>
      </c>
      <c r="P327" s="18">
        <v>255.23</v>
      </c>
      <c r="Q327" s="18">
        <v>1</v>
      </c>
      <c r="R327" s="18">
        <v>3</v>
      </c>
      <c r="S327" s="18">
        <v>255.23</v>
      </c>
      <c r="T327" s="18">
        <v>8.82</v>
      </c>
      <c r="U327" s="18">
        <v>65</v>
      </c>
      <c r="V327" s="18">
        <v>3773.95</v>
      </c>
      <c r="W327" s="18">
        <v>0.5</v>
      </c>
      <c r="X327" s="18">
        <v>33</v>
      </c>
      <c r="Y327" s="18">
        <v>1886.98</v>
      </c>
      <c r="Z327" s="18">
        <v>1.1100000000000001</v>
      </c>
      <c r="AA327" s="18">
        <v>2142.21</v>
      </c>
      <c r="AB327" s="18">
        <v>595.05999999999995</v>
      </c>
      <c r="AC327" s="18">
        <v>52473.572236506378</v>
      </c>
      <c r="AD327" s="18">
        <v>75487897.573093921</v>
      </c>
      <c r="AE327" s="18" t="s">
        <v>1069</v>
      </c>
    </row>
    <row r="328" spans="1:31" x14ac:dyDescent="0.2">
      <c r="A328" s="18">
        <v>327</v>
      </c>
      <c r="B328" s="18">
        <v>327</v>
      </c>
      <c r="C328" s="18">
        <v>327</v>
      </c>
      <c r="D328" s="18">
        <v>439</v>
      </c>
      <c r="E328" s="18" t="s">
        <v>218</v>
      </c>
      <c r="F328" s="18" t="s">
        <v>220</v>
      </c>
      <c r="G328" s="18">
        <v>5600</v>
      </c>
      <c r="H328" s="18">
        <v>0.25</v>
      </c>
      <c r="I328" s="18">
        <v>110.41</v>
      </c>
      <c r="J328" s="18">
        <v>42.51</v>
      </c>
      <c r="K328" s="18">
        <v>0.24</v>
      </c>
      <c r="L328" s="18">
        <v>55.79</v>
      </c>
      <c r="M328" s="18">
        <v>0.83</v>
      </c>
      <c r="N328" s="18">
        <v>0.63</v>
      </c>
      <c r="O328" s="18">
        <v>1</v>
      </c>
      <c r="P328" s="18">
        <v>85.08</v>
      </c>
      <c r="Q328" s="18">
        <v>1</v>
      </c>
      <c r="R328" s="18">
        <v>1</v>
      </c>
      <c r="S328" s="18">
        <v>85.08</v>
      </c>
      <c r="T328" s="18">
        <v>4</v>
      </c>
      <c r="U328" s="18">
        <v>141</v>
      </c>
      <c r="V328" s="18">
        <v>8186.57</v>
      </c>
      <c r="W328" s="18">
        <v>0.5</v>
      </c>
      <c r="X328" s="18">
        <v>71</v>
      </c>
      <c r="Y328" s="18">
        <v>4093.29</v>
      </c>
      <c r="Z328" s="18">
        <v>0.64</v>
      </c>
      <c r="AA328" s="18">
        <v>4178.37</v>
      </c>
      <c r="AB328" s="18">
        <v>1160.6600000000001</v>
      </c>
      <c r="AC328" s="18">
        <v>51044.735287101743</v>
      </c>
      <c r="AD328" s="18">
        <v>98251745.892596558</v>
      </c>
      <c r="AE328" s="18" t="s">
        <v>1094</v>
      </c>
    </row>
    <row r="329" spans="1:31" x14ac:dyDescent="0.2">
      <c r="A329" s="18">
        <v>328</v>
      </c>
      <c r="B329" s="18">
        <v>328</v>
      </c>
      <c r="C329" s="18">
        <v>328</v>
      </c>
      <c r="D329" s="18">
        <v>481</v>
      </c>
      <c r="E329" s="18" t="s">
        <v>353</v>
      </c>
      <c r="F329" s="18" t="s">
        <v>355</v>
      </c>
      <c r="G329" s="18">
        <v>5600</v>
      </c>
      <c r="H329" s="18">
        <v>2.38</v>
      </c>
      <c r="I329" s="18">
        <v>46.22</v>
      </c>
      <c r="J329" s="18">
        <v>27.09</v>
      </c>
      <c r="K329" s="18">
        <v>3.89</v>
      </c>
      <c r="L329" s="18">
        <v>60.88</v>
      </c>
      <c r="M329" s="18">
        <v>7.42</v>
      </c>
      <c r="N329" s="18">
        <v>0.71</v>
      </c>
      <c r="O329" s="18">
        <v>6</v>
      </c>
      <c r="P329" s="18">
        <v>510.45</v>
      </c>
      <c r="Q329" s="18">
        <v>1</v>
      </c>
      <c r="R329" s="18">
        <v>6</v>
      </c>
      <c r="S329" s="18">
        <v>510.45</v>
      </c>
      <c r="T329" s="18">
        <v>2.52</v>
      </c>
      <c r="U329" s="18">
        <v>62</v>
      </c>
      <c r="V329" s="18">
        <v>4374.72</v>
      </c>
      <c r="W329" s="18">
        <v>0.5</v>
      </c>
      <c r="X329" s="18">
        <v>31</v>
      </c>
      <c r="Y329" s="18">
        <v>2187.36</v>
      </c>
      <c r="Z329" s="18">
        <v>0.67</v>
      </c>
      <c r="AA329" s="18">
        <v>2697.81</v>
      </c>
      <c r="AB329" s="18">
        <v>749.39</v>
      </c>
      <c r="AC329" s="18">
        <v>43536.749298525989</v>
      </c>
      <c r="AD329" s="18">
        <v>55162445.011093661</v>
      </c>
      <c r="AE329" s="18" t="s">
        <v>1075</v>
      </c>
    </row>
    <row r="330" spans="1:31" x14ac:dyDescent="0.2">
      <c r="A330" s="18">
        <v>329</v>
      </c>
      <c r="B330" s="18">
        <v>329</v>
      </c>
      <c r="C330" s="18">
        <v>329</v>
      </c>
      <c r="D330" s="18">
        <v>661</v>
      </c>
      <c r="E330" s="18" t="s">
        <v>968</v>
      </c>
      <c r="F330" s="18" t="s">
        <v>970</v>
      </c>
      <c r="G330" s="18">
        <v>5600</v>
      </c>
      <c r="H330" s="18">
        <v>63.16</v>
      </c>
      <c r="I330" s="18">
        <v>287.99</v>
      </c>
      <c r="J330" s="18">
        <v>66.89</v>
      </c>
      <c r="K330" s="18">
        <v>0.05</v>
      </c>
      <c r="L330" s="18">
        <v>30.12</v>
      </c>
      <c r="M330" s="18">
        <v>2.13</v>
      </c>
      <c r="N330" s="18">
        <v>0.82</v>
      </c>
      <c r="O330" s="18">
        <v>179</v>
      </c>
      <c r="P330" s="18">
        <v>15228.46</v>
      </c>
      <c r="Q330" s="18">
        <v>1</v>
      </c>
      <c r="R330" s="18">
        <v>179</v>
      </c>
      <c r="S330" s="18">
        <v>15228.46</v>
      </c>
      <c r="T330" s="18">
        <v>2.83</v>
      </c>
      <c r="U330" s="18">
        <v>414</v>
      </c>
      <c r="V330" s="18">
        <v>29211.84</v>
      </c>
      <c r="W330" s="18">
        <v>0.5</v>
      </c>
      <c r="X330" s="18">
        <v>207</v>
      </c>
      <c r="Y330" s="18">
        <v>14605.92</v>
      </c>
      <c r="Z330" s="18">
        <v>0.72</v>
      </c>
      <c r="AA330" s="18">
        <v>29834.38</v>
      </c>
      <c r="AB330" s="18">
        <v>8287.33</v>
      </c>
      <c r="AC330" s="18">
        <v>117014.4720085461</v>
      </c>
      <c r="AD330" s="18">
        <v>256831268.64074889</v>
      </c>
      <c r="AE330" s="18" t="s">
        <v>1130</v>
      </c>
    </row>
    <row r="331" spans="1:31" x14ac:dyDescent="0.2">
      <c r="A331" s="18">
        <v>330</v>
      </c>
      <c r="B331" s="18">
        <v>330</v>
      </c>
      <c r="C331" s="18">
        <v>330</v>
      </c>
      <c r="D331" s="18">
        <v>482</v>
      </c>
      <c r="E331" s="18" t="s">
        <v>359</v>
      </c>
      <c r="F331" s="18" t="s">
        <v>361</v>
      </c>
      <c r="G331" s="18">
        <v>5600</v>
      </c>
      <c r="H331" s="18">
        <v>18.23</v>
      </c>
      <c r="I331" s="18">
        <v>30.86</v>
      </c>
      <c r="J331" s="18">
        <v>94.01</v>
      </c>
      <c r="K331" s="18">
        <v>0</v>
      </c>
      <c r="L331" s="18">
        <v>0.68</v>
      </c>
      <c r="M331" s="18">
        <v>5.31</v>
      </c>
      <c r="N331" s="18">
        <v>0</v>
      </c>
      <c r="O331" s="18">
        <v>48</v>
      </c>
      <c r="P331" s="18">
        <v>4083.61</v>
      </c>
      <c r="Q331" s="18">
        <v>1</v>
      </c>
      <c r="R331" s="18">
        <v>48</v>
      </c>
      <c r="S331" s="18">
        <v>4083.61</v>
      </c>
      <c r="T331" s="18">
        <v>2.63</v>
      </c>
      <c r="U331" s="18">
        <v>65</v>
      </c>
      <c r="V331" s="18">
        <v>4586.3999999999996</v>
      </c>
      <c r="W331" s="18">
        <v>0.5</v>
      </c>
      <c r="X331" s="18">
        <v>33</v>
      </c>
      <c r="Y331" s="18">
        <v>2293.1999999999998</v>
      </c>
      <c r="Z331" s="18">
        <v>1.07</v>
      </c>
      <c r="AA331" s="18">
        <v>6376.81</v>
      </c>
      <c r="AB331" s="18">
        <v>1771.34</v>
      </c>
      <c r="AC331" s="18">
        <v>50048.368110674797</v>
      </c>
      <c r="AD331" s="18">
        <v>57471560.749636173</v>
      </c>
      <c r="AE331" s="18" t="s">
        <v>1076</v>
      </c>
    </row>
    <row r="332" spans="1:31" x14ac:dyDescent="0.2">
      <c r="A332" s="18">
        <v>331</v>
      </c>
      <c r="B332" s="18">
        <v>331</v>
      </c>
      <c r="C332" s="18">
        <v>331</v>
      </c>
      <c r="D332" s="18">
        <v>491</v>
      </c>
      <c r="E332" s="18" t="s">
        <v>389</v>
      </c>
      <c r="F332" s="18" t="s">
        <v>391</v>
      </c>
      <c r="G332" s="18">
        <v>5600</v>
      </c>
      <c r="H332" s="18">
        <v>4.8</v>
      </c>
      <c r="I332" s="18">
        <v>1.07</v>
      </c>
      <c r="J332" s="18">
        <v>0</v>
      </c>
      <c r="K332" s="18">
        <v>0</v>
      </c>
      <c r="L332" s="18">
        <v>86.92</v>
      </c>
      <c r="M332" s="18">
        <v>0</v>
      </c>
      <c r="N332" s="18">
        <v>13.08</v>
      </c>
      <c r="O332" s="18">
        <v>15</v>
      </c>
      <c r="P332" s="18">
        <v>1276.1300000000001</v>
      </c>
      <c r="Q332" s="18">
        <v>1</v>
      </c>
      <c r="R332" s="18">
        <v>15</v>
      </c>
      <c r="S332" s="18">
        <v>1276.1300000000001</v>
      </c>
      <c r="T332" s="18">
        <v>3.12</v>
      </c>
      <c r="U332" s="18">
        <v>3</v>
      </c>
      <c r="V332" s="18">
        <v>160.27000000000001</v>
      </c>
      <c r="W332" s="18">
        <v>0.5</v>
      </c>
      <c r="X332" s="18">
        <v>2</v>
      </c>
      <c r="Y332" s="18">
        <v>80.14</v>
      </c>
      <c r="Z332" s="18">
        <v>1.87</v>
      </c>
      <c r="AA332" s="18">
        <v>1356.27</v>
      </c>
      <c r="AB332" s="18">
        <v>376.74</v>
      </c>
      <c r="AC332" s="18">
        <v>23037.04792341487</v>
      </c>
      <c r="AD332" s="18">
        <v>16040259.90140282</v>
      </c>
      <c r="AE332" s="18" t="s">
        <v>1076</v>
      </c>
    </row>
    <row r="333" spans="1:31" x14ac:dyDescent="0.2">
      <c r="A333" s="18">
        <v>332</v>
      </c>
      <c r="B333" s="18">
        <v>332</v>
      </c>
      <c r="C333" s="18">
        <v>332</v>
      </c>
      <c r="D333" s="18">
        <v>541</v>
      </c>
      <c r="E333" s="18" t="s">
        <v>1095</v>
      </c>
      <c r="F333" s="18" t="s">
        <v>1096</v>
      </c>
      <c r="G333" s="18">
        <v>5600</v>
      </c>
      <c r="H333" s="18">
        <v>2.64</v>
      </c>
      <c r="I333" s="18">
        <v>22.74</v>
      </c>
      <c r="J333" s="18">
        <v>11.3</v>
      </c>
      <c r="K333" s="18">
        <v>0.18</v>
      </c>
      <c r="L333" s="18">
        <v>73.31</v>
      </c>
      <c r="M333" s="18">
        <v>14.73</v>
      </c>
      <c r="N333" s="18">
        <v>0.48</v>
      </c>
      <c r="O333" s="18">
        <v>10</v>
      </c>
      <c r="P333" s="18">
        <v>850.75</v>
      </c>
      <c r="Q333" s="18">
        <v>1</v>
      </c>
      <c r="R333" s="18">
        <v>10</v>
      </c>
      <c r="S333" s="18">
        <v>850.75</v>
      </c>
      <c r="T333" s="18">
        <v>3.79</v>
      </c>
      <c r="U333" s="18">
        <v>46</v>
      </c>
      <c r="V333" s="18">
        <v>3245.76</v>
      </c>
      <c r="W333" s="18">
        <v>0.5</v>
      </c>
      <c r="X333" s="18">
        <v>23</v>
      </c>
      <c r="Y333" s="18">
        <v>1622.88</v>
      </c>
      <c r="Z333" s="18">
        <v>1.01</v>
      </c>
      <c r="AA333" s="18">
        <v>2473.63</v>
      </c>
      <c r="AB333" s="18">
        <v>687.12</v>
      </c>
      <c r="AC333" s="18">
        <v>41863.81164485823</v>
      </c>
      <c r="AD333" s="18">
        <v>58778434.867989458</v>
      </c>
      <c r="AE333" s="18" t="s">
        <v>1077</v>
      </c>
    </row>
    <row r="334" spans="1:31" x14ac:dyDescent="0.2">
      <c r="A334" s="18">
        <v>333</v>
      </c>
      <c r="B334" s="18">
        <v>333</v>
      </c>
      <c r="C334" s="18">
        <v>333</v>
      </c>
      <c r="D334" s="18">
        <v>497</v>
      </c>
      <c r="E334" s="18" t="s">
        <v>398</v>
      </c>
      <c r="F334" s="18" t="s">
        <v>400</v>
      </c>
      <c r="G334" s="18">
        <v>5600</v>
      </c>
      <c r="H334" s="18">
        <v>114.45</v>
      </c>
      <c r="I334" s="18">
        <v>46.94</v>
      </c>
      <c r="J334" s="18">
        <v>90.05</v>
      </c>
      <c r="K334" s="18">
        <v>0.57999999999999996</v>
      </c>
      <c r="L334" s="18">
        <v>2.36</v>
      </c>
      <c r="M334" s="18">
        <v>6.52</v>
      </c>
      <c r="N334" s="18">
        <v>0.49</v>
      </c>
      <c r="O334" s="18">
        <v>331</v>
      </c>
      <c r="P334" s="18">
        <v>28159.89</v>
      </c>
      <c r="Q334" s="18">
        <v>1</v>
      </c>
      <c r="R334" s="18">
        <v>331</v>
      </c>
      <c r="S334" s="18">
        <v>28159.89</v>
      </c>
      <c r="T334" s="18">
        <v>2.89</v>
      </c>
      <c r="U334" s="18">
        <v>110</v>
      </c>
      <c r="V334" s="18">
        <v>7761.6</v>
      </c>
      <c r="W334" s="18">
        <v>0.5</v>
      </c>
      <c r="X334" s="18">
        <v>55</v>
      </c>
      <c r="Y334" s="18">
        <v>3880.8</v>
      </c>
      <c r="Z334" s="18">
        <v>1.17</v>
      </c>
      <c r="AA334" s="18">
        <v>32040.69</v>
      </c>
      <c r="AB334" s="18">
        <v>8900.2000000000007</v>
      </c>
      <c r="AC334" s="18">
        <v>63998.499199799939</v>
      </c>
      <c r="AD334" s="18">
        <v>124721298.83240481</v>
      </c>
      <c r="AE334" s="18" t="s">
        <v>1075</v>
      </c>
    </row>
    <row r="335" spans="1:31" x14ac:dyDescent="0.2">
      <c r="A335" s="18">
        <v>334</v>
      </c>
      <c r="B335" s="18">
        <v>334</v>
      </c>
      <c r="C335" s="18">
        <v>334</v>
      </c>
      <c r="D335" s="18">
        <v>503</v>
      </c>
      <c r="E335" s="18" t="s">
        <v>419</v>
      </c>
      <c r="F335" s="18" t="s">
        <v>421</v>
      </c>
      <c r="G335" s="18">
        <v>5600</v>
      </c>
      <c r="H335" s="18">
        <v>0.92</v>
      </c>
      <c r="I335" s="18">
        <v>13.43</v>
      </c>
      <c r="J335" s="18">
        <v>77.22</v>
      </c>
      <c r="K335" s="18">
        <v>0</v>
      </c>
      <c r="L335" s="18">
        <v>6.92</v>
      </c>
      <c r="M335" s="18">
        <v>15.19</v>
      </c>
      <c r="N335" s="18">
        <v>0.67</v>
      </c>
      <c r="O335" s="18">
        <v>1</v>
      </c>
      <c r="P335" s="18">
        <v>85.08</v>
      </c>
      <c r="Q335" s="18">
        <v>1</v>
      </c>
      <c r="R335" s="18">
        <v>1</v>
      </c>
      <c r="S335" s="18">
        <v>85.08</v>
      </c>
      <c r="T335" s="18">
        <v>1.0900000000000001</v>
      </c>
      <c r="U335" s="18">
        <v>24</v>
      </c>
      <c r="V335" s="18">
        <v>1693.44</v>
      </c>
      <c r="W335" s="18">
        <v>0.5</v>
      </c>
      <c r="X335" s="18">
        <v>12</v>
      </c>
      <c r="Y335" s="18">
        <v>846.72</v>
      </c>
      <c r="Z335" s="18">
        <v>0.89</v>
      </c>
      <c r="AA335" s="18">
        <v>931.8</v>
      </c>
      <c r="AB335" s="18">
        <v>258.83</v>
      </c>
      <c r="AC335" s="18">
        <v>24456.706491824902</v>
      </c>
      <c r="AD335" s="18">
        <v>22307484.748205408</v>
      </c>
      <c r="AE335" s="18" t="s">
        <v>1075</v>
      </c>
    </row>
    <row r="336" spans="1:31" x14ac:dyDescent="0.2">
      <c r="A336" s="18">
        <v>335</v>
      </c>
      <c r="B336" s="18">
        <v>335</v>
      </c>
      <c r="C336" s="18">
        <v>335</v>
      </c>
      <c r="D336" s="18">
        <v>517</v>
      </c>
      <c r="E336" s="18" t="s">
        <v>452</v>
      </c>
      <c r="F336" s="18" t="s">
        <v>454</v>
      </c>
      <c r="G336" s="18">
        <v>5600</v>
      </c>
      <c r="H336" s="18">
        <v>0.83</v>
      </c>
      <c r="I336" s="18">
        <v>72.84</v>
      </c>
      <c r="J336" s="18">
        <v>39.51</v>
      </c>
      <c r="K336" s="18">
        <v>7.0000000000000007E-2</v>
      </c>
      <c r="L336" s="18">
        <v>42.38</v>
      </c>
      <c r="M336" s="18">
        <v>17.809999999999999</v>
      </c>
      <c r="N336" s="18">
        <v>0.23</v>
      </c>
      <c r="O336" s="18">
        <v>1</v>
      </c>
      <c r="P336" s="18">
        <v>85.08</v>
      </c>
      <c r="Q336" s="18">
        <v>1</v>
      </c>
      <c r="R336" s="18">
        <v>1</v>
      </c>
      <c r="S336" s="18">
        <v>85.08</v>
      </c>
      <c r="T336" s="18">
        <v>1.2</v>
      </c>
      <c r="U336" s="18">
        <v>107</v>
      </c>
      <c r="V336" s="18">
        <v>6212.51</v>
      </c>
      <c r="W336" s="18">
        <v>0.5</v>
      </c>
      <c r="X336" s="18">
        <v>54</v>
      </c>
      <c r="Y336" s="18">
        <v>3106.25</v>
      </c>
      <c r="Z336" s="18">
        <v>0.74</v>
      </c>
      <c r="AA336" s="18">
        <v>3191.33</v>
      </c>
      <c r="AB336" s="18">
        <v>886.48</v>
      </c>
      <c r="AC336" s="18">
        <v>51693.853895103894</v>
      </c>
      <c r="AD336" s="18">
        <v>98588751.698698133</v>
      </c>
      <c r="AE336" s="18" t="s">
        <v>1101</v>
      </c>
    </row>
    <row r="337" spans="1:31" x14ac:dyDescent="0.2">
      <c r="A337" s="18">
        <v>336</v>
      </c>
      <c r="B337" s="18">
        <v>336</v>
      </c>
      <c r="C337" s="18">
        <v>336</v>
      </c>
      <c r="D337" s="18">
        <v>522</v>
      </c>
      <c r="E337" s="18" t="s">
        <v>1112</v>
      </c>
      <c r="F337" s="18" t="s">
        <v>1113</v>
      </c>
      <c r="G337" s="18">
        <v>5600</v>
      </c>
      <c r="H337" s="18">
        <v>0.14000000000000001</v>
      </c>
      <c r="I337" s="18">
        <v>8.32</v>
      </c>
      <c r="J337" s="18">
        <v>86.9</v>
      </c>
      <c r="K337" s="18">
        <v>0.24</v>
      </c>
      <c r="L337" s="18">
        <v>10.1</v>
      </c>
      <c r="M337" s="18">
        <v>0.84</v>
      </c>
      <c r="N337" s="18">
        <v>1.92</v>
      </c>
      <c r="O337" s="18">
        <v>1</v>
      </c>
      <c r="P337" s="18">
        <v>85.08</v>
      </c>
      <c r="Q337" s="18">
        <v>1</v>
      </c>
      <c r="R337" s="18">
        <v>1</v>
      </c>
      <c r="S337" s="18">
        <v>85.08</v>
      </c>
      <c r="T337" s="18">
        <v>7.14</v>
      </c>
      <c r="U337" s="18">
        <v>36</v>
      </c>
      <c r="V337" s="18">
        <v>2300.66</v>
      </c>
      <c r="W337" s="18">
        <v>0.5</v>
      </c>
      <c r="X337" s="18">
        <v>18</v>
      </c>
      <c r="Y337" s="18">
        <v>1150.33</v>
      </c>
      <c r="Z337" s="18">
        <v>2.16</v>
      </c>
      <c r="AA337" s="18">
        <v>1235.4100000000001</v>
      </c>
      <c r="AB337" s="18">
        <v>343.17</v>
      </c>
      <c r="AC337" s="18">
        <v>38766.984400329253</v>
      </c>
      <c r="AD337" s="18">
        <v>42286223.008253828</v>
      </c>
      <c r="AE337" s="18" t="s">
        <v>1077</v>
      </c>
    </row>
    <row r="338" spans="1:31" x14ac:dyDescent="0.2">
      <c r="A338" s="18">
        <v>337</v>
      </c>
      <c r="B338" s="18">
        <v>337</v>
      </c>
      <c r="C338" s="18">
        <v>337</v>
      </c>
      <c r="D338" s="18">
        <v>554</v>
      </c>
      <c r="E338" s="18" t="s">
        <v>554</v>
      </c>
      <c r="F338" s="18" t="s">
        <v>556</v>
      </c>
      <c r="G338" s="18">
        <v>5600</v>
      </c>
      <c r="H338" s="18">
        <v>4.8099999999999996</v>
      </c>
      <c r="I338" s="18">
        <v>60.58</v>
      </c>
      <c r="J338" s="18">
        <v>90.84</v>
      </c>
      <c r="K338" s="18">
        <v>0.48</v>
      </c>
      <c r="L338" s="18">
        <v>6.64</v>
      </c>
      <c r="M338" s="18">
        <v>1.49</v>
      </c>
      <c r="N338" s="18">
        <v>0.56000000000000005</v>
      </c>
      <c r="O338" s="18">
        <v>16</v>
      </c>
      <c r="P338" s="18">
        <v>1361.2</v>
      </c>
      <c r="Q338" s="18">
        <v>1</v>
      </c>
      <c r="R338" s="18">
        <v>16</v>
      </c>
      <c r="S338" s="18">
        <v>1361.2</v>
      </c>
      <c r="T338" s="18">
        <v>3.33</v>
      </c>
      <c r="U338" s="18">
        <v>88</v>
      </c>
      <c r="V338" s="18">
        <v>5623.83</v>
      </c>
      <c r="W338" s="18">
        <v>0.5</v>
      </c>
      <c r="X338" s="18">
        <v>44</v>
      </c>
      <c r="Y338" s="18">
        <v>2811.92</v>
      </c>
      <c r="Z338" s="18">
        <v>0.73</v>
      </c>
      <c r="AA338" s="18">
        <v>4173.12</v>
      </c>
      <c r="AB338" s="18">
        <v>1159.2</v>
      </c>
      <c r="AC338" s="18">
        <v>51222.926876709556</v>
      </c>
      <c r="AD338" s="18">
        <v>92834561.206763878</v>
      </c>
      <c r="AE338" s="18" t="s">
        <v>1079</v>
      </c>
    </row>
    <row r="339" spans="1:31" x14ac:dyDescent="0.2">
      <c r="A339" s="18">
        <v>338</v>
      </c>
      <c r="B339" s="18">
        <v>338</v>
      </c>
      <c r="C339" s="18">
        <v>338</v>
      </c>
      <c r="D339" s="18">
        <v>556</v>
      </c>
      <c r="E339" s="18" t="s">
        <v>557</v>
      </c>
      <c r="F339" s="18" t="s">
        <v>559</v>
      </c>
      <c r="G339" s="18">
        <v>5600</v>
      </c>
      <c r="H339" s="18">
        <v>0.38</v>
      </c>
      <c r="I339" s="18">
        <v>41.61</v>
      </c>
      <c r="J339" s="18">
        <v>85.65</v>
      </c>
      <c r="K339" s="18">
        <v>0.1</v>
      </c>
      <c r="L339" s="18">
        <v>5.36</v>
      </c>
      <c r="M339" s="18">
        <v>7.04</v>
      </c>
      <c r="N339" s="18">
        <v>1.85</v>
      </c>
      <c r="O339" s="18">
        <v>1</v>
      </c>
      <c r="P339" s="18">
        <v>85.08</v>
      </c>
      <c r="Q339" s="18">
        <v>1</v>
      </c>
      <c r="R339" s="18">
        <v>1</v>
      </c>
      <c r="S339" s="18">
        <v>85.08</v>
      </c>
      <c r="T339" s="18">
        <v>2.63</v>
      </c>
      <c r="U339" s="18">
        <v>87</v>
      </c>
      <c r="V339" s="18">
        <v>5051.29</v>
      </c>
      <c r="W339" s="18">
        <v>0.5</v>
      </c>
      <c r="X339" s="18">
        <v>44</v>
      </c>
      <c r="Y339" s="18">
        <v>2525.64</v>
      </c>
      <c r="Z339" s="18">
        <v>1.06</v>
      </c>
      <c r="AA339" s="18">
        <v>2610.7199999999998</v>
      </c>
      <c r="AB339" s="18">
        <v>725.2</v>
      </c>
      <c r="AC339" s="18">
        <v>47677.395473019613</v>
      </c>
      <c r="AD339" s="18">
        <v>85151123.691570178</v>
      </c>
      <c r="AE339" s="18" t="s">
        <v>1069</v>
      </c>
    </row>
    <row r="340" spans="1:31" x14ac:dyDescent="0.2">
      <c r="A340" s="18">
        <v>339</v>
      </c>
      <c r="B340" s="18">
        <v>339</v>
      </c>
      <c r="C340" s="18">
        <v>339</v>
      </c>
      <c r="D340" s="18">
        <v>558</v>
      </c>
      <c r="E340" s="18" t="s">
        <v>563</v>
      </c>
      <c r="F340" s="18" t="s">
        <v>565</v>
      </c>
      <c r="G340" s="18">
        <v>5600</v>
      </c>
      <c r="H340" s="18">
        <v>3.67</v>
      </c>
      <c r="I340" s="18">
        <v>19.48</v>
      </c>
      <c r="J340" s="18">
        <v>79</v>
      </c>
      <c r="K340" s="18">
        <v>0.21</v>
      </c>
      <c r="L340" s="18">
        <v>20.02</v>
      </c>
      <c r="M340" s="18">
        <v>0.41</v>
      </c>
      <c r="N340" s="18">
        <v>0.36</v>
      </c>
      <c r="O340" s="18">
        <v>19</v>
      </c>
      <c r="P340" s="18">
        <v>1616.43</v>
      </c>
      <c r="Q340" s="18">
        <v>1</v>
      </c>
      <c r="R340" s="18">
        <v>19</v>
      </c>
      <c r="S340" s="18">
        <v>1616.43</v>
      </c>
      <c r="T340" s="18">
        <v>5.18</v>
      </c>
      <c r="U340" s="18">
        <v>36</v>
      </c>
      <c r="V340" s="18">
        <v>2300.66</v>
      </c>
      <c r="W340" s="18">
        <v>0.5</v>
      </c>
      <c r="X340" s="18">
        <v>18</v>
      </c>
      <c r="Y340" s="18">
        <v>1150.33</v>
      </c>
      <c r="Z340" s="18">
        <v>0.92</v>
      </c>
      <c r="AA340" s="18">
        <v>2766.76</v>
      </c>
      <c r="AB340" s="18">
        <v>768.55</v>
      </c>
      <c r="AC340" s="18">
        <v>30482.857631854491</v>
      </c>
      <c r="AD340" s="18">
        <v>38576779.911261633</v>
      </c>
      <c r="AE340" s="18" t="s">
        <v>1079</v>
      </c>
    </row>
    <row r="341" spans="1:31" x14ac:dyDescent="0.2">
      <c r="A341" s="18">
        <v>340</v>
      </c>
      <c r="B341" s="18">
        <v>340</v>
      </c>
      <c r="C341" s="18">
        <v>340</v>
      </c>
      <c r="D341" s="18">
        <v>562</v>
      </c>
      <c r="E341" s="18" t="s">
        <v>578</v>
      </c>
      <c r="F341" s="18" t="s">
        <v>580</v>
      </c>
      <c r="G341" s="18">
        <v>5600</v>
      </c>
      <c r="H341" s="18">
        <v>11.21</v>
      </c>
      <c r="I341" s="18">
        <v>68.88</v>
      </c>
      <c r="J341" s="18">
        <v>74.459999999999994</v>
      </c>
      <c r="K341" s="18">
        <v>0.13</v>
      </c>
      <c r="L341" s="18">
        <v>23.62</v>
      </c>
      <c r="M341" s="18">
        <v>1.79</v>
      </c>
      <c r="N341" s="18">
        <v>0</v>
      </c>
      <c r="O341" s="18">
        <v>31</v>
      </c>
      <c r="P341" s="18">
        <v>2637.33</v>
      </c>
      <c r="Q341" s="18">
        <v>1</v>
      </c>
      <c r="R341" s="18">
        <v>31</v>
      </c>
      <c r="S341" s="18">
        <v>2637.33</v>
      </c>
      <c r="T341" s="18">
        <v>2.77</v>
      </c>
      <c r="U341" s="18">
        <v>164</v>
      </c>
      <c r="V341" s="18">
        <v>11571.84</v>
      </c>
      <c r="W341" s="18">
        <v>0.5</v>
      </c>
      <c r="X341" s="18">
        <v>82</v>
      </c>
      <c r="Y341" s="18">
        <v>5785.92</v>
      </c>
      <c r="Z341" s="18">
        <v>1.19</v>
      </c>
      <c r="AA341" s="18">
        <v>8423.25</v>
      </c>
      <c r="AB341" s="18">
        <v>2339.79</v>
      </c>
      <c r="AC341" s="18">
        <v>72307.18075389709</v>
      </c>
      <c r="AD341" s="18">
        <v>133864477.53761271</v>
      </c>
      <c r="AE341" s="18" t="s">
        <v>1079</v>
      </c>
    </row>
    <row r="342" spans="1:31" x14ac:dyDescent="0.2">
      <c r="A342" s="18">
        <v>341</v>
      </c>
      <c r="B342" s="18">
        <v>341</v>
      </c>
      <c r="C342" s="18">
        <v>341</v>
      </c>
      <c r="D342" s="18">
        <v>568</v>
      </c>
      <c r="E342" s="18" t="s">
        <v>596</v>
      </c>
      <c r="F342" s="18" t="s">
        <v>598</v>
      </c>
      <c r="G342" s="18">
        <v>5600</v>
      </c>
      <c r="H342" s="18">
        <v>2.2599999999999998</v>
      </c>
      <c r="I342" s="18">
        <v>25.56</v>
      </c>
      <c r="J342" s="18">
        <v>71.87</v>
      </c>
      <c r="K342" s="18">
        <v>0.35</v>
      </c>
      <c r="L342" s="18">
        <v>23</v>
      </c>
      <c r="M342" s="18">
        <v>4.26</v>
      </c>
      <c r="N342" s="18">
        <v>0.51</v>
      </c>
      <c r="O342" s="18">
        <v>9</v>
      </c>
      <c r="P342" s="18">
        <v>765.68</v>
      </c>
      <c r="Q342" s="18">
        <v>1</v>
      </c>
      <c r="R342" s="18">
        <v>9</v>
      </c>
      <c r="S342" s="18">
        <v>765.68</v>
      </c>
      <c r="T342" s="18">
        <v>3.98</v>
      </c>
      <c r="U342" s="18">
        <v>47</v>
      </c>
      <c r="V342" s="18">
        <v>2728.86</v>
      </c>
      <c r="W342" s="18">
        <v>0.5</v>
      </c>
      <c r="X342" s="18">
        <v>24</v>
      </c>
      <c r="Y342" s="18">
        <v>1364.43</v>
      </c>
      <c r="Z342" s="18">
        <v>0.94</v>
      </c>
      <c r="AA342" s="18">
        <v>2130.11</v>
      </c>
      <c r="AB342" s="18">
        <v>591.70000000000005</v>
      </c>
      <c r="AC342" s="18">
        <v>51155.302698828476</v>
      </c>
      <c r="AD342" s="18">
        <v>74366832.937376976</v>
      </c>
      <c r="AE342" s="18" t="s">
        <v>1082</v>
      </c>
    </row>
    <row r="343" spans="1:31" x14ac:dyDescent="0.2">
      <c r="A343" s="18">
        <v>342</v>
      </c>
      <c r="B343" s="18">
        <v>342</v>
      </c>
      <c r="C343" s="18">
        <v>342</v>
      </c>
      <c r="D343" s="18">
        <v>603</v>
      </c>
      <c r="E343" s="18" t="s">
        <v>680</v>
      </c>
      <c r="F343" s="18" t="s">
        <v>682</v>
      </c>
      <c r="G343" s="18">
        <v>5600</v>
      </c>
      <c r="H343" s="18">
        <v>5.64</v>
      </c>
      <c r="I343" s="18">
        <v>124.65</v>
      </c>
      <c r="J343" s="18">
        <v>84.41</v>
      </c>
      <c r="K343" s="18">
        <v>0.53</v>
      </c>
      <c r="L343" s="18">
        <v>13.49</v>
      </c>
      <c r="M343" s="18">
        <v>0.78</v>
      </c>
      <c r="N343" s="18">
        <v>0.79</v>
      </c>
      <c r="O343" s="18">
        <v>18</v>
      </c>
      <c r="P343" s="18">
        <v>1531.35</v>
      </c>
      <c r="Q343" s="18">
        <v>1</v>
      </c>
      <c r="R343" s="18">
        <v>18</v>
      </c>
      <c r="S343" s="18">
        <v>1531.35</v>
      </c>
      <c r="T343" s="18">
        <v>3.19</v>
      </c>
      <c r="U343" s="18">
        <v>215</v>
      </c>
      <c r="V343" s="18">
        <v>13740.05</v>
      </c>
      <c r="W343" s="18">
        <v>0.5</v>
      </c>
      <c r="X343" s="18">
        <v>108</v>
      </c>
      <c r="Y343" s="18">
        <v>6870.02</v>
      </c>
      <c r="Z343" s="18">
        <v>0.87</v>
      </c>
      <c r="AA343" s="18">
        <v>8401.3700000000008</v>
      </c>
      <c r="AB343" s="18">
        <v>2333.7199999999998</v>
      </c>
      <c r="AC343" s="18">
        <v>54881.012210973007</v>
      </c>
      <c r="AD343" s="18">
        <v>146656223.89895809</v>
      </c>
      <c r="AE343" s="18" t="s">
        <v>1082</v>
      </c>
    </row>
    <row r="344" spans="1:31" x14ac:dyDescent="0.2">
      <c r="A344" s="18">
        <v>343</v>
      </c>
      <c r="B344" s="18">
        <v>343</v>
      </c>
      <c r="C344" s="18">
        <v>343</v>
      </c>
      <c r="D344" s="18">
        <v>604</v>
      </c>
      <c r="E344" s="18" t="s">
        <v>683</v>
      </c>
      <c r="F344" s="18" t="s">
        <v>685</v>
      </c>
      <c r="G344" s="18">
        <v>5600</v>
      </c>
      <c r="H344" s="18">
        <v>50.76</v>
      </c>
      <c r="I344" s="18">
        <v>42.15</v>
      </c>
      <c r="J344" s="18">
        <v>89.13</v>
      </c>
      <c r="K344" s="18">
        <v>0.02</v>
      </c>
      <c r="L344" s="18">
        <v>2.75</v>
      </c>
      <c r="M344" s="18">
        <v>6.67</v>
      </c>
      <c r="N344" s="18">
        <v>1.42</v>
      </c>
      <c r="O344" s="18">
        <v>145</v>
      </c>
      <c r="P344" s="18">
        <v>12335.9</v>
      </c>
      <c r="Q344" s="18">
        <v>1</v>
      </c>
      <c r="R344" s="18">
        <v>145</v>
      </c>
      <c r="S344" s="18">
        <v>12335.9</v>
      </c>
      <c r="T344" s="18">
        <v>2.86</v>
      </c>
      <c r="U344" s="18">
        <v>78</v>
      </c>
      <c r="V344" s="18">
        <v>4984.76</v>
      </c>
      <c r="W344" s="18">
        <v>0.5</v>
      </c>
      <c r="X344" s="18">
        <v>39</v>
      </c>
      <c r="Y344" s="18">
        <v>2492.38</v>
      </c>
      <c r="Z344" s="18">
        <v>0.93</v>
      </c>
      <c r="AA344" s="18">
        <v>14828.28</v>
      </c>
      <c r="AB344" s="18">
        <v>4118.97</v>
      </c>
      <c r="AC344" s="18">
        <v>60806.630541826809</v>
      </c>
      <c r="AD344" s="18">
        <v>56784989.506625071</v>
      </c>
      <c r="AE344" s="18" t="s">
        <v>1076</v>
      </c>
    </row>
    <row r="345" spans="1:31" x14ac:dyDescent="0.2">
      <c r="A345" s="18">
        <v>344</v>
      </c>
      <c r="B345" s="18">
        <v>344</v>
      </c>
      <c r="C345" s="18">
        <v>344</v>
      </c>
      <c r="D345" s="18">
        <v>618</v>
      </c>
      <c r="E345" s="18" t="s">
        <v>722</v>
      </c>
      <c r="F345" s="18" t="s">
        <v>724</v>
      </c>
      <c r="G345" s="18">
        <v>5600</v>
      </c>
      <c r="H345" s="18">
        <v>1.24</v>
      </c>
      <c r="I345" s="18">
        <v>114.12</v>
      </c>
      <c r="J345" s="18">
        <v>36</v>
      </c>
      <c r="K345" s="18">
        <v>0.09</v>
      </c>
      <c r="L345" s="18">
        <v>61.4</v>
      </c>
      <c r="M345" s="18">
        <v>2.35</v>
      </c>
      <c r="N345" s="18">
        <v>0.17</v>
      </c>
      <c r="O345" s="18">
        <v>4</v>
      </c>
      <c r="P345" s="18">
        <v>340.3</v>
      </c>
      <c r="Q345" s="18">
        <v>1</v>
      </c>
      <c r="R345" s="18">
        <v>4</v>
      </c>
      <c r="S345" s="18">
        <v>340.3</v>
      </c>
      <c r="T345" s="18">
        <v>3.23</v>
      </c>
      <c r="U345" s="18">
        <v>169</v>
      </c>
      <c r="V345" s="18">
        <v>9028.66</v>
      </c>
      <c r="W345" s="18">
        <v>0.5</v>
      </c>
      <c r="X345" s="18">
        <v>85</v>
      </c>
      <c r="Y345" s="18">
        <v>4514.33</v>
      </c>
      <c r="Z345" s="18">
        <v>0.74</v>
      </c>
      <c r="AA345" s="18">
        <v>4854.63</v>
      </c>
      <c r="AB345" s="18">
        <v>1348.51</v>
      </c>
      <c r="AC345" s="18">
        <v>61002.217089319638</v>
      </c>
      <c r="AD345" s="18">
        <v>108423427.8516688</v>
      </c>
      <c r="AE345" s="18" t="s">
        <v>1085</v>
      </c>
    </row>
    <row r="346" spans="1:31" x14ac:dyDescent="0.2">
      <c r="A346" s="18">
        <v>345</v>
      </c>
      <c r="B346" s="18">
        <v>345</v>
      </c>
      <c r="C346" s="18">
        <v>345</v>
      </c>
      <c r="D346" s="18">
        <v>624</v>
      </c>
      <c r="E346" s="18" t="s">
        <v>749</v>
      </c>
      <c r="F346" s="18" t="s">
        <v>751</v>
      </c>
      <c r="G346" s="18">
        <v>5600</v>
      </c>
      <c r="H346" s="18">
        <v>2.69</v>
      </c>
      <c r="I346" s="18">
        <v>21.94</v>
      </c>
      <c r="J346" s="18">
        <v>55.29</v>
      </c>
      <c r="K346" s="18">
        <v>0.41</v>
      </c>
      <c r="L346" s="18">
        <v>34</v>
      </c>
      <c r="M346" s="18">
        <v>9.75</v>
      </c>
      <c r="N346" s="18">
        <v>0.55000000000000004</v>
      </c>
      <c r="O346" s="18">
        <v>13</v>
      </c>
      <c r="P346" s="18">
        <v>1105.98</v>
      </c>
      <c r="Q346" s="18">
        <v>1</v>
      </c>
      <c r="R346" s="18">
        <v>13</v>
      </c>
      <c r="S346" s="18">
        <v>1105.98</v>
      </c>
      <c r="T346" s="18">
        <v>4.83</v>
      </c>
      <c r="U346" s="18">
        <v>52</v>
      </c>
      <c r="V346" s="18">
        <v>2778.05</v>
      </c>
      <c r="W346" s="18">
        <v>0.5</v>
      </c>
      <c r="X346" s="18">
        <v>26</v>
      </c>
      <c r="Y346" s="18">
        <v>1389.02</v>
      </c>
      <c r="Z346" s="18">
        <v>1.19</v>
      </c>
      <c r="AA346" s="18">
        <v>2495</v>
      </c>
      <c r="AB346" s="18">
        <v>693.06</v>
      </c>
      <c r="AC346" s="18">
        <v>47199.527610412028</v>
      </c>
      <c r="AD346" s="18">
        <v>71142953.45912309</v>
      </c>
      <c r="AE346" s="18" t="s">
        <v>1085</v>
      </c>
    </row>
    <row r="347" spans="1:31" x14ac:dyDescent="0.2">
      <c r="A347" s="18">
        <v>346</v>
      </c>
      <c r="B347" s="18">
        <v>346</v>
      </c>
      <c r="C347" s="18">
        <v>346</v>
      </c>
      <c r="D347" s="18">
        <v>633</v>
      </c>
      <c r="E347" s="18" t="s">
        <v>776</v>
      </c>
      <c r="F347" s="18" t="s">
        <v>778</v>
      </c>
      <c r="G347" s="18">
        <v>5600</v>
      </c>
      <c r="H347" s="18">
        <v>499.01</v>
      </c>
      <c r="I347" s="18">
        <v>165.64</v>
      </c>
      <c r="J347" s="18">
        <v>15.81</v>
      </c>
      <c r="K347" s="18">
        <v>0.57999999999999996</v>
      </c>
      <c r="L347" s="18">
        <v>74.599999999999994</v>
      </c>
      <c r="M347" s="18">
        <v>8.6199999999999992</v>
      </c>
      <c r="N347" s="18">
        <v>0.4</v>
      </c>
      <c r="O347" s="18">
        <v>1395</v>
      </c>
      <c r="P347" s="18">
        <v>118679.9</v>
      </c>
      <c r="Q347" s="18">
        <v>1</v>
      </c>
      <c r="R347" s="18">
        <v>1395</v>
      </c>
      <c r="S347" s="18">
        <v>118679.9</v>
      </c>
      <c r="T347" s="18">
        <v>2.8</v>
      </c>
      <c r="U347" s="18">
        <v>203</v>
      </c>
      <c r="V347" s="18">
        <v>12973.16</v>
      </c>
      <c r="W347" s="18">
        <v>0.5</v>
      </c>
      <c r="X347" s="18">
        <v>102</v>
      </c>
      <c r="Y347" s="18">
        <v>6486.58</v>
      </c>
      <c r="Z347" s="18">
        <v>0.62</v>
      </c>
      <c r="AA347" s="18">
        <v>125166.48</v>
      </c>
      <c r="AB347" s="18">
        <v>34768.49</v>
      </c>
      <c r="AC347" s="18">
        <v>135664.13318107199</v>
      </c>
      <c r="AD347" s="18">
        <v>258569444.24067739</v>
      </c>
      <c r="AE347" s="18" t="s">
        <v>1093</v>
      </c>
    </row>
    <row r="348" spans="1:31" x14ac:dyDescent="0.2">
      <c r="A348" s="18">
        <v>347</v>
      </c>
      <c r="B348" s="18">
        <v>347</v>
      </c>
      <c r="C348" s="18">
        <v>347</v>
      </c>
      <c r="D348" s="18">
        <v>642</v>
      </c>
      <c r="E348" s="18" t="s">
        <v>803</v>
      </c>
      <c r="F348" s="18" t="s">
        <v>805</v>
      </c>
      <c r="G348" s="18">
        <v>5600</v>
      </c>
      <c r="H348" s="18">
        <v>1.54</v>
      </c>
      <c r="I348" s="18">
        <v>18.95</v>
      </c>
      <c r="J348" s="18">
        <v>43.69</v>
      </c>
      <c r="K348" s="18">
        <v>2.74</v>
      </c>
      <c r="L348" s="18">
        <v>24.43</v>
      </c>
      <c r="M348" s="18">
        <v>25.59</v>
      </c>
      <c r="N348" s="18">
        <v>3.54</v>
      </c>
      <c r="O348" s="18">
        <v>9</v>
      </c>
      <c r="P348" s="18">
        <v>765.68</v>
      </c>
      <c r="Q348" s="18">
        <v>1</v>
      </c>
      <c r="R348" s="18">
        <v>9</v>
      </c>
      <c r="S348" s="18">
        <v>765.68</v>
      </c>
      <c r="T348" s="18">
        <v>5.84</v>
      </c>
      <c r="U348" s="18">
        <v>45</v>
      </c>
      <c r="V348" s="18">
        <v>2404.08</v>
      </c>
      <c r="W348" s="18">
        <v>0.5</v>
      </c>
      <c r="X348" s="18">
        <v>23</v>
      </c>
      <c r="Y348" s="18">
        <v>1202.04</v>
      </c>
      <c r="Z348" s="18">
        <v>1.21</v>
      </c>
      <c r="AA348" s="18">
        <v>1967.72</v>
      </c>
      <c r="AB348" s="18">
        <v>546.59</v>
      </c>
      <c r="AC348" s="18">
        <v>47687.568365897721</v>
      </c>
      <c r="AD348" s="18">
        <v>58021256.913240731</v>
      </c>
      <c r="AE348" s="18" t="s">
        <v>1085</v>
      </c>
    </row>
    <row r="349" spans="1:31" x14ac:dyDescent="0.2">
      <c r="A349" s="18">
        <v>348</v>
      </c>
      <c r="B349" s="18">
        <v>348</v>
      </c>
      <c r="C349" s="18">
        <v>348</v>
      </c>
      <c r="D349" s="18">
        <v>648</v>
      </c>
      <c r="E349" s="18" t="s">
        <v>1124</v>
      </c>
      <c r="F349" s="18" t="s">
        <v>1125</v>
      </c>
      <c r="G349" s="18">
        <v>5600</v>
      </c>
      <c r="H349" s="18">
        <v>1</v>
      </c>
      <c r="I349" s="18">
        <v>7.23</v>
      </c>
      <c r="J349" s="18">
        <v>69.290000000000006</v>
      </c>
      <c r="K349" s="18">
        <v>3.46</v>
      </c>
      <c r="L349" s="18">
        <v>5.26</v>
      </c>
      <c r="M349" s="18">
        <v>20.61</v>
      </c>
      <c r="N349" s="18">
        <v>1.38</v>
      </c>
      <c r="O349" s="18">
        <v>4</v>
      </c>
      <c r="P349" s="18">
        <v>340.3</v>
      </c>
      <c r="Q349" s="18">
        <v>1</v>
      </c>
      <c r="R349" s="18">
        <v>4</v>
      </c>
      <c r="S349" s="18">
        <v>340.3</v>
      </c>
      <c r="T349" s="18">
        <v>4</v>
      </c>
      <c r="U349" s="18">
        <v>21</v>
      </c>
      <c r="V349" s="18">
        <v>1121.9000000000001</v>
      </c>
      <c r="W349" s="18">
        <v>0.5</v>
      </c>
      <c r="X349" s="18">
        <v>11</v>
      </c>
      <c r="Y349" s="18">
        <v>560.95000000000005</v>
      </c>
      <c r="Z349" s="18">
        <v>1.52</v>
      </c>
      <c r="AA349" s="18">
        <v>901.25</v>
      </c>
      <c r="AB349" s="18">
        <v>250.35</v>
      </c>
      <c r="AC349" s="18">
        <v>35327.229880716848</v>
      </c>
      <c r="AD349" s="18">
        <v>56998940.676374681</v>
      </c>
      <c r="AE349" s="18" t="s">
        <v>1080</v>
      </c>
    </row>
    <row r="350" spans="1:31" x14ac:dyDescent="0.2">
      <c r="A350" s="18">
        <v>349</v>
      </c>
      <c r="B350" s="18">
        <v>349</v>
      </c>
      <c r="C350" s="18">
        <v>349</v>
      </c>
      <c r="D350" s="18">
        <v>684</v>
      </c>
      <c r="E350" s="18" t="s">
        <v>932</v>
      </c>
      <c r="F350" s="18" t="s">
        <v>934</v>
      </c>
      <c r="G350" s="18">
        <v>5600</v>
      </c>
      <c r="H350" s="18">
        <v>0.66</v>
      </c>
      <c r="I350" s="18">
        <v>30.23</v>
      </c>
      <c r="J350" s="18">
        <v>96.03</v>
      </c>
      <c r="K350" s="18">
        <v>0</v>
      </c>
      <c r="L350" s="18">
        <v>1.0900000000000001</v>
      </c>
      <c r="M350" s="18">
        <v>2.68</v>
      </c>
      <c r="N350" s="18">
        <v>0.2</v>
      </c>
      <c r="O350" s="18">
        <v>3</v>
      </c>
      <c r="P350" s="18">
        <v>255.23</v>
      </c>
      <c r="Q350" s="18">
        <v>1</v>
      </c>
      <c r="R350" s="18">
        <v>3</v>
      </c>
      <c r="S350" s="18">
        <v>255.23</v>
      </c>
      <c r="T350" s="18">
        <v>4.55</v>
      </c>
      <c r="U350" s="18">
        <v>54</v>
      </c>
      <c r="V350" s="18">
        <v>3450.99</v>
      </c>
      <c r="W350" s="18">
        <v>0.5</v>
      </c>
      <c r="X350" s="18">
        <v>27</v>
      </c>
      <c r="Y350" s="18">
        <v>1725.49</v>
      </c>
      <c r="Z350" s="18">
        <v>0.89</v>
      </c>
      <c r="AA350" s="18">
        <v>1980.72</v>
      </c>
      <c r="AB350" s="18">
        <v>550.20000000000005</v>
      </c>
      <c r="AC350" s="18">
        <v>43030.701915421087</v>
      </c>
      <c r="AD350" s="18">
        <v>72226913.973877266</v>
      </c>
      <c r="AE350" s="18" t="s">
        <v>1078</v>
      </c>
    </row>
    <row r="351" spans="1:31" x14ac:dyDescent="0.2">
      <c r="A351" s="18">
        <v>350</v>
      </c>
      <c r="B351" s="18">
        <v>350</v>
      </c>
      <c r="C351" s="18">
        <v>350</v>
      </c>
      <c r="D351" s="18">
        <v>692</v>
      </c>
      <c r="E351" s="18" t="s">
        <v>962</v>
      </c>
      <c r="F351" s="18" t="s">
        <v>964</v>
      </c>
      <c r="G351" s="18">
        <v>5600</v>
      </c>
      <c r="H351" s="18">
        <v>107.58</v>
      </c>
      <c r="I351" s="18">
        <v>327.8</v>
      </c>
      <c r="J351" s="18">
        <v>92.1</v>
      </c>
      <c r="K351" s="18">
        <v>0.04</v>
      </c>
      <c r="L351" s="18">
        <v>5.14</v>
      </c>
      <c r="M351" s="18">
        <v>1.96</v>
      </c>
      <c r="N351" s="18">
        <v>0.75</v>
      </c>
      <c r="O351" s="18">
        <v>310</v>
      </c>
      <c r="P351" s="18">
        <v>26373.31</v>
      </c>
      <c r="Q351" s="18">
        <v>1</v>
      </c>
      <c r="R351" s="18">
        <v>310</v>
      </c>
      <c r="S351" s="18">
        <v>26373.31</v>
      </c>
      <c r="T351" s="18">
        <v>2.88</v>
      </c>
      <c r="U351" s="18">
        <v>527</v>
      </c>
      <c r="V351" s="18">
        <v>40903.629999999997</v>
      </c>
      <c r="W351" s="18">
        <v>0.5</v>
      </c>
      <c r="X351" s="18">
        <v>264</v>
      </c>
      <c r="Y351" s="18">
        <v>20451.82</v>
      </c>
      <c r="Z351" s="18">
        <v>0.81</v>
      </c>
      <c r="AA351" s="18">
        <v>46825.13</v>
      </c>
      <c r="AB351" s="18">
        <v>13006.99</v>
      </c>
      <c r="AC351" s="18">
        <v>113155.46445267989</v>
      </c>
      <c r="AD351" s="18">
        <v>374638810.05502039</v>
      </c>
      <c r="AE351" s="18" t="s">
        <v>1075</v>
      </c>
    </row>
    <row r="352" spans="1:31" x14ac:dyDescent="0.2">
      <c r="A352" s="18">
        <v>351</v>
      </c>
      <c r="B352" s="18">
        <v>351</v>
      </c>
      <c r="C352" s="18">
        <v>351</v>
      </c>
      <c r="D352" s="18">
        <v>693</v>
      </c>
      <c r="E352" s="18" t="s">
        <v>965</v>
      </c>
      <c r="F352" s="18" t="s">
        <v>967</v>
      </c>
      <c r="G352" s="18">
        <v>5600</v>
      </c>
      <c r="H352" s="18">
        <v>0.54</v>
      </c>
      <c r="I352" s="18">
        <v>11.97</v>
      </c>
      <c r="J352" s="18">
        <v>87.97</v>
      </c>
      <c r="K352" s="18">
        <v>0</v>
      </c>
      <c r="L352" s="18">
        <v>5.51</v>
      </c>
      <c r="M352" s="18">
        <v>6.35</v>
      </c>
      <c r="N352" s="18">
        <v>0.17</v>
      </c>
      <c r="O352" s="18">
        <v>5</v>
      </c>
      <c r="P352" s="18">
        <v>425.38</v>
      </c>
      <c r="Q352" s="18">
        <v>1</v>
      </c>
      <c r="R352" s="18">
        <v>5</v>
      </c>
      <c r="S352" s="18">
        <v>425.38</v>
      </c>
      <c r="T352" s="18">
        <v>9.26</v>
      </c>
      <c r="U352" s="18">
        <v>20</v>
      </c>
      <c r="V352" s="18">
        <v>1278.1400000000001</v>
      </c>
      <c r="W352" s="18">
        <v>0.5</v>
      </c>
      <c r="X352" s="18">
        <v>10</v>
      </c>
      <c r="Y352" s="18">
        <v>639.07000000000005</v>
      </c>
      <c r="Z352" s="18">
        <v>0.84</v>
      </c>
      <c r="AA352" s="18">
        <v>1064.45</v>
      </c>
      <c r="AB352" s="18">
        <v>295.68</v>
      </c>
      <c r="AC352" s="18">
        <v>36883.413890853371</v>
      </c>
      <c r="AD352" s="18">
        <v>35679662.136130102</v>
      </c>
      <c r="AE352" s="18" t="s">
        <v>1077</v>
      </c>
    </row>
    <row r="353" spans="1:31" x14ac:dyDescent="0.2">
      <c r="A353" s="18">
        <v>352</v>
      </c>
      <c r="B353" s="18">
        <v>352</v>
      </c>
      <c r="C353" s="18">
        <v>352</v>
      </c>
      <c r="D353" s="18">
        <v>695</v>
      </c>
      <c r="E353" s="18" t="s">
        <v>974</v>
      </c>
      <c r="F353" s="18" t="s">
        <v>976</v>
      </c>
      <c r="G353" s="18">
        <v>5600</v>
      </c>
      <c r="H353" s="18">
        <v>1.03</v>
      </c>
      <c r="I353" s="18">
        <v>32.729999999999997</v>
      </c>
      <c r="J353" s="18">
        <v>66.3</v>
      </c>
      <c r="K353" s="18">
        <v>0.43</v>
      </c>
      <c r="L353" s="18">
        <v>29.79</v>
      </c>
      <c r="M353" s="18">
        <v>2.63</v>
      </c>
      <c r="N353" s="18">
        <v>0.86</v>
      </c>
      <c r="O353" s="18">
        <v>8</v>
      </c>
      <c r="P353" s="18">
        <v>680.6</v>
      </c>
      <c r="Q353" s="18">
        <v>1</v>
      </c>
      <c r="R353" s="18">
        <v>8</v>
      </c>
      <c r="S353" s="18">
        <v>680.6</v>
      </c>
      <c r="T353" s="18">
        <v>7.77</v>
      </c>
      <c r="U353" s="18">
        <v>66</v>
      </c>
      <c r="V353" s="18">
        <v>4217.88</v>
      </c>
      <c r="W353" s="18">
        <v>0.5</v>
      </c>
      <c r="X353" s="18">
        <v>33</v>
      </c>
      <c r="Y353" s="18">
        <v>2108.94</v>
      </c>
      <c r="Z353" s="18">
        <v>1.01</v>
      </c>
      <c r="AA353" s="18">
        <v>2789.54</v>
      </c>
      <c r="AB353" s="18">
        <v>774.87</v>
      </c>
      <c r="AC353" s="18">
        <v>49068.433690766462</v>
      </c>
      <c r="AD353" s="18">
        <v>80813642.530164689</v>
      </c>
      <c r="AE353" s="18" t="s">
        <v>1077</v>
      </c>
    </row>
    <row r="354" spans="1:31" x14ac:dyDescent="0.2">
      <c r="A354" s="18">
        <v>353</v>
      </c>
      <c r="B354" s="18">
        <v>353</v>
      </c>
      <c r="C354" s="18">
        <v>353</v>
      </c>
      <c r="D354" s="18">
        <v>698</v>
      </c>
      <c r="E354" s="18" t="s">
        <v>983</v>
      </c>
      <c r="F354" s="18" t="s">
        <v>985</v>
      </c>
      <c r="G354" s="18">
        <v>5600</v>
      </c>
      <c r="H354" s="18">
        <v>24.67</v>
      </c>
      <c r="I354" s="18">
        <v>22.93</v>
      </c>
      <c r="J354" s="18">
        <v>29.87</v>
      </c>
      <c r="K354" s="18">
        <v>0.17</v>
      </c>
      <c r="L354" s="18">
        <v>46.36</v>
      </c>
      <c r="M354" s="18">
        <v>23.33</v>
      </c>
      <c r="N354" s="18">
        <v>0.26</v>
      </c>
      <c r="O354" s="18">
        <v>70</v>
      </c>
      <c r="P354" s="18">
        <v>5955.26</v>
      </c>
      <c r="Q354" s="18">
        <v>1</v>
      </c>
      <c r="R354" s="18">
        <v>70</v>
      </c>
      <c r="S354" s="18">
        <v>5955.26</v>
      </c>
      <c r="T354" s="18">
        <v>2.84</v>
      </c>
      <c r="U354" s="18">
        <v>32</v>
      </c>
      <c r="V354" s="18">
        <v>1857.95</v>
      </c>
      <c r="W354" s="18">
        <v>0.5</v>
      </c>
      <c r="X354" s="18">
        <v>16</v>
      </c>
      <c r="Y354" s="18">
        <v>928.97</v>
      </c>
      <c r="Z354" s="18">
        <v>0.7</v>
      </c>
      <c r="AA354" s="18">
        <v>6884.23</v>
      </c>
      <c r="AB354" s="18">
        <v>1912.29</v>
      </c>
      <c r="AC354" s="18">
        <v>52966.002045726003</v>
      </c>
      <c r="AD354" s="18">
        <v>45289999.722271629</v>
      </c>
      <c r="AE354" s="18" t="s">
        <v>1076</v>
      </c>
    </row>
    <row r="355" spans="1:31" x14ac:dyDescent="0.2">
      <c r="A355" s="18">
        <v>354</v>
      </c>
      <c r="B355" s="18">
        <v>354</v>
      </c>
      <c r="C355" s="18">
        <v>354</v>
      </c>
      <c r="D355" s="18">
        <v>703</v>
      </c>
      <c r="E355" s="18" t="s">
        <v>1007</v>
      </c>
      <c r="F355" s="18" t="s">
        <v>1009</v>
      </c>
      <c r="G355" s="18">
        <v>5600</v>
      </c>
      <c r="H355" s="18">
        <v>1.74</v>
      </c>
      <c r="I355" s="18">
        <v>177.17</v>
      </c>
      <c r="J355" s="18">
        <v>82.34</v>
      </c>
      <c r="K355" s="18">
        <v>0.31</v>
      </c>
      <c r="L355" s="18">
        <v>12.27</v>
      </c>
      <c r="M355" s="18">
        <v>5.0599999999999996</v>
      </c>
      <c r="N355" s="18">
        <v>0.01</v>
      </c>
      <c r="O355" s="18">
        <v>4</v>
      </c>
      <c r="P355" s="18">
        <v>340.3</v>
      </c>
      <c r="Q355" s="18">
        <v>1</v>
      </c>
      <c r="R355" s="18">
        <v>4</v>
      </c>
      <c r="S355" s="18">
        <v>340.3</v>
      </c>
      <c r="T355" s="18">
        <v>2.2999999999999998</v>
      </c>
      <c r="U355" s="18">
        <v>297</v>
      </c>
      <c r="V355" s="18">
        <v>17974.86</v>
      </c>
      <c r="W355" s="18">
        <v>0.5</v>
      </c>
      <c r="X355" s="18">
        <v>149</v>
      </c>
      <c r="Y355" s="18">
        <v>8987.43</v>
      </c>
      <c r="Z355" s="18">
        <v>0.84</v>
      </c>
      <c r="AA355" s="18">
        <v>9327.73</v>
      </c>
      <c r="AB355" s="18">
        <v>2591.04</v>
      </c>
      <c r="AC355" s="18">
        <v>87518.747138426406</v>
      </c>
      <c r="AD355" s="18">
        <v>226512127.20776489</v>
      </c>
      <c r="AE355" s="18" t="s">
        <v>1082</v>
      </c>
    </row>
    <row r="356" spans="1:31" x14ac:dyDescent="0.2">
      <c r="A356" s="18">
        <v>355</v>
      </c>
      <c r="B356" s="18">
        <v>355</v>
      </c>
      <c r="C356" s="18">
        <v>355</v>
      </c>
      <c r="D356" s="18">
        <v>706</v>
      </c>
      <c r="E356" s="18" t="s">
        <v>1016</v>
      </c>
      <c r="F356" s="18" t="s">
        <v>1018</v>
      </c>
      <c r="G356" s="18">
        <v>5600</v>
      </c>
      <c r="H356" s="18">
        <v>0.37</v>
      </c>
      <c r="I356" s="18">
        <v>210.99</v>
      </c>
      <c r="J356" s="18">
        <v>79.12</v>
      </c>
      <c r="K356" s="18">
        <v>0.03</v>
      </c>
      <c r="L356" s="18">
        <v>16.829999999999998</v>
      </c>
      <c r="M356" s="18">
        <v>3.1</v>
      </c>
      <c r="N356" s="18">
        <v>0.92</v>
      </c>
      <c r="O356" s="18">
        <v>9</v>
      </c>
      <c r="P356" s="18">
        <v>765.68</v>
      </c>
      <c r="Q356" s="18">
        <v>1</v>
      </c>
      <c r="R356" s="18">
        <v>9</v>
      </c>
      <c r="S356" s="18">
        <v>765.68</v>
      </c>
      <c r="T356" s="18">
        <v>24.32</v>
      </c>
      <c r="U356" s="18">
        <v>364</v>
      </c>
      <c r="V356" s="18">
        <v>23262.22</v>
      </c>
      <c r="W356" s="18">
        <v>0.5</v>
      </c>
      <c r="X356" s="18">
        <v>182</v>
      </c>
      <c r="Y356" s="18">
        <v>11631.11</v>
      </c>
      <c r="Z356" s="18">
        <v>0.86</v>
      </c>
      <c r="AA356" s="18">
        <v>12396.79</v>
      </c>
      <c r="AB356" s="18">
        <v>3443.56</v>
      </c>
      <c r="AC356" s="18">
        <v>89947.301622954808</v>
      </c>
      <c r="AD356" s="18">
        <v>283141472.67573041</v>
      </c>
      <c r="AE356" s="18" t="s">
        <v>1131</v>
      </c>
    </row>
    <row r="357" spans="1:31" ht="15" x14ac:dyDescent="0.25">
      <c r="A357" s="18">
        <v>1001</v>
      </c>
      <c r="B357" s="18">
        <v>1001</v>
      </c>
      <c r="C357" s="18">
        <v>1001</v>
      </c>
      <c r="D357" s="18">
        <v>1001</v>
      </c>
      <c r="E357" s="5" t="s">
        <v>1031</v>
      </c>
      <c r="F357" s="7" t="s">
        <v>1033</v>
      </c>
      <c r="G357" s="18" cm="1">
        <f t="array" ref="G357">SUM(SUMIFS(G$2:G$356, $E$2:$E$356, $B$365:$B$367))</f>
        <v>16800</v>
      </c>
      <c r="H357" s="18" cm="1">
        <f t="array" ref="H357">SUM(SUMIFS(H$2:H$356, $E$2:$E$356, $B$365:$B$367))</f>
        <v>75.069999999999993</v>
      </c>
      <c r="I357" s="18" cm="1">
        <f t="array" ref="I357">SUM(SUMIFS(I$2:I$356, $E$2:$E$356, $B$365:$B$367))</f>
        <v>141.74</v>
      </c>
      <c r="J357" s="18" cm="1">
        <f t="array" ref="J357">SUM(SUMIFS(J$2:J$356, $E$2:$E$356, $B$365:$B$367))</f>
        <v>275.95999999999998</v>
      </c>
      <c r="K357" s="18" cm="1">
        <f t="array" ref="K357">SUM(SUMIFS(K$2:K$356, $E$2:$E$356, $B$365:$B$367))</f>
        <v>0.54</v>
      </c>
      <c r="L357" s="18" cm="1">
        <f t="array" ref="L357">SUM(SUMIFS(L$2:L$356, $E$2:$E$356, $B$365:$B$367))</f>
        <v>18.689999999999998</v>
      </c>
      <c r="M357" s="18" cm="1">
        <f t="array" ref="M357">SUM(SUMIFS(M$2:M$356, $E$2:$E$356, $B$365:$B$367))</f>
        <v>4.01</v>
      </c>
      <c r="O357" s="18" cm="1">
        <f t="array" ref="O357">SUM(SUMIFS(O$2:O$356, $E$2:$E$356, $B$365:$B$367))</f>
        <v>220</v>
      </c>
      <c r="P357" s="18" cm="1">
        <f t="array" ref="P357">SUM(SUMIFS(P$2:P$356, $E$2:$E$356, $B$365:$B$367))</f>
        <v>18716.54</v>
      </c>
      <c r="R357" s="18" cm="1">
        <f t="array" ref="R357">SUM(SUMIFS(R$2:R$356, $E$2:$E$356, $B$365:$B$367))</f>
        <v>220</v>
      </c>
      <c r="S357" s="18" cm="1">
        <f t="array" ref="S357">SUM(SUMIFS(S$2:S$356, $E$2:$E$356, $B$365:$B$367))</f>
        <v>18716.54</v>
      </c>
      <c r="T357" s="18" cm="1">
        <f t="array" ref="T357">SUM(SUMIFS(T$2:T$356, $E$2:$E$356, $B$365:$B$367))</f>
        <v>2.93</v>
      </c>
      <c r="U357" s="18" cm="1">
        <f t="array" ref="U357">SUM(SUMIFS(U$2:U$356, $E$2:$E$356, $B$365:$B$367))</f>
        <v>289</v>
      </c>
      <c r="V357" s="18" cm="1">
        <f t="array" ref="V357">SUM(SUMIFS(V$2:V$356, $E$2:$E$356, $B$365:$B$367))</f>
        <v>20391.84</v>
      </c>
      <c r="X357" s="18" cm="1">
        <f t="array" ref="X357">SUM(SUMIFS(X$2:X$356, $E$2:$E$356, $B$365:$B$367))</f>
        <v>145</v>
      </c>
      <c r="Y357" s="18" cm="1">
        <f t="array" ref="Y357">SUM(SUMIFS(Y$2:Y$356, $E$2:$E$356, $B$365:$B$367))</f>
        <v>10195.92</v>
      </c>
      <c r="Z357" s="18" cm="1">
        <f t="array" ref="Z357">SUM(SUMIFS(Z$2:Z$356, $E$2:$E$356, $B$365:$B$367))</f>
        <v>4.4800000000000004</v>
      </c>
      <c r="AA357" s="18" cm="1">
        <f t="array" ref="AA357">SUM(SUMIFS(AA$2:AA$356, $E$2:$E$356, $B$365:$B$367))</f>
        <v>28912.46</v>
      </c>
      <c r="AB357" s="18" cm="1">
        <f t="array" ref="AB357">SUM(SUMIFS(AB$2:AB$356, $E$2:$E$356, $B$365:$B$367))</f>
        <v>8031.24</v>
      </c>
      <c r="AC357" s="18" cm="1">
        <f t="array" ref="AC357">SUM(SUMIFS(AC$2:AC$356, $E$2:$E$356, $B$365:$B$367))</f>
        <v>178064.6468296292</v>
      </c>
      <c r="AD357" s="18" cm="1">
        <f t="array" ref="AD357">SUM(SUMIFS(AD$2:AD$356, $E$2:$E$356, $B$365:$B$367))</f>
        <v>272285535.37937927</v>
      </c>
    </row>
    <row r="358" spans="1:31" ht="15" x14ac:dyDescent="0.25">
      <c r="A358" s="18">
        <v>1002</v>
      </c>
      <c r="B358" s="18">
        <v>1002</v>
      </c>
      <c r="C358" s="18">
        <v>1002</v>
      </c>
      <c r="D358" s="18">
        <v>1002</v>
      </c>
      <c r="E358" s="5" t="s">
        <v>1034</v>
      </c>
      <c r="F358" s="7" t="s">
        <v>1036</v>
      </c>
      <c r="G358" s="18" cm="1">
        <f t="array" ref="G358">SUM(SUMIFS(G$2:G$356, $E$2:$E$356, $B$369:$B$371))</f>
        <v>11200</v>
      </c>
      <c r="H358" s="18" cm="1">
        <f t="array" ref="H358">SUM(SUMIFS(H$2:H$356, $E$2:$E$356, $B$369:$B$371))</f>
        <v>0</v>
      </c>
      <c r="I358" s="18" cm="1">
        <f t="array" ref="I358">SUM(SUMIFS(I$2:I$356, $E$2:$E$356, $B$369:$B$371))</f>
        <v>8.16</v>
      </c>
      <c r="J358" s="18" cm="1">
        <f t="array" ref="J358">SUM(SUMIFS(J$2:J$356, $E$2:$E$356, $B$369:$B$371))</f>
        <v>146.41</v>
      </c>
      <c r="K358" s="18" cm="1">
        <f t="array" ref="K358">SUM(SUMIFS(K$2:K$356, $E$2:$E$356, $B$369:$B$371))</f>
        <v>0.75</v>
      </c>
      <c r="L358" s="18" cm="1">
        <f t="array" ref="L358">SUM(SUMIFS(L$2:L$356, $E$2:$E$356, $B$369:$B$371))</f>
        <v>16.32</v>
      </c>
      <c r="M358" s="18" cm="1">
        <f t="array" ref="M358">SUM(SUMIFS(M$2:M$356, $E$2:$E$356, $B$369:$B$371))</f>
        <v>26.05</v>
      </c>
      <c r="O358" s="18" cm="1">
        <f t="array" ref="O358">SUM(SUMIFS(O$2:O$356, $E$2:$E$356, $B$369:$B$371))</f>
        <v>0</v>
      </c>
      <c r="P358" s="18" cm="1">
        <f t="array" ref="P358">SUM(SUMIFS(P$2:P$356, $E$2:$E$356, $B$369:$B$371))</f>
        <v>0</v>
      </c>
      <c r="R358" s="18" cm="1">
        <f t="array" ref="R358">SUM(SUMIFS(R$2:R$356, $E$2:$E$356, $B$369:$B$371))</f>
        <v>0</v>
      </c>
      <c r="S358" s="18" cm="1">
        <f t="array" ref="S358">SUM(SUMIFS(S$2:S$356, $E$2:$E$356, $B$369:$B$371))</f>
        <v>0</v>
      </c>
      <c r="T358" s="18" cm="1">
        <f t="array" ref="T358">SUM(SUMIFS(T$2:T$356, $E$2:$E$356, $B$369:$B$371))</f>
        <v>0</v>
      </c>
      <c r="U358" s="18" cm="1">
        <f t="array" ref="U358">SUM(SUMIFS(U$2:U$356, $E$2:$E$356, $B$369:$B$371))</f>
        <v>25</v>
      </c>
      <c r="V358" s="18" cm="1">
        <f t="array" ref="V358">SUM(SUMIFS(V$2:V$356, $E$2:$E$356, $B$369:$B$371))</f>
        <v>1764</v>
      </c>
      <c r="X358" s="18" cm="1">
        <f t="array" ref="X358">SUM(SUMIFS(X$2:X$356, $E$2:$E$356, $B$369:$B$371))</f>
        <v>13</v>
      </c>
      <c r="Y358" s="18" cm="1">
        <f t="array" ref="Y358">SUM(SUMIFS(Y$2:Y$356, $E$2:$E$356, $B$369:$B$371))</f>
        <v>882</v>
      </c>
      <c r="Z358" s="18" cm="1">
        <f t="array" ref="Z358">SUM(SUMIFS(Z$2:Z$356, $E$2:$E$356, $B$369:$B$371))</f>
        <v>4.58</v>
      </c>
      <c r="AA358" s="18" cm="1">
        <f t="array" ref="AA358">SUM(SUMIFS(AA$2:AA$356, $E$2:$E$356, $B$369:$B$371))</f>
        <v>882</v>
      </c>
      <c r="AB358" s="18" cm="1">
        <f t="array" ref="AB358">SUM(SUMIFS(AB$2:AB$356, $E$2:$E$356, $B$369:$B$371))</f>
        <v>245</v>
      </c>
      <c r="AC358" s="18" cm="1">
        <f t="array" ref="AC358">SUM(SUMIFS(AC$2:AC$356, $E$2:$E$356, $B$369:$B$371))</f>
        <v>64949.164484664376</v>
      </c>
      <c r="AD358" s="18" cm="1">
        <f t="array" ref="AD358">SUM(SUMIFS(AD$2:AD$356, $E$2:$E$356, $B$369:$B$371))</f>
        <v>66960165.705637574</v>
      </c>
    </row>
    <row r="359" spans="1:31" ht="15" x14ac:dyDescent="0.25">
      <c r="A359" s="18">
        <v>1003</v>
      </c>
      <c r="B359" s="18">
        <v>1003</v>
      </c>
      <c r="C359" s="18">
        <v>1003</v>
      </c>
      <c r="D359" s="18">
        <v>1003</v>
      </c>
      <c r="E359" s="5" t="s">
        <v>1037</v>
      </c>
      <c r="F359" s="7" t="s">
        <v>1039</v>
      </c>
      <c r="G359" s="18" cm="1">
        <f t="array" ref="G359">SUM(SUMIFS(G$2:G$356, $E$2:$E$356, $B$373:$B$378))</f>
        <v>28000</v>
      </c>
      <c r="H359" s="18" cm="1">
        <f t="array" ref="H359">SUM(SUMIFS(H$2:H$356, $E$2:$E$356, $B$373:$B$378))</f>
        <v>1</v>
      </c>
      <c r="I359" s="18" cm="1">
        <f t="array" ref="I359">SUM(SUMIFS(I$2:I$356, $E$2:$E$356, $B$373:$B$378))</f>
        <v>123.30000000000001</v>
      </c>
      <c r="J359" s="18" cm="1">
        <f t="array" ref="J359">SUM(SUMIFS(J$2:J$356, $E$2:$E$356, $B$373:$B$378))</f>
        <v>355.19000000000005</v>
      </c>
      <c r="K359" s="18" cm="1">
        <f t="array" ref="K359">SUM(SUMIFS(K$2:K$356, $E$2:$E$356, $B$373:$B$378))</f>
        <v>4.33</v>
      </c>
      <c r="L359" s="18" cm="1">
        <f t="array" ref="L359">SUM(SUMIFS(L$2:L$356, $E$2:$E$356, $B$373:$B$378))</f>
        <v>112.81</v>
      </c>
      <c r="M359" s="18" cm="1">
        <f t="array" ref="M359">SUM(SUMIFS(M$2:M$356, $E$2:$E$356, $B$373:$B$378))</f>
        <v>25.520000000000003</v>
      </c>
      <c r="O359" s="18" cm="1">
        <f t="array" ref="O359">SUM(SUMIFS(O$2:O$356, $E$2:$E$356, $B$373:$B$378))</f>
        <v>4</v>
      </c>
      <c r="P359" s="18" cm="1">
        <f t="array" ref="P359">SUM(SUMIFS(P$2:P$356, $E$2:$E$356, $B$373:$B$378))</f>
        <v>340.3</v>
      </c>
      <c r="R359" s="18" cm="1">
        <f t="array" ref="R359">SUM(SUMIFS(R$2:R$356, $E$2:$E$356, $B$373:$B$378))</f>
        <v>4</v>
      </c>
      <c r="S359" s="18" cm="1">
        <f t="array" ref="S359">SUM(SUMIFS(S$2:S$356, $E$2:$E$356, $B$373:$B$378))</f>
        <v>340.3</v>
      </c>
      <c r="T359" s="18" cm="1">
        <f t="array" ref="T359">SUM(SUMIFS(T$2:T$356, $E$2:$E$356, $B$373:$B$378))</f>
        <v>4</v>
      </c>
      <c r="U359" s="18" cm="1">
        <f t="array" ref="U359">SUM(SUMIFS(U$2:U$356, $E$2:$E$356, $B$373:$B$378))</f>
        <v>261</v>
      </c>
      <c r="V359" s="18" cm="1">
        <f t="array" ref="V359">SUM(SUMIFS(V$2:V$356, $E$2:$E$356, $B$373:$B$378))</f>
        <v>13943.66</v>
      </c>
      <c r="X359" s="18" cm="1">
        <f t="array" ref="X359">SUM(SUMIFS(X$2:X$356, $E$2:$E$356, $B$373:$B$378))</f>
        <v>132</v>
      </c>
      <c r="Y359" s="18" cm="1">
        <f t="array" ref="Y359">SUM(SUMIFS(Y$2:Y$356, $E$2:$E$356, $B$373:$B$378))</f>
        <v>6971.83</v>
      </c>
      <c r="Z359" s="18" cm="1">
        <f t="array" ref="Z359">SUM(SUMIFS(Z$2:Z$356, $E$2:$E$356, $B$373:$B$378))</f>
        <v>5.8500000000000005</v>
      </c>
      <c r="AA359" s="18" cm="1">
        <f t="array" ref="AA359">SUM(SUMIFS(AA$2:AA$356, $E$2:$E$356, $B$373:$B$378))</f>
        <v>7312.13</v>
      </c>
      <c r="AB359" s="18" cm="1">
        <f t="array" ref="AB359">SUM(SUMIFS(AB$2:AB$356, $E$2:$E$356, $B$373:$B$378))</f>
        <v>2031.1499999999999</v>
      </c>
      <c r="AC359" s="18" cm="1">
        <f t="array" ref="AC359">SUM(SUMIFS(AC$2:AC$356, $E$2:$E$356, $B$373:$B$378))</f>
        <v>209855.05547705226</v>
      </c>
      <c r="AD359" s="18" cm="1">
        <f t="array" ref="AD359">SUM(SUMIFS(AD$2:AD$356, $E$2:$E$356, $B$373:$B$378))</f>
        <v>351870580.31729925</v>
      </c>
    </row>
    <row r="360" spans="1:31" ht="15" x14ac:dyDescent="0.25">
      <c r="A360" s="18">
        <v>1004</v>
      </c>
      <c r="B360" s="18">
        <v>1004</v>
      </c>
      <c r="C360" s="18">
        <v>1004</v>
      </c>
      <c r="D360" s="18">
        <v>1004</v>
      </c>
      <c r="E360" s="5" t="s">
        <v>1040</v>
      </c>
      <c r="F360" s="7" t="s">
        <v>1042</v>
      </c>
      <c r="G360" s="18" cm="1">
        <f t="array" ref="G360">SUM(SUMIFS(G$2:G$356, $E$2:$E$356, $B$380:$B$382))</f>
        <v>11200</v>
      </c>
      <c r="H360" s="18" cm="1">
        <f t="array" ref="H360">SUM(SUMIFS(H$2:H$356, $E$2:$E$356, $B$380:$B$382))</f>
        <v>0</v>
      </c>
      <c r="I360" s="18" cm="1">
        <f t="array" ref="I360">SUM(SUMIFS(I$2:I$356, $E$2:$E$356, $B$380:$B$382))</f>
        <v>51.2</v>
      </c>
      <c r="J360" s="18" cm="1">
        <f t="array" ref="J360">SUM(SUMIFS(J$2:J$356, $E$2:$E$356, $B$380:$B$382))</f>
        <v>83.58</v>
      </c>
      <c r="K360" s="18" cm="1">
        <f t="array" ref="K360">SUM(SUMIFS(K$2:K$356, $E$2:$E$356, $B$380:$B$382))</f>
        <v>0.48</v>
      </c>
      <c r="L360" s="18" cm="1">
        <f t="array" ref="L360">SUM(SUMIFS(L$2:L$356, $E$2:$E$356, $B$380:$B$382))</f>
        <v>113.45</v>
      </c>
      <c r="M360" s="18" cm="1">
        <f t="array" ref="M360">SUM(SUMIFS(M$2:M$356, $E$2:$E$356, $B$380:$B$382))</f>
        <v>1.4100000000000001</v>
      </c>
      <c r="O360" s="18" cm="1">
        <f t="array" ref="O360">SUM(SUMIFS(O$2:O$356, $E$2:$E$356, $B$380:$B$382))</f>
        <v>0</v>
      </c>
      <c r="P360" s="18" cm="1">
        <f t="array" ref="P360">SUM(SUMIFS(P$2:P$356, $E$2:$E$356, $B$380:$B$382))</f>
        <v>0</v>
      </c>
      <c r="R360" s="18" cm="1">
        <f t="array" ref="R360">SUM(SUMIFS(R$2:R$356, $E$2:$E$356, $B$380:$B$382))</f>
        <v>0</v>
      </c>
      <c r="S360" s="18" cm="1">
        <f t="array" ref="S360">SUM(SUMIFS(S$2:S$356, $E$2:$E$356, $B$380:$B$382))</f>
        <v>0</v>
      </c>
      <c r="T360" s="18" cm="1">
        <f t="array" ref="T360">SUM(SUMIFS(T$2:T$356, $E$2:$E$356, $B$380:$B$382))</f>
        <v>0</v>
      </c>
      <c r="U360" s="18" cm="1">
        <f t="array" ref="U360">SUM(SUMIFS(U$2:U$356, $E$2:$E$356, $B$380:$B$382))</f>
        <v>80</v>
      </c>
      <c r="V360" s="18" cm="1">
        <f t="array" ref="V360">SUM(SUMIFS(V$2:V$356, $E$2:$E$356, $B$380:$B$382))</f>
        <v>4273.92</v>
      </c>
      <c r="X360" s="18" cm="1">
        <f t="array" ref="X360">SUM(SUMIFS(X$2:X$356, $E$2:$E$356, $B$380:$B$382))</f>
        <v>40</v>
      </c>
      <c r="Y360" s="18" cm="1">
        <f t="array" ref="Y360">SUM(SUMIFS(Y$2:Y$356, $E$2:$E$356, $B$380:$B$382))</f>
        <v>2136.96</v>
      </c>
      <c r="Z360" s="18" cm="1">
        <f t="array" ref="Z360">SUM(SUMIFS(Z$2:Z$356, $E$2:$E$356, $B$380:$B$382))</f>
        <v>1.63</v>
      </c>
      <c r="AA360" s="18" cm="1">
        <f t="array" ref="AA360">SUM(SUMIFS(AA$2:AA$356, $E$2:$E$356, $B$380:$B$382))</f>
        <v>2136.96</v>
      </c>
      <c r="AB360" s="18" cm="1">
        <f t="array" ref="AB360">SUM(SUMIFS(AB$2:AB$356, $E$2:$E$356, $B$380:$B$382))</f>
        <v>593.6</v>
      </c>
      <c r="AC360" s="18" cm="1">
        <f t="array" ref="AC360">SUM(SUMIFS(AC$2:AC$356, $E$2:$E$356, $B$380:$B$382))</f>
        <v>91370.953764263977</v>
      </c>
      <c r="AD360" s="18" cm="1">
        <f t="array" ref="AD360">SUM(SUMIFS(AD$2:AD$356, $E$2:$E$356, $B$380:$B$382))</f>
        <v>138272617.23187822</v>
      </c>
    </row>
    <row r="361" spans="1:31" ht="15" x14ac:dyDescent="0.25">
      <c r="A361" s="18">
        <v>1005</v>
      </c>
      <c r="B361" s="18">
        <v>1005</v>
      </c>
      <c r="C361" s="18">
        <v>1005</v>
      </c>
      <c r="D361" s="18">
        <v>1005</v>
      </c>
      <c r="E361" s="13" t="s">
        <v>1043</v>
      </c>
      <c r="F361" s="14" t="s">
        <v>1045</v>
      </c>
      <c r="G361" s="18" cm="1">
        <f t="array" ref="G361">SUM(SUMIFS(G$2:G$356, $E$2:$E$356, $B$385:$B$387))</f>
        <v>16800</v>
      </c>
      <c r="H361" s="18" cm="1">
        <f t="array" ref="H361">SUM(SUMIFS(H$2:H$356, $E$2:$E$356, $B$385:$B$387))</f>
        <v>2.7800000000000002</v>
      </c>
      <c r="I361" s="18" cm="1">
        <f t="array" ref="I361">SUM(SUMIFS(I$2:I$356, $E$2:$E$356, $B$385:$B$387))</f>
        <v>34.450000000000003</v>
      </c>
      <c r="J361" s="18" cm="1">
        <f t="array" ref="J361">SUM(SUMIFS(J$2:J$356, $E$2:$E$356, $B$385:$B$387))</f>
        <v>159.56</v>
      </c>
      <c r="K361" s="18" cm="1">
        <f t="array" ref="K361">SUM(SUMIFS(K$2:K$356, $E$2:$E$356, $B$385:$B$387))</f>
        <v>0.42</v>
      </c>
      <c r="L361" s="18" cm="1">
        <f t="array" ref="L361">SUM(SUMIFS(L$2:L$356, $E$2:$E$356, $B$385:$B$387))</f>
        <v>89.9</v>
      </c>
      <c r="M361" s="18" cm="1">
        <f t="array" ref="M361">SUM(SUMIFS(M$2:M$356, $E$2:$E$356, $B$385:$B$387))</f>
        <v>30.61</v>
      </c>
      <c r="O361" s="18" cm="1">
        <f t="array" ref="O361">SUM(SUMIFS(O$2:O$356, $E$2:$E$356, $B$385:$B$387))</f>
        <v>11</v>
      </c>
      <c r="P361" s="18" cm="1">
        <f t="array" ref="P361">SUM(SUMIFS(P$2:P$356, $E$2:$E$356, $B$385:$B$387))</f>
        <v>935.83</v>
      </c>
      <c r="R361" s="18" cm="1">
        <f t="array" ref="R361">SUM(SUMIFS(R$2:R$356, $E$2:$E$356, $B$385:$B$387))</f>
        <v>11</v>
      </c>
      <c r="S361" s="18" cm="1">
        <f t="array" ref="S361">SUM(SUMIFS(S$2:S$356, $E$2:$E$356, $B$385:$B$387))</f>
        <v>935.83</v>
      </c>
      <c r="T361" s="18" cm="1">
        <f t="array" ref="T361">SUM(SUMIFS(T$2:T$356, $E$2:$E$356, $B$385:$B$387))</f>
        <v>10.93</v>
      </c>
      <c r="U361" s="18" cm="1">
        <f t="array" ref="U361">SUM(SUMIFS(U$2:U$356, $E$2:$E$356, $B$385:$B$387))</f>
        <v>100</v>
      </c>
      <c r="V361" s="18" cm="1">
        <f t="array" ref="V361">SUM(SUMIFS(V$2:V$356, $E$2:$E$356, $B$385:$B$387))</f>
        <v>6696.75</v>
      </c>
      <c r="X361" s="18" cm="1">
        <f t="array" ref="X361">SUM(SUMIFS(X$2:X$356, $E$2:$E$356, $B$385:$B$387))</f>
        <v>50</v>
      </c>
      <c r="Y361" s="18" cm="1">
        <f t="array" ref="Y361">SUM(SUMIFS(Y$2:Y$356, $E$2:$E$356, $B$385:$B$387))</f>
        <v>3348.37</v>
      </c>
      <c r="Z361" s="18" cm="1">
        <f t="array" ref="Z361">SUM(SUMIFS(Z$2:Z$356, $E$2:$E$356, $B$385:$B$387))</f>
        <v>5.82</v>
      </c>
      <c r="AA361" s="18" cm="1">
        <f t="array" ref="AA361">SUM(SUMIFS(AA$2:AA$356, $E$2:$E$356, $B$385:$B$387))</f>
        <v>4284.2000000000007</v>
      </c>
      <c r="AB361" s="18" cm="1">
        <f t="array" ref="AB361">SUM(SUMIFS(AB$2:AB$356, $E$2:$E$356, $B$385:$B$387))</f>
        <v>1190.06</v>
      </c>
      <c r="AC361" s="18" cm="1">
        <f t="array" ref="AC361">SUM(SUMIFS(AC$2:AC$356, $E$2:$E$356, $B$385:$B$387))</f>
        <v>108361.81672329914</v>
      </c>
      <c r="AD361" s="18" cm="1">
        <f t="array" ref="AD361">SUM(SUMIFS(AD$2:AD$356, $E$2:$E$356, $B$385:$B$387))</f>
        <v>132183360.65775904</v>
      </c>
    </row>
    <row r="364" spans="1:31" ht="15" x14ac:dyDescent="0.25">
      <c r="B364" s="5" t="s">
        <v>1031</v>
      </c>
      <c r="C364" s="7" t="s">
        <v>1033</v>
      </c>
      <c r="E364"/>
      <c r="F364"/>
      <c r="G364" s="5" t="s">
        <v>1031</v>
      </c>
    </row>
    <row r="365" spans="1:31" ht="15" x14ac:dyDescent="0.25">
      <c r="B365" s="18" t="s">
        <v>1097</v>
      </c>
      <c r="C365"/>
      <c r="D365"/>
      <c r="E365" s="18" t="s">
        <v>1098</v>
      </c>
      <c r="F365"/>
      <c r="G365" s="18" t="s">
        <v>1097</v>
      </c>
    </row>
    <row r="366" spans="1:31" ht="15" x14ac:dyDescent="0.25">
      <c r="B366" s="18" t="s">
        <v>1091</v>
      </c>
      <c r="C366"/>
      <c r="D366"/>
      <c r="E366" s="18" t="s">
        <v>1092</v>
      </c>
      <c r="F366"/>
      <c r="G366" s="18" t="s">
        <v>1091</v>
      </c>
    </row>
    <row r="367" spans="1:31" ht="15" x14ac:dyDescent="0.25">
      <c r="B367" s="18" t="s">
        <v>1099</v>
      </c>
      <c r="C367"/>
      <c r="D367"/>
      <c r="E367" s="18" t="s">
        <v>1100</v>
      </c>
      <c r="F367"/>
      <c r="G367" s="18" t="s">
        <v>1099</v>
      </c>
    </row>
    <row r="368" spans="1:31" ht="15" x14ac:dyDescent="0.25">
      <c r="B368"/>
      <c r="C368"/>
      <c r="D368"/>
      <c r="E368"/>
      <c r="F368"/>
      <c r="G368"/>
    </row>
    <row r="369" spans="2:7" ht="15" x14ac:dyDescent="0.25">
      <c r="B369" s="5" t="s">
        <v>1034</v>
      </c>
      <c r="C369" s="6" t="s">
        <v>1035</v>
      </c>
      <c r="D369" s="7" t="s">
        <v>1036</v>
      </c>
      <c r="E369"/>
      <c r="F369"/>
      <c r="G369" s="5" t="s">
        <v>1034</v>
      </c>
    </row>
    <row r="370" spans="2:7" ht="15" x14ac:dyDescent="0.25">
      <c r="B370" s="18" t="s">
        <v>1104</v>
      </c>
      <c r="C370" s="18" t="s">
        <v>1105</v>
      </c>
      <c r="D370"/>
      <c r="E370"/>
      <c r="F370"/>
      <c r="G370" s="18" t="s">
        <v>1104</v>
      </c>
    </row>
    <row r="371" spans="2:7" ht="15" x14ac:dyDescent="0.25">
      <c r="B371" s="18" t="s">
        <v>1106</v>
      </c>
      <c r="C371" s="18" t="s">
        <v>1107</v>
      </c>
      <c r="D371"/>
      <c r="E371"/>
      <c r="F371"/>
      <c r="G371" s="18" t="s">
        <v>1106</v>
      </c>
    </row>
    <row r="372" spans="2:7" ht="15" x14ac:dyDescent="0.25">
      <c r="B372"/>
      <c r="C372"/>
      <c r="D372"/>
      <c r="E372"/>
      <c r="F372"/>
      <c r="G372"/>
    </row>
    <row r="373" spans="2:7" ht="15" x14ac:dyDescent="0.25">
      <c r="B373" s="5" t="s">
        <v>1037</v>
      </c>
      <c r="C373" s="6" t="s">
        <v>1038</v>
      </c>
      <c r="D373" s="7" t="s">
        <v>1039</v>
      </c>
      <c r="E373"/>
      <c r="F373"/>
      <c r="G373" s="5" t="s">
        <v>1037</v>
      </c>
    </row>
    <row r="374" spans="2:7" ht="15" x14ac:dyDescent="0.25">
      <c r="B374" s="18" t="s">
        <v>1114</v>
      </c>
      <c r="C374" s="18" t="s">
        <v>1115</v>
      </c>
      <c r="D374"/>
      <c r="E374"/>
      <c r="F374"/>
      <c r="G374" s="18" t="s">
        <v>1114</v>
      </c>
    </row>
    <row r="375" spans="2:7" ht="15" x14ac:dyDescent="0.25">
      <c r="B375" s="18" t="s">
        <v>1124</v>
      </c>
      <c r="C375" s="18" t="s">
        <v>1125</v>
      </c>
      <c r="D375"/>
      <c r="E375"/>
      <c r="F375"/>
      <c r="G375" s="18" t="s">
        <v>1124</v>
      </c>
    </row>
    <row r="376" spans="2:7" ht="15" x14ac:dyDescent="0.25">
      <c r="B376" s="18" t="s">
        <v>1126</v>
      </c>
      <c r="C376" s="18" t="s">
        <v>1127</v>
      </c>
      <c r="D376"/>
      <c r="E376"/>
      <c r="F376"/>
      <c r="G376" s="18" t="s">
        <v>1126</v>
      </c>
    </row>
    <row r="377" spans="2:7" ht="15" x14ac:dyDescent="0.25">
      <c r="B377" s="18" t="s">
        <v>1120</v>
      </c>
      <c r="C377" s="18" t="s">
        <v>1121</v>
      </c>
      <c r="D377"/>
      <c r="E377"/>
      <c r="F377"/>
      <c r="G377" s="18" t="s">
        <v>1120</v>
      </c>
    </row>
    <row r="378" spans="2:7" ht="15" x14ac:dyDescent="0.25">
      <c r="B378" s="18" t="s">
        <v>1116</v>
      </c>
      <c r="C378" s="18" t="s">
        <v>1117</v>
      </c>
      <c r="D378"/>
      <c r="E378"/>
      <c r="F378"/>
      <c r="G378" s="18" t="s">
        <v>1116</v>
      </c>
    </row>
    <row r="379" spans="2:7" ht="15" x14ac:dyDescent="0.25">
      <c r="B379"/>
      <c r="C379"/>
      <c r="D379"/>
      <c r="E379"/>
      <c r="F379"/>
      <c r="G379"/>
    </row>
    <row r="380" spans="2:7" ht="15" x14ac:dyDescent="0.25">
      <c r="B380" s="5" t="s">
        <v>1040</v>
      </c>
      <c r="C380" s="6" t="s">
        <v>1041</v>
      </c>
      <c r="D380" s="7" t="s">
        <v>1042</v>
      </c>
      <c r="E380"/>
      <c r="F380"/>
      <c r="G380" s="5" t="s">
        <v>1040</v>
      </c>
    </row>
    <row r="381" spans="2:7" ht="15" x14ac:dyDescent="0.25">
      <c r="B381" s="18" t="s">
        <v>1128</v>
      </c>
      <c r="C381" s="18" t="s">
        <v>1129</v>
      </c>
      <c r="D381"/>
      <c r="E381"/>
      <c r="F381"/>
      <c r="G381" s="18" t="s">
        <v>1128</v>
      </c>
    </row>
    <row r="382" spans="2:7" ht="15" x14ac:dyDescent="0.25">
      <c r="B382" s="18" t="s">
        <v>1122</v>
      </c>
      <c r="C382" s="18" t="s">
        <v>1123</v>
      </c>
      <c r="D382"/>
      <c r="E382"/>
      <c r="F382"/>
      <c r="G382" s="18" t="s">
        <v>1122</v>
      </c>
    </row>
    <row r="383" spans="2:7" ht="15" x14ac:dyDescent="0.25">
      <c r="B383"/>
      <c r="C383"/>
      <c r="D383"/>
      <c r="E383"/>
      <c r="F383"/>
      <c r="G383"/>
    </row>
    <row r="384" spans="2:7" ht="15" x14ac:dyDescent="0.25">
      <c r="B384" s="13" t="s">
        <v>1043</v>
      </c>
      <c r="C384" s="6" t="s">
        <v>1044</v>
      </c>
      <c r="D384" s="14" t="s">
        <v>1045</v>
      </c>
      <c r="E384"/>
      <c r="F384"/>
      <c r="G384" s="13" t="s">
        <v>1043</v>
      </c>
    </row>
    <row r="385" spans="2:7" ht="15" x14ac:dyDescent="0.25">
      <c r="B385" s="18" t="s">
        <v>1110</v>
      </c>
      <c r="C385" s="18" t="s">
        <v>1111</v>
      </c>
      <c r="D385"/>
      <c r="E385"/>
      <c r="F385"/>
      <c r="G385" s="18" t="s">
        <v>1110</v>
      </c>
    </row>
    <row r="386" spans="2:7" ht="15" x14ac:dyDescent="0.25">
      <c r="B386" s="18" t="s">
        <v>1112</v>
      </c>
      <c r="C386" s="18" t="s">
        <v>1113</v>
      </c>
      <c r="D386"/>
      <c r="E386"/>
      <c r="F386"/>
      <c r="G386" s="18" t="s">
        <v>1112</v>
      </c>
    </row>
    <row r="387" spans="2:7" ht="15" x14ac:dyDescent="0.25">
      <c r="B387" s="18" t="s">
        <v>1095</v>
      </c>
      <c r="C387" s="18" t="s">
        <v>1096</v>
      </c>
      <c r="D387"/>
      <c r="E387"/>
      <c r="F387"/>
      <c r="G387" s="18" t="s">
        <v>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76A5-1EC2-47FC-B962-D48F56A8BC53}">
  <dimension ref="A1:H343"/>
  <sheetViews>
    <sheetView workbookViewId="0">
      <selection activeCell="G21" sqref="G21"/>
    </sheetView>
  </sheetViews>
  <sheetFormatPr defaultColWidth="50.7109375" defaultRowHeight="15" x14ac:dyDescent="0.25"/>
  <cols>
    <col min="1" max="1" width="14.85546875" bestFit="1" customWidth="1"/>
    <col min="2" max="2" width="18" bestFit="1" customWidth="1"/>
    <col min="3" max="3" width="32" bestFit="1" customWidth="1"/>
    <col min="4" max="4" width="13.7109375" bestFit="1" customWidth="1"/>
    <col min="5" max="5" width="16.140625" bestFit="1" customWidth="1"/>
    <col min="6" max="6" width="14.28515625" bestFit="1" customWidth="1"/>
    <col min="7" max="7" width="26.28515625" customWidth="1"/>
    <col min="8" max="8" width="14.28515625" bestFit="1" customWidth="1"/>
  </cols>
  <sheetData>
    <row r="1" spans="1:8" x14ac:dyDescent="0.25">
      <c r="A1" s="23" t="s">
        <v>1166</v>
      </c>
      <c r="B1" s="23" t="s">
        <v>1167</v>
      </c>
      <c r="C1" s="23" t="s">
        <v>1168</v>
      </c>
      <c r="D1" s="23" t="s">
        <v>1169</v>
      </c>
      <c r="E1" s="23" t="s">
        <v>1170</v>
      </c>
      <c r="F1" s="23" t="s">
        <v>1171</v>
      </c>
      <c r="G1" s="23" t="s">
        <v>1208</v>
      </c>
      <c r="H1" s="23" t="s">
        <v>1336</v>
      </c>
    </row>
    <row r="2" spans="1:8" x14ac:dyDescent="0.25">
      <c r="A2" s="24" t="s">
        <v>831</v>
      </c>
      <c r="B2" s="24" t="s">
        <v>830</v>
      </c>
      <c r="C2" s="24" t="s">
        <v>832</v>
      </c>
      <c r="D2" s="24" t="s">
        <v>1172</v>
      </c>
      <c r="E2" s="24" t="s">
        <v>1173</v>
      </c>
      <c r="F2" s="24" t="s">
        <v>1174</v>
      </c>
      <c r="G2" s="25" t="str" cm="1">
        <f t="array" ref="G2">INDEX(Gebieden_in_Nederland_2023_2403!H:H,MATCH('municipalities per province'!B2,Gebieden_in_Nederland_2023_2403!B:B,0),0)</f>
        <v>Drenthe</v>
      </c>
      <c r="H2" s="24" t="str" cm="1">
        <f t="array" ref="H2">INDEX(Gebieden_in_Nederland_2023_2403!G:G,MATCH('municipalities per province'!B2,Gebieden_in_Nederland_2023_2403!B:B,0),0)</f>
        <v>ES03</v>
      </c>
    </row>
    <row r="3" spans="1:8" x14ac:dyDescent="0.25">
      <c r="A3" s="24" t="s">
        <v>330</v>
      </c>
      <c r="B3" s="24" t="s">
        <v>329</v>
      </c>
      <c r="C3" s="24" t="s">
        <v>331</v>
      </c>
      <c r="D3" s="24" t="s">
        <v>1175</v>
      </c>
      <c r="E3" s="24" t="s">
        <v>1176</v>
      </c>
      <c r="F3" s="24" t="s">
        <v>1177</v>
      </c>
      <c r="G3" s="25" t="str" cm="1">
        <f t="array" ref="G3">INDEX(Gebieden_in_Nederland_2023_2403!H:H,MATCH('municipalities per province'!B3,Gebieden_in_Nederland_2023_2403!B:B,0),0)</f>
        <v>Noord-HollandZuid</v>
      </c>
      <c r="H3" s="24" t="str" cm="1">
        <f t="array" ref="H3">INDEX(Gebieden_in_Nederland_2023_2403!G:G,MATCH('municipalities per province'!B3,Gebieden_in_Nederland_2023_2403!B:B,0),0)</f>
        <v>ES16</v>
      </c>
    </row>
    <row r="4" spans="1:8" x14ac:dyDescent="0.25">
      <c r="A4" s="24" t="s">
        <v>147</v>
      </c>
      <c r="B4" s="24" t="s">
        <v>146</v>
      </c>
      <c r="C4" s="24" t="s">
        <v>148</v>
      </c>
      <c r="D4" s="24" t="s">
        <v>1178</v>
      </c>
      <c r="E4" s="24" t="s">
        <v>1179</v>
      </c>
      <c r="F4" s="24" t="s">
        <v>1180</v>
      </c>
      <c r="G4" s="25" t="str" cm="1">
        <f t="array" ref="G4">INDEX(Gebieden_in_Nederland_2023_2403!H:H,MATCH('municipalities per province'!B4,Gebieden_in_Nederland_2023_2403!B:B,0),0)</f>
        <v>Achterhoek</v>
      </c>
      <c r="H4" s="24" t="str" cm="1">
        <f t="array" ref="H4">INDEX(Gebieden_in_Nederland_2023_2403!G:G,MATCH('municipalities per province'!B4,Gebieden_in_Nederland_2023_2403!B:B,0),0)</f>
        <v>ES07</v>
      </c>
    </row>
    <row r="5" spans="1:8" x14ac:dyDescent="0.25">
      <c r="A5" s="24" t="s">
        <v>36</v>
      </c>
      <c r="B5" s="24" t="s">
        <v>35</v>
      </c>
      <c r="C5" s="24" t="s">
        <v>37</v>
      </c>
      <c r="D5" s="24" t="s">
        <v>1181</v>
      </c>
      <c r="E5" s="24" t="s">
        <v>1182</v>
      </c>
      <c r="F5" s="24" t="s">
        <v>1205</v>
      </c>
      <c r="G5" s="25" t="str" cm="1">
        <f t="array" ref="G5">INDEX(Gebieden_in_Nederland_2023_2403!H:H,MATCH('municipalities per province'!B5,Gebieden_in_Nederland_2023_2403!B:B,0),0)</f>
        <v>Friesland</v>
      </c>
      <c r="H5" s="24" t="str" cm="1">
        <f t="array" ref="H5">INDEX(Gebieden_in_Nederland_2023_2403!G:G,MATCH('municipalities per province'!B5,Gebieden_in_Nederland_2023_2403!B:B,0),0)</f>
        <v>ES02</v>
      </c>
    </row>
    <row r="6" spans="1:8" x14ac:dyDescent="0.25">
      <c r="A6" s="24" t="s">
        <v>435</v>
      </c>
      <c r="B6" s="24" t="s">
        <v>434</v>
      </c>
      <c r="C6" s="24" t="s">
        <v>436</v>
      </c>
      <c r="D6" s="24" t="s">
        <v>1183</v>
      </c>
      <c r="E6" s="24" t="s">
        <v>1184</v>
      </c>
      <c r="F6" s="24" t="s">
        <v>1185</v>
      </c>
      <c r="G6" s="25" t="str" cm="1">
        <f t="array" ref="G6">INDEX(Gebieden_in_Nederland_2023_2403!H:H,MATCH('municipalities per province'!B6,Gebieden_in_Nederland_2023_2403!B:B,0),0)</f>
        <v>Drechtsteden</v>
      </c>
      <c r="H6" s="24" t="str" cm="1">
        <f t="array" ref="H6">INDEX(Gebieden_in_Nederland_2023_2403!G:G,MATCH('municipalities per province'!B6,Gebieden_in_Nederland_2023_2403!B:B,0),0)</f>
        <v>ES18</v>
      </c>
    </row>
    <row r="7" spans="1:8" x14ac:dyDescent="0.25">
      <c r="A7" s="24" t="s">
        <v>525</v>
      </c>
      <c r="B7" s="24" t="s">
        <v>524</v>
      </c>
      <c r="C7" s="24" t="s">
        <v>526</v>
      </c>
      <c r="D7" s="24" t="s">
        <v>1183</v>
      </c>
      <c r="E7" s="24" t="s">
        <v>1184</v>
      </c>
      <c r="F7" s="24" t="s">
        <v>1185</v>
      </c>
      <c r="G7" s="25" t="str" cm="1">
        <f t="array" ref="G7">INDEX(Gebieden_in_Nederland_2023_2403!H:H,MATCH('municipalities per province'!B7,Gebieden_in_Nederland_2023_2403!B:B,0),0)</f>
        <v>Rotterdam/DenHaag</v>
      </c>
      <c r="H7" s="24" t="str" cm="1">
        <f t="array" ref="H7">INDEX(Gebieden_in_Nederland_2023_2403!G:G,MATCH('municipalities per province'!B7,Gebieden_in_Nederland_2023_2403!B:B,0),0)</f>
        <v>ES23</v>
      </c>
    </row>
    <row r="8" spans="1:8" x14ac:dyDescent="0.25">
      <c r="A8" s="24" t="s">
        <v>333</v>
      </c>
      <c r="B8" s="24" t="s">
        <v>332</v>
      </c>
      <c r="C8" s="24" t="s">
        <v>334</v>
      </c>
      <c r="D8" s="24" t="s">
        <v>1175</v>
      </c>
      <c r="E8" s="24" t="s">
        <v>1176</v>
      </c>
      <c r="F8" s="24" t="s">
        <v>1177</v>
      </c>
      <c r="G8" s="25" t="str" cm="1">
        <f t="array" ref="G8">INDEX(Gebieden_in_Nederland_2023_2403!H:H,MATCH('municipalities per province'!B8,Gebieden_in_Nederland_2023_2403!B:B,0),0)</f>
        <v>Noord-HollandNoord</v>
      </c>
      <c r="H8" s="24" t="str" cm="1">
        <f t="array" ref="H8">INDEX(Gebieden_in_Nederland_2023_2403!G:G,MATCH('municipalities per province'!B8,Gebieden_in_Nederland_2023_2403!B:B,0),0)</f>
        <v>ES15</v>
      </c>
    </row>
    <row r="9" spans="1:8" x14ac:dyDescent="0.25">
      <c r="A9" s="24" t="s">
        <v>87</v>
      </c>
      <c r="B9" s="24" t="s">
        <v>86</v>
      </c>
      <c r="C9" s="24" t="s">
        <v>88</v>
      </c>
      <c r="D9" s="24" t="s">
        <v>1186</v>
      </c>
      <c r="E9" s="24" t="s">
        <v>1187</v>
      </c>
      <c r="F9" s="24" t="s">
        <v>1188</v>
      </c>
      <c r="G9" s="25" t="str" cm="1">
        <f t="array" ref="G9">INDEX(Gebieden_in_Nederland_2023_2403!H:H,MATCH('municipalities per province'!B9,Gebieden_in_Nederland_2023_2403!B:B,0),0)</f>
        <v>Twente</v>
      </c>
      <c r="H9" s="24" t="str" cm="1">
        <f t="array" ref="H9">INDEX(Gebieden_in_Nederland_2023_2403!G:G,MATCH('municipalities per province'!B9,Gebieden_in_Nederland_2023_2403!B:B,0),0)</f>
        <v>ES04</v>
      </c>
    </row>
    <row r="10" spans="1:8" x14ac:dyDescent="0.25">
      <c r="A10" s="24" t="s">
        <v>24</v>
      </c>
      <c r="B10" s="24" t="s">
        <v>23</v>
      </c>
      <c r="C10" s="24" t="s">
        <v>25</v>
      </c>
      <c r="D10" s="24" t="s">
        <v>1189</v>
      </c>
      <c r="E10" s="24" t="s">
        <v>1190</v>
      </c>
      <c r="F10" s="24" t="s">
        <v>1191</v>
      </c>
      <c r="G10" s="25" t="str" cm="1">
        <f t="array" ref="G10">INDEX(Gebieden_in_Nederland_2023_2403!H:H,MATCH('municipalities per province'!B10,Gebieden_in_Nederland_2023_2403!B:B,0),0)</f>
        <v>Flevoland</v>
      </c>
      <c r="H10" s="24" t="str" cm="1">
        <f t="array" ref="H10">INDEX(Gebieden_in_Nederland_2023_2403!G:G,MATCH('municipalities per province'!B10,Gebieden_in_Nederland_2023_2403!B:B,0),0)</f>
        <v>ES06</v>
      </c>
    </row>
    <row r="11" spans="1:8" x14ac:dyDescent="0.25">
      <c r="A11" s="24" t="s">
        <v>438</v>
      </c>
      <c r="B11" s="24" t="s">
        <v>437</v>
      </c>
      <c r="C11" s="24" t="s">
        <v>439</v>
      </c>
      <c r="D11" s="24" t="s">
        <v>1183</v>
      </c>
      <c r="E11" s="24" t="s">
        <v>1184</v>
      </c>
      <c r="F11" s="24" t="s">
        <v>1185</v>
      </c>
      <c r="G11" s="25" t="str" cm="1">
        <f t="array" ref="G11">INDEX(Gebieden_in_Nederland_2023_2403!H:H,MATCH('municipalities per province'!B11,Gebieden_in_Nederland_2023_2403!B:B,0),0)</f>
        <v>HollandRijnland</v>
      </c>
      <c r="H11" s="24" t="str" cm="1">
        <f t="array" ref="H11">INDEX(Gebieden_in_Nederland_2023_2403!G:G,MATCH('municipalities per province'!B11,Gebieden_in_Nederland_2023_2403!B:B,0),0)</f>
        <v>ES21</v>
      </c>
    </row>
    <row r="12" spans="1:8" x14ac:dyDescent="0.25">
      <c r="A12" s="24" t="s">
        <v>879</v>
      </c>
      <c r="B12" s="24" t="s">
        <v>878</v>
      </c>
      <c r="C12" s="24" t="s">
        <v>880</v>
      </c>
      <c r="D12" s="24" t="s">
        <v>1192</v>
      </c>
      <c r="E12" s="24" t="s">
        <v>1193</v>
      </c>
      <c r="F12" s="24" t="s">
        <v>1194</v>
      </c>
      <c r="G12" s="25" t="str" cm="1">
        <f t="array" ref="G12">INDEX(Gebieden_in_Nederland_2023_2403!H:H,MATCH('municipalities per province'!B12,Gebieden_in_Nederland_2023_2403!B:B,0),0)</f>
        <v>West-Brabant</v>
      </c>
      <c r="H12" s="24" t="str" cm="1">
        <f t="array" ref="H12">INDEX(Gebieden_in_Nederland_2023_2403!G:G,MATCH('municipalities per province'!B12,Gebieden_in_Nederland_2023_2403!B:B,0),0)</f>
        <v>ES28</v>
      </c>
    </row>
    <row r="13" spans="1:8" x14ac:dyDescent="0.25">
      <c r="A13" s="24" t="s">
        <v>1008</v>
      </c>
      <c r="B13" s="24" t="s">
        <v>1007</v>
      </c>
      <c r="C13" s="24" t="s">
        <v>1009</v>
      </c>
      <c r="D13" s="24" t="s">
        <v>1192</v>
      </c>
      <c r="E13" s="24" t="s">
        <v>1193</v>
      </c>
      <c r="F13" s="24" t="s">
        <v>1194</v>
      </c>
      <c r="G13" s="25" t="str" cm="1">
        <f t="array" ref="G13">INDEX(Gebieden_in_Nederland_2023_2403!H:H,MATCH('municipalities per province'!B13,Gebieden_in_Nederland_2023_2403!B:B,0),0)</f>
        <v>West-Brabant</v>
      </c>
      <c r="H13" s="24" t="str" cm="1">
        <f t="array" ref="H13">INDEX(Gebieden_in_Nederland_2023_2403!G:G,MATCH('municipalities per province'!B13,Gebieden_in_Nederland_2023_2403!B:B,0),0)</f>
        <v>ES28</v>
      </c>
    </row>
    <row r="14" spans="1:8" x14ac:dyDescent="0.25">
      <c r="A14" s="24" t="s">
        <v>39</v>
      </c>
      <c r="B14" s="24" t="s">
        <v>38</v>
      </c>
      <c r="C14" s="24" t="s">
        <v>40</v>
      </c>
      <c r="D14" s="24" t="s">
        <v>1181</v>
      </c>
      <c r="E14" s="24" t="s">
        <v>1182</v>
      </c>
      <c r="F14" s="24" t="s">
        <v>1205</v>
      </c>
      <c r="G14" s="25" t="str" cm="1">
        <f t="array" ref="G14">INDEX(Gebieden_in_Nederland_2023_2403!H:H,MATCH('municipalities per province'!B14,Gebieden_in_Nederland_2023_2403!B:B,0),0)</f>
        <v>Friesland</v>
      </c>
      <c r="H14" s="24" t="str" cm="1">
        <f t="array" ref="H14">INDEX(Gebieden_in_Nederland_2023_2403!G:G,MATCH('municipalities per province'!B14,Gebieden_in_Nederland_2023_2403!B:B,0),0)</f>
        <v>ES02</v>
      </c>
    </row>
    <row r="15" spans="1:8" x14ac:dyDescent="0.25">
      <c r="A15" s="24" t="s">
        <v>270</v>
      </c>
      <c r="B15" s="24" t="s">
        <v>269</v>
      </c>
      <c r="C15" s="24" t="s">
        <v>271</v>
      </c>
      <c r="D15" s="24" t="s">
        <v>1195</v>
      </c>
      <c r="E15" s="24" t="s">
        <v>1196</v>
      </c>
      <c r="F15" s="24" t="s">
        <v>310</v>
      </c>
      <c r="G15" s="25" t="str" cm="1">
        <f t="array" ref="G15">INDEX(Gebieden_in_Nederland_2023_2403!H:H,MATCH('municipalities per province'!B15,Gebieden_in_Nederland_2023_2403!B:B,0),0)</f>
        <v>Amersfoort</v>
      </c>
      <c r="H15" s="24" t="str" cm="1">
        <f t="array" ref="H15">INDEX(Gebieden_in_Nederland_2023_2403!G:G,MATCH('municipalities per province'!B15,Gebieden_in_Nederland_2023_2403!B:B,0),0)</f>
        <v>ES13</v>
      </c>
    </row>
    <row r="16" spans="1:8" x14ac:dyDescent="0.25">
      <c r="A16" s="24" t="s">
        <v>336</v>
      </c>
      <c r="B16" s="24" t="s">
        <v>335</v>
      </c>
      <c r="C16" s="24" t="s">
        <v>337</v>
      </c>
      <c r="D16" s="24" t="s">
        <v>1175</v>
      </c>
      <c r="E16" s="24" t="s">
        <v>1176</v>
      </c>
      <c r="F16" s="24" t="s">
        <v>1177</v>
      </c>
      <c r="G16" s="25" t="str" cm="1">
        <f t="array" ref="G16">INDEX(Gebieden_in_Nederland_2023_2403!H:H,MATCH('municipalities per province'!B16,Gebieden_in_Nederland_2023_2403!B:B,0),0)</f>
        <v>Noord-HollandZuid</v>
      </c>
      <c r="H16" s="24" t="str" cm="1">
        <f t="array" ref="H16">INDEX(Gebieden_in_Nederland_2023_2403!G:G,MATCH('municipalities per province'!B16,Gebieden_in_Nederland_2023_2403!B:B,0),0)</f>
        <v>ES16</v>
      </c>
    </row>
    <row r="17" spans="1:8" x14ac:dyDescent="0.25">
      <c r="A17" s="24" t="s">
        <v>339</v>
      </c>
      <c r="B17" s="24" t="s">
        <v>338</v>
      </c>
      <c r="C17" s="24" t="s">
        <v>340</v>
      </c>
      <c r="D17" s="24" t="s">
        <v>1175</v>
      </c>
      <c r="E17" s="24" t="s">
        <v>1176</v>
      </c>
      <c r="F17" s="24" t="s">
        <v>1177</v>
      </c>
      <c r="G17" s="25" t="str" cm="1">
        <f t="array" ref="G17">INDEX(Gebieden_in_Nederland_2023_2403!H:H,MATCH('municipalities per province'!B17,Gebieden_in_Nederland_2023_2403!B:B,0),0)</f>
        <v>Noord-HollandZuid</v>
      </c>
      <c r="H17" s="24" t="str" cm="1">
        <f t="array" ref="H17">INDEX(Gebieden_in_Nederland_2023_2403!G:G,MATCH('municipalities per province'!B17,Gebieden_in_Nederland_2023_2403!B:B,0),0)</f>
        <v>ES16</v>
      </c>
    </row>
    <row r="18" spans="1:8" x14ac:dyDescent="0.25">
      <c r="A18" s="24" t="s">
        <v>150</v>
      </c>
      <c r="B18" s="24" t="s">
        <v>149</v>
      </c>
      <c r="C18" s="24" t="s">
        <v>151</v>
      </c>
      <c r="D18" s="24" t="s">
        <v>1178</v>
      </c>
      <c r="E18" s="24" t="s">
        <v>1179</v>
      </c>
      <c r="F18" s="24" t="s">
        <v>1180</v>
      </c>
      <c r="G18" s="25" t="str" cm="1">
        <f t="array" ref="G18">INDEX(Gebieden_in_Nederland_2023_2403!H:H,MATCH('municipalities per province'!B18,Gebieden_in_Nederland_2023_2403!B:B,0),0)</f>
        <v>Cleantech</v>
      </c>
      <c r="H18" s="24" t="str" cm="1">
        <f t="array" ref="H18">INDEX(Gebieden_in_Nederland_2023_2403!G:G,MATCH('municipalities per province'!B18,Gebieden_in_Nederland_2023_2403!B:B,0),0)</f>
        <v>ES12</v>
      </c>
    </row>
    <row r="19" spans="1:8" x14ac:dyDescent="0.25">
      <c r="A19" s="24" t="s">
        <v>153</v>
      </c>
      <c r="B19" s="24" t="s">
        <v>152</v>
      </c>
      <c r="C19" s="24" t="s">
        <v>154</v>
      </c>
      <c r="D19" s="24" t="s">
        <v>1178</v>
      </c>
      <c r="E19" s="24" t="s">
        <v>1179</v>
      </c>
      <c r="F19" s="24" t="s">
        <v>1180</v>
      </c>
      <c r="G19" s="25" t="str" cm="1">
        <f t="array" ref="G19">INDEX(Gebieden_in_Nederland_2023_2403!H:H,MATCH('municipalities per province'!B19,Gebieden_in_Nederland_2023_2403!B:B,0),0)</f>
        <v>Arnhem/Nijmegen</v>
      </c>
      <c r="H19" s="24" t="str" cm="1">
        <f t="array" ref="H19">INDEX(Gebieden_in_Nederland_2023_2403!G:G,MATCH('municipalities per province'!B19,Gebieden_in_Nederland_2023_2403!B:B,0),0)</f>
        <v>ES08</v>
      </c>
    </row>
    <row r="20" spans="1:8" x14ac:dyDescent="0.25">
      <c r="A20" s="24" t="s">
        <v>72</v>
      </c>
      <c r="B20" s="24" t="s">
        <v>71</v>
      </c>
      <c r="C20" s="24" t="s">
        <v>73</v>
      </c>
      <c r="D20" s="24" t="s">
        <v>1172</v>
      </c>
      <c r="E20" s="24" t="s">
        <v>1173</v>
      </c>
      <c r="F20" s="24" t="s">
        <v>1174</v>
      </c>
      <c r="G20" s="25" t="str" cm="1">
        <f t="array" ref="G20">INDEX(Gebieden_in_Nederland_2023_2403!H:H,MATCH('municipalities per province'!B20,Gebieden_in_Nederland_2023_2403!B:B,0),0)</f>
        <v>Drenthe</v>
      </c>
      <c r="H20" s="24" t="str" cm="1">
        <f t="array" ref="H20">INDEX(Gebieden_in_Nederland_2023_2403!G:G,MATCH('municipalities per province'!B20,Gebieden_in_Nederland_2023_2403!B:B,0),0)</f>
        <v>ES03</v>
      </c>
    </row>
    <row r="21" spans="1:8" x14ac:dyDescent="0.25">
      <c r="A21" s="24" t="s">
        <v>591</v>
      </c>
      <c r="B21" s="24" t="s">
        <v>590</v>
      </c>
      <c r="C21" s="24" t="s">
        <v>592</v>
      </c>
      <c r="D21" s="24" t="s">
        <v>1192</v>
      </c>
      <c r="E21" s="24" t="s">
        <v>1193</v>
      </c>
      <c r="F21" s="24" t="s">
        <v>1194</v>
      </c>
      <c r="G21" s="25" t="str" cm="1">
        <f t="array" ref="G21">INDEX(Gebieden_in_Nederland_2023_2403!H:H,MATCH('municipalities per province'!B21,Gebieden_in_Nederland_2023_2403!B:B,0),0)</f>
        <v>MetropoolregioEindhoven</v>
      </c>
      <c r="H21" s="24" t="str" cm="1">
        <f t="array" ref="H21">INDEX(Gebieden_in_Nederland_2023_2403!G:G,MATCH('municipalities per province'!B21,Gebieden_in_Nederland_2023_2403!B:B,0),0)</f>
        <v>ES26</v>
      </c>
    </row>
    <row r="22" spans="1:8" x14ac:dyDescent="0.25">
      <c r="A22" s="24" t="s">
        <v>594</v>
      </c>
      <c r="B22" s="24" t="s">
        <v>593</v>
      </c>
      <c r="C22" s="24" t="s">
        <v>595</v>
      </c>
      <c r="D22" s="24" t="s">
        <v>1192</v>
      </c>
      <c r="E22" s="24" t="s">
        <v>1193</v>
      </c>
      <c r="F22" s="24" t="s">
        <v>1194</v>
      </c>
      <c r="G22" s="25" t="str" cm="1">
        <f t="array" ref="G22">INDEX(Gebieden_in_Nederland_2023_2403!H:H,MATCH('municipalities per province'!B22,Gebieden_in_Nederland_2023_2403!B:B,0),0)</f>
        <v>West-Brabant</v>
      </c>
      <c r="H22" s="24" t="str" cm="1">
        <f t="array" ref="H22">INDEX(Gebieden_in_Nederland_2023_2403!G:G,MATCH('municipalities per province'!B22,Gebieden_in_Nederland_2023_2403!B:B,0),0)</f>
        <v>ES28</v>
      </c>
    </row>
    <row r="23" spans="1:8" x14ac:dyDescent="0.25">
      <c r="A23" s="24" t="s">
        <v>273</v>
      </c>
      <c r="B23" s="24" t="s">
        <v>272</v>
      </c>
      <c r="C23" s="24" t="s">
        <v>274</v>
      </c>
      <c r="D23" s="24" t="s">
        <v>1195</v>
      </c>
      <c r="E23" s="24" t="s">
        <v>1196</v>
      </c>
      <c r="F23" s="24" t="s">
        <v>310</v>
      </c>
      <c r="G23" s="25" t="str" cm="1">
        <f t="array" ref="G23">INDEX(Gebieden_in_Nederland_2023_2403!H:H,MATCH('municipalities per province'!B23,Gebieden_in_Nederland_2023_2403!B:B,0),0)</f>
        <v>Amersfoort</v>
      </c>
      <c r="H23" s="24" t="str" cm="1">
        <f t="array" ref="H23">INDEX(Gebieden_in_Nederland_2023_2403!G:G,MATCH('municipalities per province'!B23,Gebieden_in_Nederland_2023_2403!B:B,0),0)</f>
        <v>ES13</v>
      </c>
    </row>
    <row r="24" spans="1:8" x14ac:dyDescent="0.25">
      <c r="A24" s="24" t="s">
        <v>441</v>
      </c>
      <c r="B24" s="24" t="s">
        <v>440</v>
      </c>
      <c r="C24" s="24" t="s">
        <v>442</v>
      </c>
      <c r="D24" s="24" t="s">
        <v>1183</v>
      </c>
      <c r="E24" s="24" t="s">
        <v>1184</v>
      </c>
      <c r="F24" s="24" t="s">
        <v>1185</v>
      </c>
      <c r="G24" s="25" t="str" cm="1">
        <f t="array" ref="G24">INDEX(Gebieden_in_Nederland_2023_2403!H:H,MATCH('municipalities per province'!B24,Gebieden_in_Nederland_2023_2403!B:B,0),0)</f>
        <v>Rotterdam/DenHaag</v>
      </c>
      <c r="H24" s="24" t="str" cm="1">
        <f t="array" ref="H24">INDEX(Gebieden_in_Nederland_2023_2403!G:G,MATCH('municipalities per province'!B24,Gebieden_in_Nederland_2023_2403!B:B,0),0)</f>
        <v>ES23</v>
      </c>
    </row>
    <row r="25" spans="1:8" x14ac:dyDescent="0.25">
      <c r="A25" s="24" t="s">
        <v>156</v>
      </c>
      <c r="B25" s="24" t="s">
        <v>155</v>
      </c>
      <c r="C25" s="24" t="s">
        <v>157</v>
      </c>
      <c r="D25" s="24" t="s">
        <v>1178</v>
      </c>
      <c r="E25" s="24" t="s">
        <v>1179</v>
      </c>
      <c r="F25" s="24" t="s">
        <v>1180</v>
      </c>
      <c r="G25" s="25" t="str" cm="1">
        <f t="array" ref="G25">INDEX(Gebieden_in_Nederland_2023_2403!H:H,MATCH('municipalities per province'!B25,Gebieden_in_Nederland_2023_2403!B:B,0),0)</f>
        <v>Foodvalley</v>
      </c>
      <c r="H25" s="24" t="str" cm="1">
        <f t="array" ref="H25">INDEX(Gebieden_in_Nederland_2023_2403!G:G,MATCH('municipalities per province'!B25,Gebieden_in_Nederland_2023_2403!B:B,0),0)</f>
        <v>ES09</v>
      </c>
    </row>
    <row r="26" spans="1:8" x14ac:dyDescent="0.25">
      <c r="A26" s="24" t="s">
        <v>717</v>
      </c>
      <c r="B26" s="24" t="s">
        <v>716</v>
      </c>
      <c r="C26" s="24" t="s">
        <v>718</v>
      </c>
      <c r="D26" s="24" t="s">
        <v>1197</v>
      </c>
      <c r="E26" s="24" t="s">
        <v>1198</v>
      </c>
      <c r="F26" s="24" t="s">
        <v>1199</v>
      </c>
      <c r="G26" s="25" t="str" cm="1">
        <f t="array" ref="G26">INDEX(Gebieden_in_Nederland_2023_2403!H:H,MATCH('municipalities per province'!B26,Gebieden_in_Nederland_2023_2403!B:B,0),0)</f>
        <v>Zuid-Limburg</v>
      </c>
      <c r="H26" s="24" t="str" cm="1">
        <f t="array" ref="H26">INDEX(Gebieden_in_Nederland_2023_2403!G:G,MATCH('municipalities per province'!B26,Gebieden_in_Nederland_2023_2403!B:B,0),0)</f>
        <v>ES30</v>
      </c>
    </row>
    <row r="27" spans="1:8" x14ac:dyDescent="0.25">
      <c r="A27" s="24" t="s">
        <v>1002</v>
      </c>
      <c r="B27" s="24" t="s">
        <v>1001</v>
      </c>
      <c r="C27" s="24" t="s">
        <v>1003</v>
      </c>
      <c r="D27" s="24" t="s">
        <v>1197</v>
      </c>
      <c r="E27" s="24" t="s">
        <v>1198</v>
      </c>
      <c r="F27" s="24" t="s">
        <v>1199</v>
      </c>
      <c r="G27" s="25" t="str" cm="1">
        <f t="array" ref="G27">INDEX(Gebieden_in_Nederland_2023_2403!H:H,MATCH('municipalities per province'!B27,Gebieden_in_Nederland_2023_2403!B:B,0),0)</f>
        <v>Zuid-Limburg</v>
      </c>
      <c r="H27" s="24" t="str" cm="1">
        <f t="array" ref="H27">INDEX(Gebieden_in_Nederland_2023_2403!G:G,MATCH('municipalities per province'!B27,Gebieden_in_Nederland_2023_2403!B:B,0),0)</f>
        <v>ES30</v>
      </c>
    </row>
    <row r="28" spans="1:8" x14ac:dyDescent="0.25">
      <c r="A28" s="24" t="s">
        <v>720</v>
      </c>
      <c r="B28" s="24" t="s">
        <v>719</v>
      </c>
      <c r="C28" s="24" t="s">
        <v>721</v>
      </c>
      <c r="D28" s="24" t="s">
        <v>1197</v>
      </c>
      <c r="E28" s="24" t="s">
        <v>1198</v>
      </c>
      <c r="F28" s="24" t="s">
        <v>1199</v>
      </c>
      <c r="G28" s="25" t="str" cm="1">
        <f t="array" ref="G28">INDEX(Gebieden_in_Nederland_2023_2403!H:H,MATCH('municipalities per province'!B28,Gebieden_in_Nederland_2023_2403!B:B,0),0)</f>
        <v>Noord-enMidden-Limburg</v>
      </c>
      <c r="H28" s="24" t="str" cm="1">
        <f t="array" ref="H28">INDEX(Gebieden_in_Nederland_2023_2403!G:G,MATCH('municipalities per province'!B28,Gebieden_in_Nederland_2023_2403!B:B,0),0)</f>
        <v>ES29</v>
      </c>
    </row>
    <row r="29" spans="1:8" x14ac:dyDescent="0.25">
      <c r="A29" s="24" t="s">
        <v>987</v>
      </c>
      <c r="B29" s="24" t="s">
        <v>986</v>
      </c>
      <c r="C29" s="24" t="s">
        <v>988</v>
      </c>
      <c r="D29" s="24" t="s">
        <v>1178</v>
      </c>
      <c r="E29" s="24" t="s">
        <v>1179</v>
      </c>
      <c r="F29" s="24" t="s">
        <v>1180</v>
      </c>
      <c r="G29" s="25" t="str" cm="1">
        <f t="array" ref="G29">INDEX(Gebieden_in_Nederland_2023_2403!H:H,MATCH('municipalities per province'!B29,Gebieden_in_Nederland_2023_2403!B:B,0),0)</f>
        <v>Arnhem/Nijmegen</v>
      </c>
      <c r="H29" s="24" t="str" cm="1">
        <f t="array" ref="H29">INDEX(Gebieden_in_Nederland_2023_2403!G:G,MATCH('municipalities per province'!B29,Gebieden_in_Nederland_2023_2403!B:B,0),0)</f>
        <v>ES08</v>
      </c>
    </row>
    <row r="30" spans="1:8" x14ac:dyDescent="0.25">
      <c r="A30" s="24" t="s">
        <v>882</v>
      </c>
      <c r="B30" s="24" t="s">
        <v>881</v>
      </c>
      <c r="C30" s="24" t="s">
        <v>883</v>
      </c>
      <c r="D30" s="24" t="s">
        <v>1192</v>
      </c>
      <c r="E30" s="24" t="s">
        <v>1193</v>
      </c>
      <c r="F30" s="24" t="s">
        <v>1194</v>
      </c>
      <c r="G30" s="25" t="str" cm="1">
        <f t="array" ref="G30">INDEX(Gebieden_in_Nederland_2023_2403!H:H,MATCH('municipalities per province'!B30,Gebieden_in_Nederland_2023_2403!B:B,0),0)</f>
        <v>MetropoolregioEindhoven</v>
      </c>
      <c r="H30" s="24" t="str" cm="1">
        <f t="array" ref="H30">INDEX(Gebieden_in_Nederland_2023_2403!G:G,MATCH('municipalities per province'!B30,Gebieden_in_Nederland_2023_2403!B:B,0),0)</f>
        <v>ES26</v>
      </c>
    </row>
    <row r="31" spans="1:8" x14ac:dyDescent="0.25">
      <c r="A31" s="24" t="s">
        <v>723</v>
      </c>
      <c r="B31" s="24" t="s">
        <v>722</v>
      </c>
      <c r="C31" s="24" t="s">
        <v>724</v>
      </c>
      <c r="D31" s="24" t="s">
        <v>1197</v>
      </c>
      <c r="E31" s="24" t="s">
        <v>1198</v>
      </c>
      <c r="F31" s="24" t="s">
        <v>1199</v>
      </c>
      <c r="G31" s="25" t="str" cm="1">
        <f t="array" ref="G31">INDEX(Gebieden_in_Nederland_2023_2403!H:H,MATCH('municipalities per province'!B31,Gebieden_in_Nederland_2023_2403!B:B,0),0)</f>
        <v>Noord-enMidden-Limburg</v>
      </c>
      <c r="H31" s="24" t="str" cm="1">
        <f t="array" ref="H31">INDEX(Gebieden_in_Nederland_2023_2403!G:G,MATCH('municipalities per province'!B31,Gebieden_in_Nederland_2023_2403!B:B,0),0)</f>
        <v>ES29</v>
      </c>
    </row>
    <row r="32" spans="1:8" x14ac:dyDescent="0.25">
      <c r="A32" s="24" t="s">
        <v>342</v>
      </c>
      <c r="B32" s="24" t="s">
        <v>341</v>
      </c>
      <c r="C32" s="24" t="s">
        <v>343</v>
      </c>
      <c r="D32" s="24" t="s">
        <v>1175</v>
      </c>
      <c r="E32" s="24" t="s">
        <v>1176</v>
      </c>
      <c r="F32" s="24" t="s">
        <v>1177</v>
      </c>
      <c r="G32" s="25" t="str" cm="1">
        <f t="array" ref="G32">INDEX(Gebieden_in_Nederland_2023_2403!H:H,MATCH('municipalities per province'!B32,Gebieden_in_Nederland_2023_2403!B:B,0),0)</f>
        <v>Noord-HollandNoord</v>
      </c>
      <c r="H32" s="24" t="str" cm="1">
        <f t="array" ref="H32">INDEX(Gebieden_in_Nederland_2023_2403!G:G,MATCH('municipalities per province'!B32,Gebieden_in_Nederland_2023_2403!B:B,0),0)</f>
        <v>ES15</v>
      </c>
    </row>
    <row r="33" spans="1:8" x14ac:dyDescent="0.25">
      <c r="A33" s="24" t="s">
        <v>597</v>
      </c>
      <c r="B33" s="24" t="s">
        <v>596</v>
      </c>
      <c r="C33" s="24" t="s">
        <v>598</v>
      </c>
      <c r="D33" s="24" t="s">
        <v>1192</v>
      </c>
      <c r="E33" s="24" t="s">
        <v>1193</v>
      </c>
      <c r="F33" s="24" t="s">
        <v>1194</v>
      </c>
      <c r="G33" s="25" t="str" cm="1">
        <f t="array" ref="G33">INDEX(Gebieden_in_Nederland_2023_2403!H:H,MATCH('municipalities per province'!B33,Gebieden_in_Nederland_2023_2403!B:B,0),0)</f>
        <v>West-Brabant</v>
      </c>
      <c r="H33" s="24" t="str" cm="1">
        <f t="array" ref="H33">INDEX(Gebieden_in_Nederland_2023_2403!G:G,MATCH('municipalities per province'!B33,Gebieden_in_Nederland_2023_2403!B:B,0),0)</f>
        <v>ES28</v>
      </c>
    </row>
    <row r="34" spans="1:8" x14ac:dyDescent="0.25">
      <c r="A34" s="24" t="s">
        <v>924</v>
      </c>
      <c r="B34" s="24" t="s">
        <v>923</v>
      </c>
      <c r="C34" s="24" t="s">
        <v>925</v>
      </c>
      <c r="D34" s="24" t="s">
        <v>1178</v>
      </c>
      <c r="E34" s="24" t="s">
        <v>1179</v>
      </c>
      <c r="F34" s="24" t="s">
        <v>1180</v>
      </c>
      <c r="G34" s="25" t="str" cm="1">
        <f t="array" ref="G34">INDEX(Gebieden_in_Nederland_2023_2403!H:H,MATCH('municipalities per province'!B34,Gebieden_in_Nederland_2023_2403!B:B,0),0)</f>
        <v>Achterhoek</v>
      </c>
      <c r="H34" s="24" t="str" cm="1">
        <f t="array" ref="H34">INDEX(Gebieden_in_Nederland_2023_2403!G:G,MATCH('municipalities per province'!B34,Gebieden_in_Nederland_2023_2403!B:B,0),0)</f>
        <v>ES07</v>
      </c>
    </row>
    <row r="35" spans="1:8" x14ac:dyDescent="0.25">
      <c r="A35" s="24" t="s">
        <v>876</v>
      </c>
      <c r="B35" s="24" t="s">
        <v>875</v>
      </c>
      <c r="C35" s="24" t="s">
        <v>877</v>
      </c>
      <c r="D35" s="24" t="s">
        <v>1192</v>
      </c>
      <c r="E35" s="24" t="s">
        <v>1193</v>
      </c>
      <c r="F35" s="24" t="s">
        <v>1194</v>
      </c>
      <c r="G35" s="25" t="str" cm="1">
        <f t="array" ref="G35">INDEX(Gebieden_in_Nederland_2023_2403!H:H,MATCH('municipalities per province'!B35,Gebieden_in_Nederland_2023_2403!B:B,0),0)</f>
        <v>Noordoost-Brabant</v>
      </c>
      <c r="H35" s="24" t="str" cm="1">
        <f t="array" ref="H35">INDEX(Gebieden_in_Nederland_2023_2403!G:G,MATCH('municipalities per province'!B35,Gebieden_in_Nederland_2023_2403!B:B,0),0)</f>
        <v>ES27</v>
      </c>
    </row>
    <row r="36" spans="1:8" x14ac:dyDescent="0.25">
      <c r="A36" s="24" t="s">
        <v>600</v>
      </c>
      <c r="B36" s="24" t="s">
        <v>599</v>
      </c>
      <c r="C36" s="24" t="s">
        <v>601</v>
      </c>
      <c r="D36" s="24" t="s">
        <v>1192</v>
      </c>
      <c r="E36" s="24" t="s">
        <v>1193</v>
      </c>
      <c r="F36" s="24" t="s">
        <v>1194</v>
      </c>
      <c r="G36" s="25" t="str" cm="1">
        <f t="array" ref="G36">INDEX(Gebieden_in_Nederland_2023_2403!H:H,MATCH('municipalities per province'!B36,Gebieden_in_Nederland_2023_2403!B:B,0),0)</f>
        <v>MetropoolregioEindhoven</v>
      </c>
      <c r="H36" s="24" t="str" cm="1">
        <f t="array" ref="H36">INDEX(Gebieden_in_Nederland_2023_2403!G:G,MATCH('municipalities per province'!B36,Gebieden_in_Nederland_2023_2403!B:B,0),0)</f>
        <v>ES26</v>
      </c>
    </row>
    <row r="37" spans="1:8" x14ac:dyDescent="0.25">
      <c r="A37" s="24" t="s">
        <v>159</v>
      </c>
      <c r="B37" s="24" t="s">
        <v>158</v>
      </c>
      <c r="C37" s="24" t="s">
        <v>160</v>
      </c>
      <c r="D37" s="24" t="s">
        <v>1178</v>
      </c>
      <c r="E37" s="24" t="s">
        <v>1179</v>
      </c>
      <c r="F37" s="24" t="s">
        <v>1180</v>
      </c>
      <c r="G37" s="25" t="str" cm="1">
        <f t="array" ref="G37">INDEX(Gebieden_in_Nederland_2023_2403!H:H,MATCH('municipalities per province'!B37,Gebieden_in_Nederland_2023_2403!B:B,0),0)</f>
        <v>Arnhem/Nijmegen</v>
      </c>
      <c r="H37" s="24" t="str" cm="1">
        <f t="array" ref="H37">INDEX(Gebieden_in_Nederland_2023_2403!G:G,MATCH('municipalities per province'!B37,Gebieden_in_Nederland_2023_2403!B:B,0),0)</f>
        <v>ES08</v>
      </c>
    </row>
    <row r="38" spans="1:8" x14ac:dyDescent="0.25">
      <c r="A38" s="24" t="s">
        <v>345</v>
      </c>
      <c r="B38" s="24" t="s">
        <v>344</v>
      </c>
      <c r="C38" s="24" t="s">
        <v>346</v>
      </c>
      <c r="D38" s="24" t="s">
        <v>1175</v>
      </c>
      <c r="E38" s="24" t="s">
        <v>1176</v>
      </c>
      <c r="F38" s="24" t="s">
        <v>1177</v>
      </c>
      <c r="G38" s="25" t="str" cm="1">
        <f t="array" ref="G38">INDEX(Gebieden_in_Nederland_2023_2403!H:H,MATCH('municipalities per province'!B38,Gebieden_in_Nederland_2023_2403!B:B,0),0)</f>
        <v>Noord-HollandZuid</v>
      </c>
      <c r="H38" s="24" t="str" cm="1">
        <f t="array" ref="H38">INDEX(Gebieden_in_Nederland_2023_2403!G:G,MATCH('municipalities per province'!B38,Gebieden_in_Nederland_2023_2403!B:B,0),0)</f>
        <v>ES16</v>
      </c>
    </row>
    <row r="39" spans="1:8" x14ac:dyDescent="0.25">
      <c r="A39" s="24" t="s">
        <v>276</v>
      </c>
      <c r="B39" s="24" t="s">
        <v>275</v>
      </c>
      <c r="C39" s="24" t="s">
        <v>277</v>
      </c>
      <c r="D39" s="24" t="s">
        <v>1195</v>
      </c>
      <c r="E39" s="24" t="s">
        <v>1196</v>
      </c>
      <c r="F39" s="24" t="s">
        <v>310</v>
      </c>
      <c r="G39" s="25" t="str" cm="1">
        <f t="array" ref="G39">INDEX(Gebieden_in_Nederland_2023_2403!H:H,MATCH('municipalities per province'!B39,Gebieden_in_Nederland_2023_2403!B:B,0),0)</f>
        <v>U16</v>
      </c>
      <c r="H39" s="24" t="str" cm="1">
        <f t="array" ref="H39">INDEX(Gebieden_in_Nederland_2023_2403!G:G,MATCH('municipalities per province'!B39,Gebieden_in_Nederland_2023_2403!B:B,0),0)</f>
        <v>ES14</v>
      </c>
    </row>
    <row r="40" spans="1:8" x14ac:dyDescent="0.25">
      <c r="A40" s="24" t="s">
        <v>885</v>
      </c>
      <c r="B40" s="24" t="s">
        <v>884</v>
      </c>
      <c r="C40" s="24" t="s">
        <v>886</v>
      </c>
      <c r="D40" s="24" t="s">
        <v>1192</v>
      </c>
      <c r="E40" s="24" t="s">
        <v>1193</v>
      </c>
      <c r="F40" s="24" t="s">
        <v>1194</v>
      </c>
      <c r="G40" s="25" t="str" cm="1">
        <f t="array" ref="G40">INDEX(Gebieden_in_Nederland_2023_2403!H:H,MATCH('municipalities per province'!B40,Gebieden_in_Nederland_2023_2403!B:B,0),0)</f>
        <v>MetropoolregioEindhoven</v>
      </c>
      <c r="H40" s="24" t="str" cm="1">
        <f t="array" ref="H40">INDEX(Gebieden_in_Nederland_2023_2403!G:G,MATCH('municipalities per province'!B40,Gebieden_in_Nederland_2023_2403!B:B,0),0)</f>
        <v>ES26</v>
      </c>
    </row>
    <row r="41" spans="1:8" x14ac:dyDescent="0.25">
      <c r="A41" s="24" t="s">
        <v>348</v>
      </c>
      <c r="B41" s="24" t="s">
        <v>347</v>
      </c>
      <c r="C41" s="24" t="s">
        <v>349</v>
      </c>
      <c r="D41" s="24" t="s">
        <v>1175</v>
      </c>
      <c r="E41" s="24" t="s">
        <v>1176</v>
      </c>
      <c r="F41" s="24" t="s">
        <v>1177</v>
      </c>
      <c r="G41" s="25" t="str" cm="1">
        <f t="array" ref="G41">INDEX(Gebieden_in_Nederland_2023_2403!H:H,MATCH('municipalities per province'!B41,Gebieden_in_Nederland_2023_2403!B:B,0),0)</f>
        <v>Noord-HollandZuid</v>
      </c>
      <c r="H41" s="24" t="str" cm="1">
        <f t="array" ref="H41">INDEX(Gebieden_in_Nederland_2023_2403!G:G,MATCH('municipalities per province'!B41,Gebieden_in_Nederland_2023_2403!B:B,0),0)</f>
        <v>ES16</v>
      </c>
    </row>
    <row r="42" spans="1:8" x14ac:dyDescent="0.25">
      <c r="A42" s="24" t="s">
        <v>351</v>
      </c>
      <c r="B42" s="24" t="s">
        <v>350</v>
      </c>
      <c r="C42" s="24" t="s">
        <v>352</v>
      </c>
      <c r="D42" s="24" t="s">
        <v>1175</v>
      </c>
      <c r="E42" s="24" t="s">
        <v>1176</v>
      </c>
      <c r="F42" s="24" t="s">
        <v>1177</v>
      </c>
      <c r="G42" s="25" t="str" cm="1">
        <f t="array" ref="G42">INDEX(Gebieden_in_Nederland_2023_2403!H:H,MATCH('municipalities per province'!B42,Gebieden_in_Nederland_2023_2403!B:B,0),0)</f>
        <v>Noord-HollandZuid</v>
      </c>
      <c r="H42" s="24" t="str" cm="1">
        <f t="array" ref="H42">INDEX(Gebieden_in_Nederland_2023_2403!G:G,MATCH('municipalities per province'!B42,Gebieden_in_Nederland_2023_2403!B:B,0),0)</f>
        <v>ES16</v>
      </c>
    </row>
    <row r="43" spans="1:8" x14ac:dyDescent="0.25">
      <c r="A43" s="24" t="s">
        <v>954</v>
      </c>
      <c r="B43" s="24" t="s">
        <v>953</v>
      </c>
      <c r="C43" s="24" t="s">
        <v>955</v>
      </c>
      <c r="D43" s="24" t="s">
        <v>1183</v>
      </c>
      <c r="E43" s="24" t="s">
        <v>1184</v>
      </c>
      <c r="F43" s="24" t="s">
        <v>1185</v>
      </c>
      <c r="G43" s="25" t="str" cm="1">
        <f t="array" ref="G43">INDEX(Gebieden_in_Nederland_2023_2403!H:H,MATCH('municipalities per province'!B43,Gebieden_in_Nederland_2023_2403!B:B,0),0)</f>
        <v>Midden-Holland</v>
      </c>
      <c r="H43" s="24" t="str" cm="1">
        <f t="array" ref="H43">INDEX(Gebieden_in_Nederland_2023_2403!G:G,MATCH('municipalities per province'!B43,Gebieden_in_Nederland_2023_2403!B:B,0),0)</f>
        <v>ES22</v>
      </c>
    </row>
    <row r="44" spans="1:8" x14ac:dyDescent="0.25">
      <c r="A44" s="24" t="s">
        <v>603</v>
      </c>
      <c r="B44" s="24" t="s">
        <v>602</v>
      </c>
      <c r="C44" s="24" t="s">
        <v>604</v>
      </c>
      <c r="D44" s="24" t="s">
        <v>1192</v>
      </c>
      <c r="E44" s="24" t="s">
        <v>1193</v>
      </c>
      <c r="F44" s="24" t="s">
        <v>1194</v>
      </c>
      <c r="G44" s="25" t="str" cm="1">
        <f t="array" ref="G44">INDEX(Gebieden_in_Nederland_2023_2403!H:H,MATCH('municipalities per province'!B44,Gebieden_in_Nederland_2023_2403!B:B,0),0)</f>
        <v>Noordoost-Brabant</v>
      </c>
      <c r="H44" s="24" t="str" cm="1">
        <f t="array" ref="H44">INDEX(Gebieden_in_Nederland_2023_2403!G:G,MATCH('municipalities per province'!B44,Gebieden_in_Nederland_2023_2403!B:B,0),0)</f>
        <v>ES27</v>
      </c>
    </row>
    <row r="45" spans="1:8" x14ac:dyDescent="0.25">
      <c r="A45" s="24" t="s">
        <v>834</v>
      </c>
      <c r="B45" s="24" t="s">
        <v>833</v>
      </c>
      <c r="C45" s="24" t="s">
        <v>835</v>
      </c>
      <c r="D45" s="24" t="s">
        <v>1172</v>
      </c>
      <c r="E45" s="24" t="s">
        <v>1173</v>
      </c>
      <c r="F45" s="24" t="s">
        <v>1174</v>
      </c>
      <c r="G45" s="25" t="str" cm="1">
        <f t="array" ref="G45">INDEX(Gebieden_in_Nederland_2023_2403!H:H,MATCH('municipalities per province'!B45,Gebieden_in_Nederland_2023_2403!B:B,0),0)</f>
        <v>Drenthe</v>
      </c>
      <c r="H45" s="24" t="str" cm="1">
        <f t="array" ref="H45">INDEX(Gebieden_in_Nederland_2023_2403!G:G,MATCH('municipalities per province'!B45,Gebieden_in_Nederland_2023_2403!B:B,0),0)</f>
        <v>ES03</v>
      </c>
    </row>
    <row r="46" spans="1:8" x14ac:dyDescent="0.25">
      <c r="A46" s="24" t="s">
        <v>90</v>
      </c>
      <c r="B46" s="24" t="s">
        <v>89</v>
      </c>
      <c r="C46" s="24" t="s">
        <v>91</v>
      </c>
      <c r="D46" s="24" t="s">
        <v>1186</v>
      </c>
      <c r="E46" s="24" t="s">
        <v>1187</v>
      </c>
      <c r="F46" s="24" t="s">
        <v>1188</v>
      </c>
      <c r="G46" s="25" t="str" cm="1">
        <f t="array" ref="G46">INDEX(Gebieden_in_Nederland_2023_2403!H:H,MATCH('municipalities per province'!B46,Gebieden_in_Nederland_2023_2403!B:B,0),0)</f>
        <v>Twente</v>
      </c>
      <c r="H46" s="24" t="str" cm="1">
        <f t="array" ref="H46">INDEX(Gebieden_in_Nederland_2023_2403!G:G,MATCH('municipalities per province'!B46,Gebieden_in_Nederland_2023_2403!B:B,0),0)</f>
        <v>ES04</v>
      </c>
    </row>
    <row r="47" spans="1:8" x14ac:dyDescent="0.25">
      <c r="A47" s="24" t="s">
        <v>552</v>
      </c>
      <c r="B47" s="24" t="s">
        <v>551</v>
      </c>
      <c r="C47" s="24" t="s">
        <v>553</v>
      </c>
      <c r="D47" s="24" t="s">
        <v>1200</v>
      </c>
      <c r="E47" s="24" t="s">
        <v>1201</v>
      </c>
      <c r="F47" s="24" t="s">
        <v>1202</v>
      </c>
      <c r="G47" s="25" t="str" cm="1">
        <f t="array" ref="G47">INDEX(Gebieden_in_Nederland_2023_2403!H:H,MATCH('municipalities per province'!B47,Gebieden_in_Nederland_2023_2403!B:B,0),0)</f>
        <v>Zeeland</v>
      </c>
      <c r="H47" s="24" t="str" cm="1">
        <f t="array" ref="H47">INDEX(Gebieden_in_Nederland_2023_2403!G:G,MATCH('municipalities per province'!B47,Gebieden_in_Nederland_2023_2403!B:B,0),0)</f>
        <v>ES24</v>
      </c>
    </row>
    <row r="48" spans="1:8" x14ac:dyDescent="0.25">
      <c r="A48" s="24" t="s">
        <v>606</v>
      </c>
      <c r="B48" s="24" t="s">
        <v>605</v>
      </c>
      <c r="C48" s="24" t="s">
        <v>607</v>
      </c>
      <c r="D48" s="24" t="s">
        <v>1192</v>
      </c>
      <c r="E48" s="24" t="s">
        <v>1193</v>
      </c>
      <c r="F48" s="24" t="s">
        <v>1194</v>
      </c>
      <c r="G48" s="25" t="str" cm="1">
        <f t="array" ref="G48">INDEX(Gebieden_in_Nederland_2023_2403!H:H,MATCH('municipalities per province'!B48,Gebieden_in_Nederland_2023_2403!B:B,0),0)</f>
        <v>Noordoost-Brabant</v>
      </c>
      <c r="H48" s="24" t="str" cm="1">
        <f t="array" ref="H48">INDEX(Gebieden_in_Nederland_2023_2403!G:G,MATCH('municipalities per province'!B48,Gebieden_in_Nederland_2023_2403!B:B,0),0)</f>
        <v>ES27</v>
      </c>
    </row>
    <row r="49" spans="1:8" x14ac:dyDescent="0.25">
      <c r="A49" s="24" t="s">
        <v>609</v>
      </c>
      <c r="B49" s="24" t="s">
        <v>608</v>
      </c>
      <c r="C49" s="24" t="s">
        <v>610</v>
      </c>
      <c r="D49" s="24" t="s">
        <v>1192</v>
      </c>
      <c r="E49" s="24" t="s">
        <v>1193</v>
      </c>
      <c r="F49" s="24" t="s">
        <v>1194</v>
      </c>
      <c r="G49" s="25" t="str" cm="1">
        <f t="array" ref="G49">INDEX(Gebieden_in_Nederland_2023_2403!H:H,MATCH('municipalities per province'!B49,Gebieden_in_Nederland_2023_2403!B:B,0),0)</f>
        <v>West-Brabant</v>
      </c>
      <c r="H49" s="24" t="str" cm="1">
        <f t="array" ref="H49">INDEX(Gebieden_in_Nederland_2023_2403!G:G,MATCH('municipalities per province'!B49,Gebieden_in_Nederland_2023_2403!B:B,0),0)</f>
        <v>ES28</v>
      </c>
    </row>
    <row r="50" spans="1:8" x14ac:dyDescent="0.25">
      <c r="A50" s="24" t="s">
        <v>927</v>
      </c>
      <c r="B50" s="24" t="s">
        <v>926</v>
      </c>
      <c r="C50" s="24" t="s">
        <v>928</v>
      </c>
      <c r="D50" s="24" t="s">
        <v>1178</v>
      </c>
      <c r="E50" s="24" t="s">
        <v>1179</v>
      </c>
      <c r="F50" s="24" t="s">
        <v>1180</v>
      </c>
      <c r="G50" s="25" t="str" cm="1">
        <f t="array" ref="G50">INDEX(Gebieden_in_Nederland_2023_2403!H:H,MATCH('municipalities per province'!B50,Gebieden_in_Nederland_2023_2403!B:B,0),0)</f>
        <v>Achterhoek</v>
      </c>
      <c r="H50" s="24" t="str" cm="1">
        <f t="array" ref="H50">INDEX(Gebieden_in_Nederland_2023_2403!G:G,MATCH('municipalities per province'!B50,Gebieden_in_Nederland_2023_2403!B:B,0),0)</f>
        <v>ES07</v>
      </c>
    </row>
    <row r="51" spans="1:8" x14ac:dyDescent="0.25">
      <c r="A51" s="24" t="s">
        <v>162</v>
      </c>
      <c r="B51" s="24" t="s">
        <v>161</v>
      </c>
      <c r="C51" s="24" t="s">
        <v>163</v>
      </c>
      <c r="D51" s="24" t="s">
        <v>1178</v>
      </c>
      <c r="E51" s="24" t="s">
        <v>1179</v>
      </c>
      <c r="F51" s="24" t="s">
        <v>1180</v>
      </c>
      <c r="G51" s="25" t="str" cm="1">
        <f t="array" ref="G51">INDEX(Gebieden_in_Nederland_2023_2403!H:H,MATCH('municipalities per province'!B51,Gebieden_in_Nederland_2023_2403!B:B,0),0)</f>
        <v>Cleantech</v>
      </c>
      <c r="H51" s="24" t="str" cm="1">
        <f t="array" ref="H51">INDEX(Gebieden_in_Nederland_2023_2403!G:G,MATCH('municipalities per province'!B51,Gebieden_in_Nederland_2023_2403!B:B,0),0)</f>
        <v>ES12</v>
      </c>
    </row>
    <row r="52" spans="1:8" x14ac:dyDescent="0.25">
      <c r="A52" s="24" t="s">
        <v>726</v>
      </c>
      <c r="B52" s="24" t="s">
        <v>725</v>
      </c>
      <c r="C52" s="24" t="s">
        <v>727</v>
      </c>
      <c r="D52" s="24" t="s">
        <v>1197</v>
      </c>
      <c r="E52" s="24" t="s">
        <v>1198</v>
      </c>
      <c r="F52" s="24" t="s">
        <v>1199</v>
      </c>
      <c r="G52" s="25" t="str" cm="1">
        <f t="array" ref="G52">INDEX(Gebieden_in_Nederland_2023_2403!H:H,MATCH('municipalities per province'!B52,Gebieden_in_Nederland_2023_2403!B:B,0),0)</f>
        <v>Zuid-Limburg</v>
      </c>
      <c r="H52" s="24" t="str" cm="1">
        <f t="array" ref="H52">INDEX(Gebieden_in_Nederland_2023_2403!G:G,MATCH('municipalities per province'!B52,Gebieden_in_Nederland_2023_2403!B:B,0),0)</f>
        <v>ES30</v>
      </c>
    </row>
    <row r="53" spans="1:8" x14ac:dyDescent="0.25">
      <c r="A53" s="24" t="s">
        <v>279</v>
      </c>
      <c r="B53" s="24" t="s">
        <v>278</v>
      </c>
      <c r="C53" s="24" t="s">
        <v>280</v>
      </c>
      <c r="D53" s="24" t="s">
        <v>1195</v>
      </c>
      <c r="E53" s="24" t="s">
        <v>1196</v>
      </c>
      <c r="F53" s="24" t="s">
        <v>310</v>
      </c>
      <c r="G53" s="25" t="str" cm="1">
        <f t="array" ref="G53">INDEX(Gebieden_in_Nederland_2023_2403!H:H,MATCH('municipalities per province'!B53,Gebieden_in_Nederland_2023_2403!B:B,0),0)</f>
        <v>U16</v>
      </c>
      <c r="H53" s="24" t="str" cm="1">
        <f t="array" ref="H53">INDEX(Gebieden_in_Nederland_2023_2403!G:G,MATCH('municipalities per province'!B53,Gebieden_in_Nederland_2023_2403!B:B,0),0)</f>
        <v>ES14</v>
      </c>
    </row>
    <row r="54" spans="1:8" x14ac:dyDescent="0.25">
      <c r="A54" s="24" t="s">
        <v>282</v>
      </c>
      <c r="B54" s="24" t="s">
        <v>281</v>
      </c>
      <c r="C54" s="24" t="s">
        <v>283</v>
      </c>
      <c r="D54" s="24" t="s">
        <v>1195</v>
      </c>
      <c r="E54" s="24" t="s">
        <v>1196</v>
      </c>
      <c r="F54" s="24" t="s">
        <v>310</v>
      </c>
      <c r="G54" s="25" t="str" cm="1">
        <f t="array" ref="G54">INDEX(Gebieden_in_Nederland_2023_2403!H:H,MATCH('municipalities per province'!B54,Gebieden_in_Nederland_2023_2403!B:B,0),0)</f>
        <v>Amersfoort</v>
      </c>
      <c r="H54" s="24" t="str" cm="1">
        <f t="array" ref="H54">INDEX(Gebieden_in_Nederland_2023_2403!G:G,MATCH('municipalities per province'!B54,Gebieden_in_Nederland_2023_2403!B:B,0),0)</f>
        <v>ES13</v>
      </c>
    </row>
    <row r="55" spans="1:8" x14ac:dyDescent="0.25">
      <c r="A55" s="24" t="s">
        <v>165</v>
      </c>
      <c r="B55" s="24" t="s">
        <v>164</v>
      </c>
      <c r="C55" s="24" t="s">
        <v>166</v>
      </c>
      <c r="D55" s="24" t="s">
        <v>1178</v>
      </c>
      <c r="E55" s="24" t="s">
        <v>1179</v>
      </c>
      <c r="F55" s="24" t="s">
        <v>1180</v>
      </c>
      <c r="G55" s="25" t="str" cm="1">
        <f t="array" ref="G55">INDEX(Gebieden_in_Nederland_2023_2403!H:H,MATCH('municipalities per province'!B55,Gebieden_in_Nederland_2023_2403!B:B,0),0)</f>
        <v>FruitdeltaRivierenland</v>
      </c>
      <c r="H55" s="24" t="str" cm="1">
        <f t="array" ref="H55">INDEX(Gebieden_in_Nederland_2023_2403!G:G,MATCH('municipalities per province'!B55,Gebieden_in_Nederland_2023_2403!B:B,0),0)</f>
        <v>ES11</v>
      </c>
    </row>
    <row r="56" spans="1:8" x14ac:dyDescent="0.25">
      <c r="A56" s="24" t="s">
        <v>447</v>
      </c>
      <c r="B56" s="24" t="s">
        <v>446</v>
      </c>
      <c r="C56" s="24" t="s">
        <v>448</v>
      </c>
      <c r="D56" s="24" t="s">
        <v>1183</v>
      </c>
      <c r="E56" s="24" t="s">
        <v>1184</v>
      </c>
      <c r="F56" s="24" t="s">
        <v>1185</v>
      </c>
      <c r="G56" s="25" t="str" cm="1">
        <f t="array" ref="G56">INDEX(Gebieden_in_Nederland_2023_2403!H:H,MATCH('municipalities per province'!B56,Gebieden_in_Nederland_2023_2403!B:B,0),0)</f>
        <v>Rotterdam/DenHaag</v>
      </c>
      <c r="H56" s="24" t="str" cm="1">
        <f t="array" ref="H56">INDEX(Gebieden_in_Nederland_2023_2403!G:G,MATCH('municipalities per province'!B56,Gebieden_in_Nederland_2023_2403!B:B,0),0)</f>
        <v>ES23</v>
      </c>
    </row>
    <row r="57" spans="1:8" x14ac:dyDescent="0.25">
      <c r="A57" s="24" t="s">
        <v>354</v>
      </c>
      <c r="B57" s="24" t="s">
        <v>353</v>
      </c>
      <c r="C57" s="24" t="s">
        <v>355</v>
      </c>
      <c r="D57" s="24" t="s">
        <v>1175</v>
      </c>
      <c r="E57" s="24" t="s">
        <v>1176</v>
      </c>
      <c r="F57" s="24" t="s">
        <v>1177</v>
      </c>
      <c r="G57" s="25" t="str" cm="1">
        <f t="array" ref="G57">INDEX(Gebieden_in_Nederland_2023_2403!H:H,MATCH('municipalities per province'!B57,Gebieden_in_Nederland_2023_2403!B:B,0),0)</f>
        <v>Noord-HollandNoord</v>
      </c>
      <c r="H57" s="24" t="str" cm="1">
        <f t="array" ref="H57">INDEX(Gebieden_in_Nederland_2023_2403!G:G,MATCH('municipalities per province'!B57,Gebieden_in_Nederland_2023_2403!B:B,0),0)</f>
        <v>ES15</v>
      </c>
    </row>
    <row r="58" spans="1:8" x14ac:dyDescent="0.25">
      <c r="A58" s="24" t="s">
        <v>75</v>
      </c>
      <c r="B58" s="24" t="s">
        <v>74</v>
      </c>
      <c r="C58" s="24" t="s">
        <v>76</v>
      </c>
      <c r="D58" s="24" t="s">
        <v>1172</v>
      </c>
      <c r="E58" s="24" t="s">
        <v>1173</v>
      </c>
      <c r="F58" s="24" t="s">
        <v>1174</v>
      </c>
      <c r="G58" s="25" t="str" cm="1">
        <f t="array" ref="G58">INDEX(Gebieden_in_Nederland_2023_2403!H:H,MATCH('municipalities per province'!B58,Gebieden_in_Nederland_2023_2403!B:B,0),0)</f>
        <v>Drenthe</v>
      </c>
      <c r="H58" s="24" t="str" cm="1">
        <f t="array" ref="H58">INDEX(Gebieden_in_Nederland_2023_2403!G:G,MATCH('municipalities per province'!B58,Gebieden_in_Nederland_2023_2403!B:B,0),0)</f>
        <v>ES03</v>
      </c>
    </row>
    <row r="59" spans="1:8" x14ac:dyDescent="0.25">
      <c r="A59" s="24" t="s">
        <v>858</v>
      </c>
      <c r="B59" s="24" t="s">
        <v>857</v>
      </c>
      <c r="C59" s="24" t="s">
        <v>859</v>
      </c>
      <c r="D59" s="24" t="s">
        <v>1192</v>
      </c>
      <c r="E59" s="24" t="s">
        <v>1193</v>
      </c>
      <c r="F59" s="24" t="s">
        <v>1194</v>
      </c>
      <c r="G59" s="25" t="str" cm="1">
        <f t="array" ref="G59">INDEX(Gebieden_in_Nederland_2023_2403!H:H,MATCH('municipalities per province'!B59,Gebieden_in_Nederland_2023_2403!B:B,0),0)</f>
        <v>MetropoolregioEindhoven</v>
      </c>
      <c r="H59" s="24" t="str" cm="1">
        <f t="array" ref="H59">INDEX(Gebieden_in_Nederland_2023_2403!G:G,MATCH('municipalities per province'!B59,Gebieden_in_Nederland_2023_2403!B:B,0),0)</f>
        <v>ES26</v>
      </c>
    </row>
    <row r="60" spans="1:8" x14ac:dyDescent="0.25">
      <c r="A60" s="24" t="s">
        <v>168</v>
      </c>
      <c r="B60" s="24" t="s">
        <v>167</v>
      </c>
      <c r="C60" s="24" t="s">
        <v>169</v>
      </c>
      <c r="D60" s="24" t="s">
        <v>1178</v>
      </c>
      <c r="E60" s="24" t="s">
        <v>1179</v>
      </c>
      <c r="F60" s="24" t="s">
        <v>1180</v>
      </c>
      <c r="G60" s="25" t="str" cm="1">
        <f t="array" ref="G60">INDEX(Gebieden_in_Nederland_2023_2403!H:H,MATCH('municipalities per province'!B60,Gebieden_in_Nederland_2023_2403!B:B,0),0)</f>
        <v>FruitdeltaRivierenland</v>
      </c>
      <c r="H60" s="24" t="str" cm="1">
        <f t="array" ref="H60">INDEX(Gebieden_in_Nederland_2023_2403!G:G,MATCH('municipalities per province'!B60,Gebieden_in_Nederland_2023_2403!B:B,0),0)</f>
        <v>ES11</v>
      </c>
    </row>
    <row r="61" spans="1:8" x14ac:dyDescent="0.25">
      <c r="A61" s="24" t="s">
        <v>93</v>
      </c>
      <c r="B61" s="24" t="s">
        <v>92</v>
      </c>
      <c r="C61" s="24" t="s">
        <v>94</v>
      </c>
      <c r="D61" s="24" t="s">
        <v>1186</v>
      </c>
      <c r="E61" s="24" t="s">
        <v>1187</v>
      </c>
      <c r="F61" s="24" t="s">
        <v>1188</v>
      </c>
      <c r="G61" s="25" t="str" cm="1">
        <f t="array" ref="G61">INDEX(Gebieden_in_Nederland_2023_2403!H:H,MATCH('municipalities per province'!B61,Gebieden_in_Nederland_2023_2403!B:B,0),0)</f>
        <v>West-Overijssel</v>
      </c>
      <c r="H61" s="24" t="str" cm="1">
        <f t="array" ref="H61">INDEX(Gebieden_in_Nederland_2023_2403!G:G,MATCH('municipalities per province'!B61,Gebieden_in_Nederland_2023_2403!B:B,0),0)</f>
        <v>ES05</v>
      </c>
    </row>
    <row r="62" spans="1:8" x14ac:dyDescent="0.25">
      <c r="A62" s="24" t="s">
        <v>936</v>
      </c>
      <c r="B62" s="24" t="s">
        <v>935</v>
      </c>
      <c r="C62" s="24" t="s">
        <v>937</v>
      </c>
      <c r="D62" s="24" t="s">
        <v>1181</v>
      </c>
      <c r="E62" s="24" t="s">
        <v>1182</v>
      </c>
      <c r="F62" s="24" t="s">
        <v>1205</v>
      </c>
      <c r="G62" s="25" t="str" cm="1">
        <f t="array" ref="G62">INDEX(Gebieden_in_Nederland_2023_2403!H:H,MATCH('municipalities per province'!B62,Gebieden_in_Nederland_2023_2403!B:B,0),0)</f>
        <v>Friesland</v>
      </c>
      <c r="H62" s="24" t="str" cm="1">
        <f t="array" ref="H62">INDEX(Gebieden_in_Nederland_2023_2403!G:G,MATCH('municipalities per province'!B62,Gebieden_in_Nederland_2023_2403!B:B,0),0)</f>
        <v>ES02</v>
      </c>
    </row>
    <row r="63" spans="1:8" x14ac:dyDescent="0.25">
      <c r="A63" s="24" t="s">
        <v>450</v>
      </c>
      <c r="B63" s="24" t="s">
        <v>449</v>
      </c>
      <c r="C63" s="24" t="s">
        <v>451</v>
      </c>
      <c r="D63" s="24" t="s">
        <v>1183</v>
      </c>
      <c r="E63" s="24" t="s">
        <v>1184</v>
      </c>
      <c r="F63" s="24" t="s">
        <v>1185</v>
      </c>
      <c r="G63" s="25" t="str" cm="1">
        <f t="array" ref="G63">INDEX(Gebieden_in_Nederland_2023_2403!H:H,MATCH('municipalities per province'!B63,Gebieden_in_Nederland_2023_2403!B:B,0),0)</f>
        <v>Rotterdam/DenHaag</v>
      </c>
      <c r="H63" s="24" t="str" cm="1">
        <f t="array" ref="H63">INDEX(Gebieden_in_Nederland_2023_2403!G:G,MATCH('municipalities per province'!B63,Gebieden_in_Nederland_2023_2403!B:B,0),0)</f>
        <v>ES23</v>
      </c>
    </row>
    <row r="64" spans="1:8" x14ac:dyDescent="0.25">
      <c r="A64" s="24" t="s">
        <v>612</v>
      </c>
      <c r="B64" s="24" t="s">
        <v>611</v>
      </c>
      <c r="C64" s="24" t="s">
        <v>613</v>
      </c>
      <c r="D64" s="24" t="s">
        <v>1192</v>
      </c>
      <c r="E64" s="24" t="s">
        <v>1193</v>
      </c>
      <c r="F64" s="24" t="s">
        <v>1194</v>
      </c>
      <c r="G64" s="25" t="str" cm="1">
        <f t="array" ref="G64">INDEX(Gebieden_in_Nederland_2023_2403!H:H,MATCH('municipalities per province'!B64,Gebieden_in_Nederland_2023_2403!B:B,0),0)</f>
        <v>MetropoolregioEindhoven</v>
      </c>
      <c r="H64" s="24" t="str" cm="1">
        <f t="array" ref="H64">INDEX(Gebieden_in_Nederland_2023_2403!G:G,MATCH('municipalities per province'!B64,Gebieden_in_Nederland_2023_2403!B:B,0),0)</f>
        <v>ES26</v>
      </c>
    </row>
    <row r="65" spans="1:8" x14ac:dyDescent="0.25">
      <c r="A65" s="24" t="s">
        <v>96</v>
      </c>
      <c r="B65" s="24" t="s">
        <v>95</v>
      </c>
      <c r="C65" s="24" t="s">
        <v>97</v>
      </c>
      <c r="D65" s="24" t="s">
        <v>1186</v>
      </c>
      <c r="E65" s="24" t="s">
        <v>1187</v>
      </c>
      <c r="F65" s="24" t="s">
        <v>1188</v>
      </c>
      <c r="G65" s="25" t="str" cm="1">
        <f t="array" ref="G65">INDEX(Gebieden_in_Nederland_2023_2403!H:H,MATCH('municipalities per province'!B65,Gebieden_in_Nederland_2023_2403!B:B,0),0)</f>
        <v>West-Overijssel</v>
      </c>
      <c r="H65" s="24" t="str" cm="1">
        <f t="array" ref="H65">INDEX(Gebieden_in_Nederland_2023_2403!G:G,MATCH('municipalities per province'!B65,Gebieden_in_Nederland_2023_2403!B:B,0),0)</f>
        <v>ES05</v>
      </c>
    </row>
    <row r="66" spans="1:8" x14ac:dyDescent="0.25">
      <c r="A66" s="24" t="s">
        <v>357</v>
      </c>
      <c r="B66" s="24" t="s">
        <v>356</v>
      </c>
      <c r="C66" s="24" t="s">
        <v>358</v>
      </c>
      <c r="D66" s="24" t="s">
        <v>1175</v>
      </c>
      <c r="E66" s="24" t="s">
        <v>1176</v>
      </c>
      <c r="F66" s="24" t="s">
        <v>1177</v>
      </c>
      <c r="G66" s="25" t="str" cm="1">
        <f t="array" ref="G66">INDEX(Gebieden_in_Nederland_2023_2403!H:H,MATCH('municipalities per province'!B66,Gebieden_in_Nederland_2023_2403!B:B,0),0)</f>
        <v>Noord-HollandZuid</v>
      </c>
      <c r="H66" s="24" t="str" cm="1">
        <f t="array" ref="H66">INDEX(Gebieden_in_Nederland_2023_2403!G:G,MATCH('municipalities per province'!B66,Gebieden_in_Nederland_2023_2403!B:B,0),0)</f>
        <v>ES16</v>
      </c>
    </row>
    <row r="67" spans="1:8" x14ac:dyDescent="0.25">
      <c r="A67" s="24" t="s">
        <v>1035</v>
      </c>
      <c r="B67" s="24" t="s">
        <v>1034</v>
      </c>
      <c r="C67" s="24" t="s">
        <v>1036</v>
      </c>
      <c r="D67" s="24" t="s">
        <v>1175</v>
      </c>
      <c r="E67" s="24" t="s">
        <v>1176</v>
      </c>
      <c r="F67" s="24" t="s">
        <v>1177</v>
      </c>
      <c r="G67" s="25" t="str" cm="1">
        <f t="array" ref="G67">INDEX(Gebieden_in_Nederland_2023_2403!H:H,MATCH('municipalities per province'!B67,Gebieden_in_Nederland_2023_2403!B:B,0),0)</f>
        <v>Noord-HollandNoord</v>
      </c>
      <c r="H67" s="24" t="str" cm="1">
        <f t="array" ref="H67">INDEX(Gebieden_in_Nederland_2023_2403!G:G,MATCH('municipalities per province'!B67,Gebieden_in_Nederland_2023_2403!B:B,0),0)</f>
        <v>ES15</v>
      </c>
    </row>
    <row r="68" spans="1:8" x14ac:dyDescent="0.25">
      <c r="A68" s="24" t="s">
        <v>915</v>
      </c>
      <c r="B68" s="24" t="s">
        <v>914</v>
      </c>
      <c r="C68" s="24" t="s">
        <v>916</v>
      </c>
      <c r="D68" s="24" t="s">
        <v>1186</v>
      </c>
      <c r="E68" s="24" t="s">
        <v>1187</v>
      </c>
      <c r="F68" s="24" t="s">
        <v>1188</v>
      </c>
      <c r="G68" s="25" t="str" cm="1">
        <f t="array" ref="G68">INDEX(Gebieden_in_Nederland_2023_2403!H:H,MATCH('municipalities per province'!B68,Gebieden_in_Nederland_2023_2403!B:B,0),0)</f>
        <v>Twente</v>
      </c>
      <c r="H68" s="24" t="str" cm="1">
        <f t="array" ref="H68">INDEX(Gebieden_in_Nederland_2023_2403!G:G,MATCH('municipalities per province'!B68,Gebieden_in_Nederland_2023_2403!B:B,0),0)</f>
        <v>ES04</v>
      </c>
    </row>
    <row r="69" spans="1:8" x14ac:dyDescent="0.25">
      <c r="A69" s="24" t="s">
        <v>171</v>
      </c>
      <c r="B69" s="24" t="s">
        <v>170</v>
      </c>
      <c r="C69" s="24" t="s">
        <v>172</v>
      </c>
      <c r="D69" s="24" t="s">
        <v>1178</v>
      </c>
      <c r="E69" s="24" t="s">
        <v>1179</v>
      </c>
      <c r="F69" s="24" t="s">
        <v>1180</v>
      </c>
      <c r="G69" s="25" t="str" cm="1">
        <f t="array" ref="G69">INDEX(Gebieden_in_Nederland_2023_2403!H:H,MATCH('municipalities per province'!B69,Gebieden_in_Nederland_2023_2403!B:B,0),0)</f>
        <v>Arnhem/Nijmegen</v>
      </c>
      <c r="H69" s="24" t="str" cm="1">
        <f t="array" ref="H69">INDEX(Gebieden_in_Nederland_2023_2403!G:G,MATCH('municipalities per province'!B69,Gebieden_in_Nederland_2023_2403!B:B,0),0)</f>
        <v>ES08</v>
      </c>
    </row>
    <row r="70" spans="1:8" x14ac:dyDescent="0.25">
      <c r="A70" s="24" t="s">
        <v>174</v>
      </c>
      <c r="B70" s="24" t="s">
        <v>173</v>
      </c>
      <c r="C70" s="24" t="s">
        <v>175</v>
      </c>
      <c r="D70" s="24" t="s">
        <v>1178</v>
      </c>
      <c r="E70" s="24" t="s">
        <v>1179</v>
      </c>
      <c r="F70" s="24" t="s">
        <v>1180</v>
      </c>
      <c r="G70" s="25" t="str" cm="1">
        <f t="array" ref="G70">INDEX(Gebieden_in_Nederland_2023_2403!H:H,MATCH('municipalities per province'!B70,Gebieden_in_Nederland_2023_2403!B:B,0),0)</f>
        <v>Achterhoek</v>
      </c>
      <c r="H70" s="24" t="str" cm="1">
        <f t="array" ref="H70">INDEX(Gebieden_in_Nederland_2023_2403!G:G,MATCH('municipalities per province'!B70,Gebieden_in_Nederland_2023_2403!B:B,0),0)</f>
        <v>ES07</v>
      </c>
    </row>
    <row r="71" spans="1:8" x14ac:dyDescent="0.25">
      <c r="A71" s="24" t="s">
        <v>618</v>
      </c>
      <c r="B71" s="24" t="s">
        <v>617</v>
      </c>
      <c r="C71" s="24" t="s">
        <v>619</v>
      </c>
      <c r="D71" s="24" t="s">
        <v>1192</v>
      </c>
      <c r="E71" s="24" t="s">
        <v>1193</v>
      </c>
      <c r="F71" s="24" t="s">
        <v>1194</v>
      </c>
      <c r="G71" s="25" t="str" cm="1">
        <f t="array" ref="G71">INDEX(Gebieden_in_Nederland_2023_2403!H:H,MATCH('municipalities per province'!B71,Gebieden_in_Nederland_2023_2403!B:B,0),0)</f>
        <v>HartvanBrabant</v>
      </c>
      <c r="H71" s="24" t="str" cm="1">
        <f t="array" ref="H71">INDEX(Gebieden_in_Nederland_2023_2403!G:G,MATCH('municipalities per province'!B71,Gebieden_in_Nederland_2023_2403!B:B,0),0)</f>
        <v>ES25</v>
      </c>
    </row>
    <row r="72" spans="1:8" x14ac:dyDescent="0.25">
      <c r="A72" s="24" t="s">
        <v>453</v>
      </c>
      <c r="B72" s="24" t="s">
        <v>452</v>
      </c>
      <c r="C72" s="24" t="s">
        <v>454</v>
      </c>
      <c r="D72" s="24" t="s">
        <v>1183</v>
      </c>
      <c r="E72" s="24" t="s">
        <v>1184</v>
      </c>
      <c r="F72" s="24" t="s">
        <v>1185</v>
      </c>
      <c r="G72" s="25" t="str" cm="1">
        <f t="array" ref="G72">INDEX(Gebieden_in_Nederland_2023_2403!H:H,MATCH('municipalities per province'!B72,Gebieden_in_Nederland_2023_2403!B:B,0),0)</f>
        <v>Drechtsteden</v>
      </c>
      <c r="H72" s="24" t="str" cm="1">
        <f t="array" ref="H72">INDEX(Gebieden_in_Nederland_2023_2403!G:G,MATCH('municipalities per province'!B72,Gebieden_in_Nederland_2023_2403!B:B,0),0)</f>
        <v>ES18</v>
      </c>
    </row>
    <row r="73" spans="1:8" x14ac:dyDescent="0.25">
      <c r="A73" s="24" t="s">
        <v>444</v>
      </c>
      <c r="B73" s="24" t="s">
        <v>443</v>
      </c>
      <c r="C73" s="24" t="s">
        <v>445</v>
      </c>
      <c r="D73" s="24" t="s">
        <v>1175</v>
      </c>
      <c r="E73" s="24" t="s">
        <v>1176</v>
      </c>
      <c r="F73" s="24" t="s">
        <v>1177</v>
      </c>
      <c r="G73" s="25" t="str" cm="1">
        <f t="array" ref="G73">INDEX(Gebieden_in_Nederland_2023_2403!H:H,MATCH('municipalities per province'!B73,Gebieden_in_Nederland_2023_2403!B:B,0),0)</f>
        <v>Noord-HollandNoord</v>
      </c>
      <c r="H73" s="24" t="str" cm="1">
        <f t="array" ref="H73">INDEX(Gebieden_in_Nederland_2023_2403!G:G,MATCH('municipalities per province'!B73,Gebieden_in_Nederland_2023_2403!B:B,0),0)</f>
        <v>ES15</v>
      </c>
    </row>
    <row r="74" spans="1:8" x14ac:dyDescent="0.25">
      <c r="A74" s="24" t="s">
        <v>873</v>
      </c>
      <c r="B74" s="24" t="s">
        <v>872</v>
      </c>
      <c r="C74" s="24" t="s">
        <v>874</v>
      </c>
      <c r="D74" s="24" t="s">
        <v>1192</v>
      </c>
      <c r="E74" s="24" t="s">
        <v>1193</v>
      </c>
      <c r="F74" s="24" t="s">
        <v>1194</v>
      </c>
      <c r="G74" s="25" t="str" cm="1">
        <f t="array" ref="G74">INDEX(Gebieden_in_Nederland_2023_2403!H:H,MATCH('municipalities per province'!B74,Gebieden_in_Nederland_2023_2403!B:B,0),0)</f>
        <v>West-Brabant</v>
      </c>
      <c r="H74" s="24" t="str" cm="1">
        <f t="array" ref="H74">INDEX(Gebieden_in_Nederland_2023_2403!G:G,MATCH('municipalities per province'!B74,Gebieden_in_Nederland_2023_2403!B:B,0),0)</f>
        <v>ES28</v>
      </c>
    </row>
    <row r="75" spans="1:8" x14ac:dyDescent="0.25">
      <c r="A75" s="24" t="s">
        <v>267</v>
      </c>
      <c r="B75" s="24" t="s">
        <v>266</v>
      </c>
      <c r="C75" s="24" t="s">
        <v>268</v>
      </c>
      <c r="D75" s="24" t="s">
        <v>1189</v>
      </c>
      <c r="E75" s="24" t="s">
        <v>1190</v>
      </c>
      <c r="F75" s="24" t="s">
        <v>1191</v>
      </c>
      <c r="G75" s="25" t="str" cm="1">
        <f t="array" ref="G75">INDEX(Gebieden_in_Nederland_2023_2403!H:H,MATCH('municipalities per province'!B75,Gebieden_in_Nederland_2023_2403!B:B,0),0)</f>
        <v>Flevoland</v>
      </c>
      <c r="H75" s="24" t="str" cm="1">
        <f t="array" ref="H75">INDEX(Gebieden_in_Nederland_2023_2403!G:G,MATCH('municipalities per province'!B75,Gebieden_in_Nederland_2023_2403!B:B,0),0)</f>
        <v>ES06</v>
      </c>
    </row>
    <row r="76" spans="1:8" x14ac:dyDescent="0.25">
      <c r="A76" s="24" t="s">
        <v>177</v>
      </c>
      <c r="B76" s="24" t="s">
        <v>176</v>
      </c>
      <c r="C76" s="24" t="s">
        <v>178</v>
      </c>
      <c r="D76" s="24" t="s">
        <v>1178</v>
      </c>
      <c r="E76" s="24" t="s">
        <v>1179</v>
      </c>
      <c r="F76" s="24" t="s">
        <v>1180</v>
      </c>
      <c r="G76" s="25" t="str" cm="1">
        <f t="array" ref="G76">INDEX(Gebieden_in_Nederland_2023_2403!H:H,MATCH('municipalities per province'!B76,Gebieden_in_Nederland_2023_2403!B:B,0),0)</f>
        <v>Arnhem/Nijmegen</v>
      </c>
      <c r="H76" s="24" t="str" cm="1">
        <f t="array" ref="H76">INDEX(Gebieden_in_Nederland_2023_2403!G:G,MATCH('municipalities per province'!B76,Gebieden_in_Nederland_2023_2403!B:B,0),0)</f>
        <v>ES08</v>
      </c>
    </row>
    <row r="77" spans="1:8" x14ac:dyDescent="0.25">
      <c r="A77" s="24" t="s">
        <v>180</v>
      </c>
      <c r="B77" s="24" t="s">
        <v>179</v>
      </c>
      <c r="C77" s="24" t="s">
        <v>181</v>
      </c>
      <c r="D77" s="24" t="s">
        <v>1178</v>
      </c>
      <c r="E77" s="24" t="s">
        <v>1179</v>
      </c>
      <c r="F77" s="24" t="s">
        <v>1180</v>
      </c>
      <c r="G77" s="25" t="str" cm="1">
        <f t="array" ref="G77">INDEX(Gebieden_in_Nederland_2023_2403!H:H,MATCH('municipalities per province'!B77,Gebieden_in_Nederland_2023_2403!B:B,0),0)</f>
        <v>Arnhem/Nijmegen</v>
      </c>
      <c r="H77" s="24" t="str" cm="1">
        <f t="array" ref="H77">INDEX(Gebieden_in_Nederland_2023_2403!G:G,MATCH('municipalities per province'!B77,Gebieden_in_Nederland_2023_2403!B:B,0),0)</f>
        <v>ES08</v>
      </c>
    </row>
    <row r="78" spans="1:8" x14ac:dyDescent="0.25">
      <c r="A78" s="24" t="s">
        <v>867</v>
      </c>
      <c r="B78" s="24" t="s">
        <v>866</v>
      </c>
      <c r="C78" s="24" t="s">
        <v>868</v>
      </c>
      <c r="D78" s="24" t="s">
        <v>1197</v>
      </c>
      <c r="E78" s="24" t="s">
        <v>1198</v>
      </c>
      <c r="F78" s="24" t="s">
        <v>1199</v>
      </c>
      <c r="G78" s="25" t="str" cm="1">
        <f t="array" ref="G78">INDEX(Gebieden_in_Nederland_2023_2403!H:H,MATCH('municipalities per province'!B78,Gebieden_in_Nederland_2023_2403!B:B,0),0)</f>
        <v>Noord-enMidden-Limburg</v>
      </c>
      <c r="H78" s="24" t="str" cm="1">
        <f t="array" ref="H78">INDEX(Gebieden_in_Nederland_2023_2403!G:G,MATCH('municipalities per province'!B78,Gebieden_in_Nederland_2023_2403!B:B,0),0)</f>
        <v>ES29</v>
      </c>
    </row>
    <row r="79" spans="1:8" x14ac:dyDescent="0.25">
      <c r="A79" s="24" t="s">
        <v>360</v>
      </c>
      <c r="B79" s="24" t="s">
        <v>359</v>
      </c>
      <c r="C79" s="24" t="s">
        <v>361</v>
      </c>
      <c r="D79" s="24" t="s">
        <v>1175</v>
      </c>
      <c r="E79" s="24" t="s">
        <v>1176</v>
      </c>
      <c r="F79" s="24" t="s">
        <v>1177</v>
      </c>
      <c r="G79" s="25" t="str" cm="1">
        <f t="array" ref="G79">INDEX(Gebieden_in_Nederland_2023_2403!H:H,MATCH('municipalities per province'!B79,Gebieden_in_Nederland_2023_2403!B:B,0),0)</f>
        <v>Noord-HollandZuid</v>
      </c>
      <c r="H79" s="24" t="str" cm="1">
        <f t="array" ref="H79">INDEX(Gebieden_in_Nederland_2023_2403!G:G,MATCH('municipalities per province'!B79,Gebieden_in_Nederland_2023_2403!B:B,0),0)</f>
        <v>ES16</v>
      </c>
    </row>
    <row r="80" spans="1:8" x14ac:dyDescent="0.25">
      <c r="A80" s="24" t="s">
        <v>183</v>
      </c>
      <c r="B80" s="24" t="s">
        <v>182</v>
      </c>
      <c r="C80" s="24" t="s">
        <v>184</v>
      </c>
      <c r="D80" s="24" t="s">
        <v>1178</v>
      </c>
      <c r="E80" s="24" t="s">
        <v>1179</v>
      </c>
      <c r="F80" s="24" t="s">
        <v>1180</v>
      </c>
      <c r="G80" s="25" t="str" cm="1">
        <f t="array" ref="G80">INDEX(Gebieden_in_Nederland_2023_2403!H:H,MATCH('municipalities per province'!B80,Gebieden_in_Nederland_2023_2403!B:B,0),0)</f>
        <v>Foodvalley</v>
      </c>
      <c r="H80" s="24" t="str" cm="1">
        <f t="array" ref="H80">INDEX(Gebieden_in_Nederland_2023_2403!G:G,MATCH('municipalities per province'!B80,Gebieden_in_Nederland_2023_2403!B:B,0),0)</f>
        <v>ES09</v>
      </c>
    </row>
    <row r="81" spans="1:8" x14ac:dyDescent="0.25">
      <c r="A81" s="24" t="s">
        <v>285</v>
      </c>
      <c r="B81" s="24" t="s">
        <v>284</v>
      </c>
      <c r="C81" s="24" t="s">
        <v>286</v>
      </c>
      <c r="D81" s="24" t="s">
        <v>1195</v>
      </c>
      <c r="E81" s="24" t="s">
        <v>1196</v>
      </c>
      <c r="F81" s="24" t="s">
        <v>310</v>
      </c>
      <c r="G81" s="25" t="str" cm="1">
        <f t="array" ref="G81">INDEX(Gebieden_in_Nederland_2023_2403!H:H,MATCH('municipalities per province'!B81,Gebieden_in_Nederland_2023_2403!B:B,0),0)</f>
        <v>Amersfoort</v>
      </c>
      <c r="H81" s="24" t="str" cm="1">
        <f t="array" ref="H81">INDEX(Gebieden_in_Nederland_2023_2403!G:G,MATCH('municipalities per province'!B81,Gebieden_in_Nederland_2023_2403!B:B,0),0)</f>
        <v>ES13</v>
      </c>
    </row>
    <row r="82" spans="1:8" x14ac:dyDescent="0.25">
      <c r="A82" s="24" t="s">
        <v>1032</v>
      </c>
      <c r="B82" s="24" t="s">
        <v>1031</v>
      </c>
      <c r="C82" s="24" t="s">
        <v>1033</v>
      </c>
      <c r="D82" s="24" t="s">
        <v>1203</v>
      </c>
      <c r="E82" s="24" t="s">
        <v>1204</v>
      </c>
      <c r="F82" s="24" t="s">
        <v>21</v>
      </c>
      <c r="G82" s="25" t="str" cm="1">
        <f t="array" ref="G82">INDEX(Gebieden_in_Nederland_2023_2403!H:H,MATCH('municipalities per province'!B82,Gebieden_in_Nederland_2023_2403!B:B,0),0)</f>
        <v>Groningen</v>
      </c>
      <c r="H82" s="24" t="str" cm="1">
        <f t="array" ref="H82">INDEX(Gebieden_in_Nederland_2023_2403!G:G,MATCH('municipalities per province'!B82,Gebieden_in_Nederland_2023_2403!B:B,0),0)</f>
        <v>ES01</v>
      </c>
    </row>
    <row r="83" spans="1:8" x14ac:dyDescent="0.25">
      <c r="A83" s="24" t="s">
        <v>621</v>
      </c>
      <c r="B83" s="24" t="s">
        <v>620</v>
      </c>
      <c r="C83" s="24" t="s">
        <v>622</v>
      </c>
      <c r="D83" s="24" t="s">
        <v>1192</v>
      </c>
      <c r="E83" s="24" t="s">
        <v>1193</v>
      </c>
      <c r="F83" s="24" t="s">
        <v>1194</v>
      </c>
      <c r="G83" s="25" t="str" cm="1">
        <f t="array" ref="G83">INDEX(Gebieden_in_Nederland_2023_2403!H:H,MATCH('municipalities per province'!B83,Gebieden_in_Nederland_2023_2403!B:B,0),0)</f>
        <v>MetropoolregioEindhoven</v>
      </c>
      <c r="H83" s="24" t="str" cm="1">
        <f t="array" ref="H83">INDEX(Gebieden_in_Nederland_2023_2403!G:G,MATCH('municipalities per province'!B83,Gebieden_in_Nederland_2023_2403!B:B,0),0)</f>
        <v>ES26</v>
      </c>
    </row>
    <row r="84" spans="1:8" x14ac:dyDescent="0.25">
      <c r="A84" s="24" t="s">
        <v>957</v>
      </c>
      <c r="B84" s="24" t="s">
        <v>956</v>
      </c>
      <c r="C84" s="24" t="s">
        <v>958</v>
      </c>
      <c r="D84" s="24" t="s">
        <v>1197</v>
      </c>
      <c r="E84" s="24" t="s">
        <v>1198</v>
      </c>
      <c r="F84" s="24" t="s">
        <v>1199</v>
      </c>
      <c r="G84" s="25" t="str" cm="1">
        <f t="array" ref="G84">INDEX(Gebieden_in_Nederland_2023_2403!H:H,MATCH('municipalities per province'!B84,Gebieden_in_Nederland_2023_2403!B:B,0),0)</f>
        <v>Zuid-Limburg</v>
      </c>
      <c r="H84" s="24" t="str" cm="1">
        <f t="array" ref="H84">INDEX(Gebieden_in_Nederland_2023_2403!G:G,MATCH('municipalities per province'!B84,Gebieden_in_Nederland_2023_2403!B:B,0),0)</f>
        <v>ES30</v>
      </c>
    </row>
    <row r="85" spans="1:8" x14ac:dyDescent="0.25">
      <c r="A85" s="24" t="s">
        <v>624</v>
      </c>
      <c r="B85" s="24" t="s">
        <v>623</v>
      </c>
      <c r="C85" s="24" t="s">
        <v>625</v>
      </c>
      <c r="D85" s="24" t="s">
        <v>1192</v>
      </c>
      <c r="E85" s="24" t="s">
        <v>1193</v>
      </c>
      <c r="F85" s="24" t="s">
        <v>1194</v>
      </c>
      <c r="G85" s="25" t="str" cm="1">
        <f t="array" ref="G85">INDEX(Gebieden_in_Nederland_2023_2403!H:H,MATCH('municipalities per province'!B85,Gebieden_in_Nederland_2023_2403!B:B,0),0)</f>
        <v>MetropoolregioEindhoven</v>
      </c>
      <c r="H85" s="24" t="str" cm="1">
        <f t="array" ref="H85">INDEX(Gebieden_in_Nederland_2023_2403!G:G,MATCH('municipalities per province'!B85,Gebieden_in_Nederland_2023_2403!B:B,0),0)</f>
        <v>ES26</v>
      </c>
    </row>
    <row r="86" spans="1:8" x14ac:dyDescent="0.25">
      <c r="A86" s="24" t="s">
        <v>186</v>
      </c>
      <c r="B86" s="24" t="s">
        <v>185</v>
      </c>
      <c r="C86" s="24" t="s">
        <v>187</v>
      </c>
      <c r="D86" s="24" t="s">
        <v>1178</v>
      </c>
      <c r="E86" s="24" t="s">
        <v>1179</v>
      </c>
      <c r="F86" s="24" t="s">
        <v>1180</v>
      </c>
      <c r="G86" s="25" t="str" cm="1">
        <f t="array" ref="G86">INDEX(Gebieden_in_Nederland_2023_2403!H:H,MATCH('municipalities per province'!B86,Gebieden_in_Nederland_2023_2403!B:B,0),0)</f>
        <v>Noord-Veluwe</v>
      </c>
      <c r="H86" s="24" t="str" cm="1">
        <f t="array" ref="H86">INDEX(Gebieden_in_Nederland_2023_2403!G:G,MATCH('municipalities per province'!B86,Gebieden_in_Nederland_2023_2403!B:B,0),0)</f>
        <v>ES10</v>
      </c>
    </row>
    <row r="87" spans="1:8" x14ac:dyDescent="0.25">
      <c r="A87" s="24" t="s">
        <v>78</v>
      </c>
      <c r="B87" s="24" t="s">
        <v>77</v>
      </c>
      <c r="C87" s="24" t="s">
        <v>79</v>
      </c>
      <c r="D87" s="24" t="s">
        <v>1172</v>
      </c>
      <c r="E87" s="24" t="s">
        <v>1173</v>
      </c>
      <c r="F87" s="24" t="s">
        <v>1174</v>
      </c>
      <c r="G87" s="25" t="str" cm="1">
        <f t="array" ref="G87">INDEX(Gebieden_in_Nederland_2023_2403!H:H,MATCH('municipalities per province'!B87,Gebieden_in_Nederland_2023_2403!B:B,0),0)</f>
        <v>Drenthe</v>
      </c>
      <c r="H87" s="24" t="str" cm="1">
        <f t="array" ref="H87">INDEX(Gebieden_in_Nederland_2023_2403!G:G,MATCH('municipalities per province'!B87,Gebieden_in_Nederland_2023_2403!B:B,0),0)</f>
        <v>ES03</v>
      </c>
    </row>
    <row r="88" spans="1:8" x14ac:dyDescent="0.25">
      <c r="A88" s="24" t="s">
        <v>363</v>
      </c>
      <c r="B88" s="24" t="s">
        <v>362</v>
      </c>
      <c r="C88" s="24" t="s">
        <v>364</v>
      </c>
      <c r="D88" s="24" t="s">
        <v>1175</v>
      </c>
      <c r="E88" s="24" t="s">
        <v>1176</v>
      </c>
      <c r="F88" s="24" t="s">
        <v>1177</v>
      </c>
      <c r="G88" s="25" t="str" cm="1">
        <f t="array" ref="G88">INDEX(Gebieden_in_Nederland_2023_2403!H:H,MATCH('municipalities per province'!B88,Gebieden_in_Nederland_2023_2403!B:B,0),0)</f>
        <v>Noord-HollandNoord</v>
      </c>
      <c r="H88" s="24" t="str" cm="1">
        <f t="array" ref="H88">INDEX(Gebieden_in_Nederland_2023_2403!G:G,MATCH('municipalities per province'!B88,Gebieden_in_Nederland_2023_2403!B:B,0),0)</f>
        <v>ES15</v>
      </c>
    </row>
    <row r="89" spans="1:8" x14ac:dyDescent="0.25">
      <c r="A89" s="24" t="s">
        <v>99</v>
      </c>
      <c r="B89" s="24" t="s">
        <v>98</v>
      </c>
      <c r="C89" s="24" t="s">
        <v>100</v>
      </c>
      <c r="D89" s="24" t="s">
        <v>1186</v>
      </c>
      <c r="E89" s="24" t="s">
        <v>1187</v>
      </c>
      <c r="F89" s="24" t="s">
        <v>1188</v>
      </c>
      <c r="G89" s="25" t="str" cm="1">
        <f t="array" ref="G89">INDEX(Gebieden_in_Nederland_2023_2403!H:H,MATCH('municipalities per province'!B89,Gebieden_in_Nederland_2023_2403!B:B,0),0)</f>
        <v>Twente</v>
      </c>
      <c r="H89" s="24" t="str" cm="1">
        <f t="array" ref="H89">INDEX(Gebieden_in_Nederland_2023_2403!G:G,MATCH('municipalities per province'!B89,Gebieden_in_Nederland_2023_2403!B:B,0),0)</f>
        <v>ES04</v>
      </c>
    </row>
    <row r="90" spans="1:8" x14ac:dyDescent="0.25">
      <c r="A90" s="24" t="s">
        <v>189</v>
      </c>
      <c r="B90" s="24" t="s">
        <v>188</v>
      </c>
      <c r="C90" s="24" t="s">
        <v>190</v>
      </c>
      <c r="D90" s="24" t="s">
        <v>1178</v>
      </c>
      <c r="E90" s="24" t="s">
        <v>1179</v>
      </c>
      <c r="F90" s="24" t="s">
        <v>1180</v>
      </c>
      <c r="G90" s="25" t="str" cm="1">
        <f t="array" ref="G90">INDEX(Gebieden_in_Nederland_2023_2403!H:H,MATCH('municipalities per province'!B90,Gebieden_in_Nederland_2023_2403!B:B,0),0)</f>
        <v>Cleantech</v>
      </c>
      <c r="H90" s="24" t="str" cm="1">
        <f t="array" ref="H90">INDEX(Gebieden_in_Nederland_2023_2403!G:G,MATCH('municipalities per province'!B90,Gebieden_in_Nederland_2023_2403!B:B,0),0)</f>
        <v>ES12</v>
      </c>
    </row>
    <row r="91" spans="1:8" x14ac:dyDescent="0.25">
      <c r="A91" s="24" t="s">
        <v>192</v>
      </c>
      <c r="B91" s="24" t="s">
        <v>191</v>
      </c>
      <c r="C91" s="24" t="s">
        <v>193</v>
      </c>
      <c r="D91" s="24" t="s">
        <v>1178</v>
      </c>
      <c r="E91" s="24" t="s">
        <v>1179</v>
      </c>
      <c r="F91" s="24" t="s">
        <v>1180</v>
      </c>
      <c r="G91" s="25" t="str" cm="1">
        <f t="array" ref="G91">INDEX(Gebieden_in_Nederland_2023_2403!H:H,MATCH('municipalities per province'!B91,Gebieden_in_Nederland_2023_2403!B:B,0),0)</f>
        <v>Noord-Veluwe</v>
      </c>
      <c r="H91" s="24" t="str" cm="1">
        <f t="array" ref="H91">INDEX(Gebieden_in_Nederland_2023_2403!G:G,MATCH('municipalities per province'!B91,Gebieden_in_Nederland_2023_2403!B:B,0),0)</f>
        <v>ES10</v>
      </c>
    </row>
    <row r="92" spans="1:8" x14ac:dyDescent="0.25">
      <c r="A92" s="24" t="s">
        <v>627</v>
      </c>
      <c r="B92" s="24" t="s">
        <v>626</v>
      </c>
      <c r="C92" s="24" t="s">
        <v>628</v>
      </c>
      <c r="D92" s="24" t="s">
        <v>1192</v>
      </c>
      <c r="E92" s="24" t="s">
        <v>1193</v>
      </c>
      <c r="F92" s="24" t="s">
        <v>1194</v>
      </c>
      <c r="G92" s="25" t="str" cm="1">
        <f t="array" ref="G92">INDEX(Gebieden_in_Nederland_2023_2403!H:H,MATCH('municipalities per province'!B92,Gebieden_in_Nederland_2023_2403!B:B,0),0)</f>
        <v>West-Brabant</v>
      </c>
      <c r="H92" s="24" t="str" cm="1">
        <f t="array" ref="H92">INDEX(Gebieden_in_Nederland_2023_2403!G:G,MATCH('municipalities per province'!B92,Gebieden_in_Nederland_2023_2403!B:B,0),0)</f>
        <v>ES28</v>
      </c>
    </row>
    <row r="93" spans="1:8" x14ac:dyDescent="0.25">
      <c r="A93" s="24" t="s">
        <v>981</v>
      </c>
      <c r="B93" s="24" t="s">
        <v>980</v>
      </c>
      <c r="C93" s="24" t="s">
        <v>982</v>
      </c>
      <c r="D93" s="24" t="s">
        <v>1181</v>
      </c>
      <c r="E93" s="24" t="s">
        <v>1182</v>
      </c>
      <c r="F93" s="24" t="s">
        <v>1205</v>
      </c>
      <c r="G93" s="25" t="str" cm="1">
        <f t="array" ref="G93">INDEX(Gebieden_in_Nederland_2023_2403!H:H,MATCH('municipalities per province'!B93,Gebieden_in_Nederland_2023_2403!B:B,0),0)</f>
        <v>Friesland</v>
      </c>
      <c r="H93" s="24" t="str" cm="1">
        <f t="array" ref="H93">INDEX(Gebieden_in_Nederland_2023_2403!G:G,MATCH('municipalities per province'!B93,Gebieden_in_Nederland_2023_2403!B:B,0),0)</f>
        <v>ES02</v>
      </c>
    </row>
    <row r="94" spans="1:8" x14ac:dyDescent="0.25">
      <c r="A94" s="24" t="s">
        <v>630</v>
      </c>
      <c r="B94" s="24" t="s">
        <v>629</v>
      </c>
      <c r="C94" s="24" t="s">
        <v>631</v>
      </c>
      <c r="D94" s="24" t="s">
        <v>1192</v>
      </c>
      <c r="E94" s="24" t="s">
        <v>1193</v>
      </c>
      <c r="F94" s="24" t="s">
        <v>1194</v>
      </c>
      <c r="G94" s="25" t="str" cm="1">
        <f t="array" ref="G94">INDEX(Gebieden_in_Nederland_2023_2403!H:H,MATCH('municipalities per province'!B94,Gebieden_in_Nederland_2023_2403!B:B,0),0)</f>
        <v>West-Brabant</v>
      </c>
      <c r="H94" s="24" t="str" cm="1">
        <f t="array" ref="H94">INDEX(Gebieden_in_Nederland_2023_2403!G:G,MATCH('municipalities per province'!B94,Gebieden_in_Nederland_2023_2403!B:B,0),0)</f>
        <v>ES28</v>
      </c>
    </row>
    <row r="95" spans="1:8" x14ac:dyDescent="0.25">
      <c r="A95" s="24" t="s">
        <v>909</v>
      </c>
      <c r="B95" s="24" t="s">
        <v>908</v>
      </c>
      <c r="C95" s="24" t="s">
        <v>910</v>
      </c>
      <c r="D95" s="24" t="s">
        <v>1192</v>
      </c>
      <c r="E95" s="24" t="s">
        <v>1193</v>
      </c>
      <c r="F95" s="24" t="s">
        <v>1194</v>
      </c>
      <c r="G95" s="25" t="str" cm="1">
        <f t="array" ref="G95">INDEX(Gebieden_in_Nederland_2023_2403!H:H,MATCH('municipalities per province'!B95,Gebieden_in_Nederland_2023_2403!B:B,0),0)</f>
        <v>MetropoolregioEindhoven</v>
      </c>
      <c r="H95" s="24" t="str" cm="1">
        <f t="array" ref="H95">INDEX(Gebieden_in_Nederland_2023_2403!G:G,MATCH('municipalities per province'!B95,Gebieden_in_Nederland_2023_2403!B:B,0),0)</f>
        <v>ES26</v>
      </c>
    </row>
    <row r="96" spans="1:8" x14ac:dyDescent="0.25">
      <c r="A96" s="24" t="s">
        <v>807</v>
      </c>
      <c r="B96" s="24" t="s">
        <v>806</v>
      </c>
      <c r="C96" s="24" t="s">
        <v>808</v>
      </c>
      <c r="D96" s="24" t="s">
        <v>1192</v>
      </c>
      <c r="E96" s="24" t="s">
        <v>1193</v>
      </c>
      <c r="F96" s="24" t="s">
        <v>1194</v>
      </c>
      <c r="G96" s="25" t="str" cm="1">
        <f t="array" ref="G96">INDEX(Gebieden_in_Nederland_2023_2403!H:H,MATCH('municipalities per province'!B96,Gebieden_in_Nederland_2023_2403!B:B,0),0)</f>
        <v>MetropoolregioEindhoven</v>
      </c>
      <c r="H96" s="24" t="str" cm="1">
        <f t="array" ref="H96">INDEX(Gebieden_in_Nederland_2023_2403!G:G,MATCH('municipalities per province'!B96,Gebieden_in_Nederland_2023_2403!B:B,0),0)</f>
        <v>ES26</v>
      </c>
    </row>
    <row r="97" spans="1:8" x14ac:dyDescent="0.25">
      <c r="A97" s="24" t="s">
        <v>729</v>
      </c>
      <c r="B97" s="24" t="s">
        <v>728</v>
      </c>
      <c r="C97" s="24" t="s">
        <v>730</v>
      </c>
      <c r="D97" s="24" t="s">
        <v>1197</v>
      </c>
      <c r="E97" s="24" t="s">
        <v>1198</v>
      </c>
      <c r="F97" s="24" t="s">
        <v>1199</v>
      </c>
      <c r="G97" s="25" t="str" cm="1">
        <f t="array" ref="G97">INDEX(Gebieden_in_Nederland_2023_2403!H:H,MATCH('municipalities per province'!B97,Gebieden_in_Nederland_2023_2403!B:B,0),0)</f>
        <v>Noord-enMidden-Limburg</v>
      </c>
      <c r="H97" s="24" t="str" cm="1">
        <f t="array" ref="H97">INDEX(Gebieden_in_Nederland_2023_2403!G:G,MATCH('municipalities per province'!B97,Gebieden_in_Nederland_2023_2403!B:B,0),0)</f>
        <v>ES29</v>
      </c>
    </row>
    <row r="98" spans="1:8" x14ac:dyDescent="0.25">
      <c r="A98" s="24" t="s">
        <v>633</v>
      </c>
      <c r="B98" s="24" t="s">
        <v>632</v>
      </c>
      <c r="C98" s="24" t="s">
        <v>634</v>
      </c>
      <c r="D98" s="24" t="s">
        <v>1192</v>
      </c>
      <c r="E98" s="24" t="s">
        <v>1193</v>
      </c>
      <c r="F98" s="24" t="s">
        <v>1194</v>
      </c>
      <c r="G98" s="25" t="str" cm="1">
        <f t="array" ref="G98">INDEX(Gebieden_in_Nederland_2023_2403!H:H,MATCH('municipalities per province'!B98,Gebieden_in_Nederland_2023_2403!B:B,0),0)</f>
        <v>HartvanBrabant</v>
      </c>
      <c r="H98" s="24" t="str" cm="1">
        <f t="array" ref="H98">INDEX(Gebieden_in_Nederland_2023_2403!G:G,MATCH('municipalities per province'!B98,Gebieden_in_Nederland_2023_2403!B:B,0),0)</f>
        <v>ES25</v>
      </c>
    </row>
    <row r="99" spans="1:8" x14ac:dyDescent="0.25">
      <c r="A99" s="24" t="s">
        <v>969</v>
      </c>
      <c r="B99" s="24" t="s">
        <v>968</v>
      </c>
      <c r="C99" s="24" t="s">
        <v>970</v>
      </c>
      <c r="D99" s="24" t="s">
        <v>1183</v>
      </c>
      <c r="E99" s="24" t="s">
        <v>1184</v>
      </c>
      <c r="F99" s="24" t="s">
        <v>1185</v>
      </c>
      <c r="G99" s="25" t="str" cm="1">
        <f t="array" ref="G99">INDEX(Gebieden_in_Nederland_2023_2403!H:H,MATCH('municipalities per province'!B99,Gebieden_in_Nederland_2023_2403!B:B,0),0)</f>
        <v>Goeree-Overflakkee</v>
      </c>
      <c r="H99" s="24" t="str" cm="1">
        <f t="array" ref="H99">INDEX(Gebieden_in_Nederland_2023_2403!G:G,MATCH('municipalities per province'!B99,Gebieden_in_Nederland_2023_2403!B:B,0),0)</f>
        <v>ES19</v>
      </c>
    </row>
    <row r="100" spans="1:8" x14ac:dyDescent="0.25">
      <c r="A100" s="24" t="s">
        <v>555</v>
      </c>
      <c r="B100" s="24" t="s">
        <v>554</v>
      </c>
      <c r="C100" s="24" t="s">
        <v>556</v>
      </c>
      <c r="D100" s="24" t="s">
        <v>1200</v>
      </c>
      <c r="E100" s="24" t="s">
        <v>1201</v>
      </c>
      <c r="F100" s="24" t="s">
        <v>1202</v>
      </c>
      <c r="G100" s="25" t="str" cm="1">
        <f t="array" ref="G100">INDEX(Gebieden_in_Nederland_2023_2403!H:H,MATCH('municipalities per province'!B100,Gebieden_in_Nederland_2023_2403!B:B,0),0)</f>
        <v>Zeeland</v>
      </c>
      <c r="H100" s="24" t="str" cm="1">
        <f t="array" ref="H100">INDEX(Gebieden_in_Nederland_2023_2403!G:G,MATCH('municipalities per province'!B100,Gebieden_in_Nederland_2023_2403!B:B,0),0)</f>
        <v>ES24</v>
      </c>
    </row>
    <row r="101" spans="1:8" x14ac:dyDescent="0.25">
      <c r="A101" s="24" t="s">
        <v>636</v>
      </c>
      <c r="B101" s="24" t="s">
        <v>635</v>
      </c>
      <c r="C101" s="24" t="s">
        <v>637</v>
      </c>
      <c r="D101" s="24" t="s">
        <v>1192</v>
      </c>
      <c r="E101" s="24" t="s">
        <v>1193</v>
      </c>
      <c r="F101" s="24" t="s">
        <v>1194</v>
      </c>
      <c r="G101" s="25" t="str" cm="1">
        <f t="array" ref="G101">INDEX(Gebieden_in_Nederland_2023_2403!H:H,MATCH('municipalities per province'!B101,Gebieden_in_Nederland_2023_2403!B:B,0),0)</f>
        <v>HartvanBrabant</v>
      </c>
      <c r="H101" s="24" t="str" cm="1">
        <f t="array" ref="H101">INDEX(Gebieden_in_Nederland_2023_2403!G:G,MATCH('municipalities per province'!B101,Gebieden_in_Nederland_2023_2403!B:B,0),0)</f>
        <v>ES25</v>
      </c>
    </row>
    <row r="102" spans="1:8" x14ac:dyDescent="0.25">
      <c r="A102" s="24" t="s">
        <v>984</v>
      </c>
      <c r="B102" s="24" t="s">
        <v>983</v>
      </c>
      <c r="C102" s="24" t="s">
        <v>985</v>
      </c>
      <c r="D102" s="24" t="s">
        <v>1175</v>
      </c>
      <c r="E102" s="24" t="s">
        <v>1176</v>
      </c>
      <c r="F102" s="24" t="s">
        <v>1177</v>
      </c>
      <c r="G102" s="25" t="str" cm="1">
        <f t="array" ref="G102">INDEX(Gebieden_in_Nederland_2023_2403!H:H,MATCH('municipalities per province'!B102,Gebieden_in_Nederland_2023_2403!B:B,0),0)</f>
        <v>Noord-HollandZuid</v>
      </c>
      <c r="H102" s="24" t="str" cm="1">
        <f t="array" ref="H102">INDEX(Gebieden_in_Nederland_2023_2403!G:G,MATCH('municipalities per province'!B102,Gebieden_in_Nederland_2023_2403!B:B,0),0)</f>
        <v>ES16</v>
      </c>
    </row>
    <row r="103" spans="1:8" x14ac:dyDescent="0.25">
      <c r="A103" s="24" t="s">
        <v>456</v>
      </c>
      <c r="B103" s="24" t="s">
        <v>455</v>
      </c>
      <c r="C103" s="24" t="s">
        <v>457</v>
      </c>
      <c r="D103" s="24" t="s">
        <v>1183</v>
      </c>
      <c r="E103" s="24" t="s">
        <v>1184</v>
      </c>
      <c r="F103" s="24" t="s">
        <v>1185</v>
      </c>
      <c r="G103" s="25" t="str" cm="1">
        <f t="array" ref="G103">INDEX(Gebieden_in_Nederland_2023_2403!H:H,MATCH('municipalities per province'!B103,Gebieden_in_Nederland_2023_2403!B:B,0),0)</f>
        <v>Alblasserwaard</v>
      </c>
      <c r="H103" s="24" t="str" cm="1">
        <f t="array" ref="H103">INDEX(Gebieden_in_Nederland_2023_2403!G:G,MATCH('municipalities per province'!B103,Gebieden_in_Nederland_2023_2403!B:B,0),0)</f>
        <v>ES17</v>
      </c>
    </row>
    <row r="104" spans="1:8" x14ac:dyDescent="0.25">
      <c r="A104" s="24" t="s">
        <v>459</v>
      </c>
      <c r="B104" s="24" t="s">
        <v>458</v>
      </c>
      <c r="C104" s="24" t="s">
        <v>460</v>
      </c>
      <c r="D104" s="24" t="s">
        <v>1183</v>
      </c>
      <c r="E104" s="24" t="s">
        <v>1184</v>
      </c>
      <c r="F104" s="24" t="s">
        <v>1185</v>
      </c>
      <c r="G104" s="25" t="str" cm="1">
        <f t="array" ref="G104">INDEX(Gebieden_in_Nederland_2023_2403!H:H,MATCH('municipalities per province'!B104,Gebieden_in_Nederland_2023_2403!B:B,0),0)</f>
        <v>Midden-Holland</v>
      </c>
      <c r="H104" s="24" t="str" cm="1">
        <f t="array" ref="H104">INDEX(Gebieden_in_Nederland_2023_2403!G:G,MATCH('municipalities per province'!B104,Gebieden_in_Nederland_2023_2403!B:B,0),0)</f>
        <v>ES22</v>
      </c>
    </row>
    <row r="105" spans="1:8" x14ac:dyDescent="0.25">
      <c r="A105" s="24" t="s">
        <v>462</v>
      </c>
      <c r="B105" s="24" t="s">
        <v>461</v>
      </c>
      <c r="C105" s="24" t="s">
        <v>463</v>
      </c>
      <c r="D105" s="24" t="s">
        <v>1183</v>
      </c>
      <c r="E105" s="24" t="s">
        <v>1184</v>
      </c>
      <c r="F105" s="24" t="s">
        <v>1185</v>
      </c>
      <c r="G105" s="25" t="str" cm="1">
        <f t="array" ref="G105">INDEX(Gebieden_in_Nederland_2023_2403!H:H,MATCH('municipalities per province'!B105,Gebieden_in_Nederland_2023_2403!B:B,0),0)</f>
        <v>Rotterdam/DenHaag</v>
      </c>
      <c r="H105" s="24" t="str" cm="1">
        <f t="array" ref="H105">INDEX(Gebieden_in_Nederland_2023_2403!G:G,MATCH('municipalities per province'!B105,Gebieden_in_Nederland_2023_2403!B:B,0),0)</f>
        <v>ES23</v>
      </c>
    </row>
    <row r="106" spans="1:8" x14ac:dyDescent="0.25">
      <c r="A106" s="24" t="s">
        <v>20</v>
      </c>
      <c r="B106" s="24" t="s">
        <v>19</v>
      </c>
      <c r="C106" s="24" t="s">
        <v>21</v>
      </c>
      <c r="D106" s="24" t="s">
        <v>1203</v>
      </c>
      <c r="E106" s="24" t="s">
        <v>1204</v>
      </c>
      <c r="F106" s="24" t="s">
        <v>21</v>
      </c>
      <c r="G106" s="25" t="str" cm="1">
        <f t="array" ref="G106">INDEX(Gebieden_in_Nederland_2023_2403!H:H,MATCH('municipalities per province'!B106,Gebieden_in_Nederland_2023_2403!B:B,0),0)</f>
        <v>Groningen</v>
      </c>
      <c r="H106" s="24" t="str" cm="1">
        <f t="array" ref="H106">INDEX(Gebieden_in_Nederland_2023_2403!G:G,MATCH('municipalities per province'!B106,Gebieden_in_Nederland_2023_2403!B:B,0),0)</f>
        <v>ES01</v>
      </c>
    </row>
    <row r="107" spans="1:8" x14ac:dyDescent="0.25">
      <c r="A107" s="24" t="s">
        <v>888</v>
      </c>
      <c r="B107" s="24" t="s">
        <v>887</v>
      </c>
      <c r="C107" s="24" t="s">
        <v>889</v>
      </c>
      <c r="D107" s="24" t="s">
        <v>1197</v>
      </c>
      <c r="E107" s="24" t="s">
        <v>1198</v>
      </c>
      <c r="F107" s="24" t="s">
        <v>1199</v>
      </c>
      <c r="G107" s="25" t="str" cm="1">
        <f t="array" ref="G107">INDEX(Gebieden_in_Nederland_2023_2403!H:H,MATCH('municipalities per province'!B107,Gebieden_in_Nederland_2023_2403!B:B,0),0)</f>
        <v>Zuid-Limburg</v>
      </c>
      <c r="H107" s="24" t="str" cm="1">
        <f t="array" ref="H107">INDEX(Gebieden_in_Nederland_2023_2403!G:G,MATCH('municipalities per province'!B107,Gebieden_in_Nederland_2023_2403!B:B,0),0)</f>
        <v>ES30</v>
      </c>
    </row>
    <row r="108" spans="1:8" x14ac:dyDescent="0.25">
      <c r="A108" s="24" t="s">
        <v>102</v>
      </c>
      <c r="B108" s="24" t="s">
        <v>101</v>
      </c>
      <c r="C108" s="24" t="s">
        <v>103</v>
      </c>
      <c r="D108" s="24" t="s">
        <v>1186</v>
      </c>
      <c r="E108" s="24" t="s">
        <v>1187</v>
      </c>
      <c r="F108" s="24" t="s">
        <v>1188</v>
      </c>
      <c r="G108" s="25" t="str" cm="1">
        <f t="array" ref="G108">INDEX(Gebieden_in_Nederland_2023_2403!H:H,MATCH('municipalities per province'!B108,Gebieden_in_Nederland_2023_2403!B:B,0),0)</f>
        <v>Twente</v>
      </c>
      <c r="H108" s="24" t="str" cm="1">
        <f t="array" ref="H108">INDEX(Gebieden_in_Nederland_2023_2403!G:G,MATCH('municipalities per province'!B108,Gebieden_in_Nederland_2023_2403!B:B,0),0)</f>
        <v>ES04</v>
      </c>
    </row>
    <row r="109" spans="1:8" x14ac:dyDescent="0.25">
      <c r="A109" s="24" t="s">
        <v>366</v>
      </c>
      <c r="B109" s="24" t="s">
        <v>365</v>
      </c>
      <c r="C109" s="24" t="s">
        <v>367</v>
      </c>
      <c r="D109" s="24" t="s">
        <v>1175</v>
      </c>
      <c r="E109" s="24" t="s">
        <v>1176</v>
      </c>
      <c r="F109" s="24" t="s">
        <v>1177</v>
      </c>
      <c r="G109" s="25" t="str" cm="1">
        <f t="array" ref="G109">INDEX(Gebieden_in_Nederland_2023_2403!H:H,MATCH('municipalities per province'!B109,Gebieden_in_Nederland_2023_2403!B:B,0),0)</f>
        <v>Noord-HollandZuid</v>
      </c>
      <c r="H109" s="24" t="str" cm="1">
        <f t="array" ref="H109">INDEX(Gebieden_in_Nederland_2023_2403!G:G,MATCH('municipalities per province'!B109,Gebieden_in_Nederland_2023_2403!B:B,0),0)</f>
        <v>ES16</v>
      </c>
    </row>
    <row r="110" spans="1:8" x14ac:dyDescent="0.25">
      <c r="A110" s="24" t="s">
        <v>369</v>
      </c>
      <c r="B110" s="24" t="s">
        <v>368</v>
      </c>
      <c r="C110" s="24" t="s">
        <v>370</v>
      </c>
      <c r="D110" s="24" t="s">
        <v>1175</v>
      </c>
      <c r="E110" s="24" t="s">
        <v>1176</v>
      </c>
      <c r="F110" s="24" t="s">
        <v>1177</v>
      </c>
      <c r="G110" s="25" t="str" cm="1">
        <f t="array" ref="G110">INDEX(Gebieden_in_Nederland_2023_2403!H:H,MATCH('municipalities per province'!B110,Gebieden_in_Nederland_2023_2403!B:B,0),0)</f>
        <v>Noord-HollandZuid</v>
      </c>
      <c r="H110" s="24" t="str" cm="1">
        <f t="array" ref="H110">INDEX(Gebieden_in_Nederland_2023_2403!G:G,MATCH('municipalities per province'!B110,Gebieden_in_Nederland_2023_2403!B:B,0),0)</f>
        <v>ES16</v>
      </c>
    </row>
    <row r="111" spans="1:8" x14ac:dyDescent="0.25">
      <c r="A111" s="24" t="s">
        <v>810</v>
      </c>
      <c r="B111" s="24" t="s">
        <v>809</v>
      </c>
      <c r="C111" s="24" t="s">
        <v>811</v>
      </c>
      <c r="D111" s="24" t="s">
        <v>1192</v>
      </c>
      <c r="E111" s="24" t="s">
        <v>1193</v>
      </c>
      <c r="F111" s="24" t="s">
        <v>1194</v>
      </c>
      <c r="G111" s="25" t="str" cm="1">
        <f t="array" ref="G111">INDEX(Gebieden_in_Nederland_2023_2403!H:H,MATCH('municipalities per province'!B111,Gebieden_in_Nederland_2023_2403!B:B,0),0)</f>
        <v>West-Brabant</v>
      </c>
      <c r="H111" s="24" t="str" cm="1">
        <f t="array" ref="H111">INDEX(Gebieden_in_Nederland_2023_2403!G:G,MATCH('municipalities per province'!B111,Gebieden_in_Nederland_2023_2403!B:B,0),0)</f>
        <v>ES28</v>
      </c>
    </row>
    <row r="112" spans="1:8" x14ac:dyDescent="0.25">
      <c r="A112" s="24" t="s">
        <v>105</v>
      </c>
      <c r="B112" s="24" t="s">
        <v>104</v>
      </c>
      <c r="C112" s="24" t="s">
        <v>106</v>
      </c>
      <c r="D112" s="24" t="s">
        <v>1186</v>
      </c>
      <c r="E112" s="24" t="s">
        <v>1187</v>
      </c>
      <c r="F112" s="24" t="s">
        <v>1188</v>
      </c>
      <c r="G112" s="25" t="str" cm="1">
        <f t="array" ref="G112">INDEX(Gebieden_in_Nederland_2023_2403!H:H,MATCH('municipalities per province'!B112,Gebieden_in_Nederland_2023_2403!B:B,0),0)</f>
        <v>West-Overijssel</v>
      </c>
      <c r="H112" s="24" t="str" cm="1">
        <f t="array" ref="H112">INDEX(Gebieden_in_Nederland_2023_2403!G:G,MATCH('municipalities per province'!B112,Gebieden_in_Nederland_2023_2403!B:B,0),0)</f>
        <v>ES05</v>
      </c>
    </row>
    <row r="113" spans="1:8" x14ac:dyDescent="0.25">
      <c r="A113" s="24" t="s">
        <v>195</v>
      </c>
      <c r="B113" s="24" t="s">
        <v>194</v>
      </c>
      <c r="C113" s="24" t="s">
        <v>196</v>
      </c>
      <c r="D113" s="24" t="s">
        <v>1178</v>
      </c>
      <c r="E113" s="24" t="s">
        <v>1179</v>
      </c>
      <c r="F113" s="24" t="s">
        <v>1180</v>
      </c>
      <c r="G113" s="25" t="str" cm="1">
        <f t="array" ref="G113">INDEX(Gebieden_in_Nederland_2023_2403!H:H,MATCH('municipalities per province'!B113,Gebieden_in_Nederland_2023_2403!B:B,0),0)</f>
        <v>Noord-Veluwe</v>
      </c>
      <c r="H113" s="24" t="str" cm="1">
        <f t="array" ref="H113">INDEX(Gebieden_in_Nederland_2023_2403!G:G,MATCH('municipalities per province'!B113,Gebieden_in_Nederland_2023_2403!B:B,0),0)</f>
        <v>ES10</v>
      </c>
    </row>
    <row r="114" spans="1:8" x14ac:dyDescent="0.25">
      <c r="A114" s="24" t="s">
        <v>465</v>
      </c>
      <c r="B114" s="24" t="s">
        <v>464</v>
      </c>
      <c r="C114" s="24" t="s">
        <v>466</v>
      </c>
      <c r="D114" s="24" t="s">
        <v>1183</v>
      </c>
      <c r="E114" s="24" t="s">
        <v>1184</v>
      </c>
      <c r="F114" s="24" t="s">
        <v>1185</v>
      </c>
      <c r="G114" s="25" t="str" cm="1">
        <f t="array" ref="G114">INDEX(Gebieden_in_Nederland_2023_2403!H:H,MATCH('municipalities per province'!B114,Gebieden_in_Nederland_2023_2403!B:B,0),0)</f>
        <v>Drechtsteden</v>
      </c>
      <c r="H114" s="24" t="str" cm="1">
        <f t="array" ref="H114">INDEX(Gebieden_in_Nederland_2023_2403!G:G,MATCH('municipalities per province'!B114,Gebieden_in_Nederland_2023_2403!B:B,0),0)</f>
        <v>ES18</v>
      </c>
    </row>
    <row r="115" spans="1:8" x14ac:dyDescent="0.25">
      <c r="A115" s="24" t="s">
        <v>42</v>
      </c>
      <c r="B115" s="24" t="s">
        <v>41</v>
      </c>
      <c r="C115" s="24" t="s">
        <v>43</v>
      </c>
      <c r="D115" s="24" t="s">
        <v>1181</v>
      </c>
      <c r="E115" s="24" t="s">
        <v>1182</v>
      </c>
      <c r="F115" s="24" t="s">
        <v>1205</v>
      </c>
      <c r="G115" s="25" t="str" cm="1">
        <f t="array" ref="G115">INDEX(Gebieden_in_Nederland_2023_2403!H:H,MATCH('municipalities per province'!B115,Gebieden_in_Nederland_2023_2403!B:B,0),0)</f>
        <v>Friesland</v>
      </c>
      <c r="H115" s="24" t="str" cm="1">
        <f t="array" ref="H115">INDEX(Gebieden_in_Nederland_2023_2403!G:G,MATCH('municipalities per province'!B115,Gebieden_in_Nederland_2023_2403!B:B,0),0)</f>
        <v>ES02</v>
      </c>
    </row>
    <row r="116" spans="1:8" x14ac:dyDescent="0.25">
      <c r="A116" s="24" t="s">
        <v>198</v>
      </c>
      <c r="B116" s="24" t="s">
        <v>197</v>
      </c>
      <c r="C116" s="24" t="s">
        <v>199</v>
      </c>
      <c r="D116" s="24" t="s">
        <v>1178</v>
      </c>
      <c r="E116" s="24" t="s">
        <v>1179</v>
      </c>
      <c r="F116" s="24" t="s">
        <v>1180</v>
      </c>
      <c r="G116" s="25" t="str" cm="1">
        <f t="array" ref="G116">INDEX(Gebieden_in_Nederland_2023_2403!H:H,MATCH('municipalities per province'!B116,Gebieden_in_Nederland_2023_2403!B:B,0),0)</f>
        <v>Noord-Veluwe</v>
      </c>
      <c r="H116" s="24" t="str" cm="1">
        <f t="array" ref="H116">INDEX(Gebieden_in_Nederland_2023_2403!G:G,MATCH('municipalities per province'!B116,Gebieden_in_Nederland_2023_2403!B:B,0),0)</f>
        <v>ES10</v>
      </c>
    </row>
    <row r="117" spans="1:8" x14ac:dyDescent="0.25">
      <c r="A117" s="24" t="s">
        <v>372</v>
      </c>
      <c r="B117" s="24" t="s">
        <v>371</v>
      </c>
      <c r="C117" s="24" t="s">
        <v>373</v>
      </c>
      <c r="D117" s="24" t="s">
        <v>1175</v>
      </c>
      <c r="E117" s="24" t="s">
        <v>1176</v>
      </c>
      <c r="F117" s="24" t="s">
        <v>1177</v>
      </c>
      <c r="G117" s="25" t="str" cm="1">
        <f t="array" ref="G117">INDEX(Gebieden_in_Nederland_2023_2403!H:H,MATCH('municipalities per province'!B117,Gebieden_in_Nederland_2023_2403!B:B,0),0)</f>
        <v>Noord-HollandZuid</v>
      </c>
      <c r="H117" s="24" t="str" cm="1">
        <f t="array" ref="H117">INDEX(Gebieden_in_Nederland_2023_2403!G:G,MATCH('municipalities per province'!B117,Gebieden_in_Nederland_2023_2403!B:B,0),0)</f>
        <v>ES16</v>
      </c>
    </row>
    <row r="118" spans="1:8" x14ac:dyDescent="0.25">
      <c r="A118" s="24" t="s">
        <v>375</v>
      </c>
      <c r="B118" s="24" t="s">
        <v>374</v>
      </c>
      <c r="C118" s="24" t="s">
        <v>376</v>
      </c>
      <c r="D118" s="24" t="s">
        <v>1175</v>
      </c>
      <c r="E118" s="24" t="s">
        <v>1176</v>
      </c>
      <c r="F118" s="24" t="s">
        <v>1177</v>
      </c>
      <c r="G118" s="25" t="str" cm="1">
        <f t="array" ref="G118">INDEX(Gebieden_in_Nederland_2023_2403!H:H,MATCH('municipalities per province'!B118,Gebieden_in_Nederland_2023_2403!B:B,0),0)</f>
        <v>Noord-HollandZuid</v>
      </c>
      <c r="H118" s="24" t="str" cm="1">
        <f t="array" ref="H118">INDEX(Gebieden_in_Nederland_2023_2403!G:G,MATCH('municipalities per province'!B118,Gebieden_in_Nederland_2023_2403!B:B,0),0)</f>
        <v>ES16</v>
      </c>
    </row>
    <row r="119" spans="1:8" x14ac:dyDescent="0.25">
      <c r="A119" s="24" t="s">
        <v>201</v>
      </c>
      <c r="B119" s="24" t="s">
        <v>200</v>
      </c>
      <c r="C119" s="24" t="s">
        <v>202</v>
      </c>
      <c r="D119" s="24" t="s">
        <v>1178</v>
      </c>
      <c r="E119" s="24" t="s">
        <v>1179</v>
      </c>
      <c r="F119" s="24" t="s">
        <v>1180</v>
      </c>
      <c r="G119" s="25" t="str" cm="1">
        <f t="array" ref="G119">INDEX(Gebieden_in_Nederland_2023_2403!H:H,MATCH('municipalities per province'!B119,Gebieden_in_Nederland_2023_2403!B:B,0),0)</f>
        <v>Cleantech</v>
      </c>
      <c r="H119" s="24" t="str" cm="1">
        <f t="array" ref="H119">INDEX(Gebieden_in_Nederland_2023_2403!G:G,MATCH('municipalities per province'!B119,Gebieden_in_Nederland_2023_2403!B:B,0),0)</f>
        <v>ES12</v>
      </c>
    </row>
    <row r="120" spans="1:8" x14ac:dyDescent="0.25">
      <c r="A120" s="24" t="s">
        <v>45</v>
      </c>
      <c r="B120" s="24" t="s">
        <v>44</v>
      </c>
      <c r="C120" s="24" t="s">
        <v>46</v>
      </c>
      <c r="D120" s="24" t="s">
        <v>1181</v>
      </c>
      <c r="E120" s="24" t="s">
        <v>1182</v>
      </c>
      <c r="F120" s="24" t="s">
        <v>1205</v>
      </c>
      <c r="G120" s="25" t="str" cm="1">
        <f t="array" ref="G120">INDEX(Gebieden_in_Nederland_2023_2403!H:H,MATCH('municipalities per province'!B120,Gebieden_in_Nederland_2023_2403!B:B,0),0)</f>
        <v>Friesland</v>
      </c>
      <c r="H120" s="24" t="str" cm="1">
        <f t="array" ref="H120">INDEX(Gebieden_in_Nederland_2023_2403!G:G,MATCH('municipalities per province'!B120,Gebieden_in_Nederland_2023_2403!B:B,0),0)</f>
        <v>ES02</v>
      </c>
    </row>
    <row r="121" spans="1:8" x14ac:dyDescent="0.25">
      <c r="A121" s="24" t="s">
        <v>732</v>
      </c>
      <c r="B121" s="24" t="s">
        <v>731</v>
      </c>
      <c r="C121" s="24" t="s">
        <v>733</v>
      </c>
      <c r="D121" s="24" t="s">
        <v>1197</v>
      </c>
      <c r="E121" s="24" t="s">
        <v>1198</v>
      </c>
      <c r="F121" s="24" t="s">
        <v>1199</v>
      </c>
      <c r="G121" s="25" t="str" cm="1">
        <f t="array" ref="G121">INDEX(Gebieden_in_Nederland_2023_2403!H:H,MATCH('municipalities per province'!B121,Gebieden_in_Nederland_2023_2403!B:B,0),0)</f>
        <v>Zuid-Limburg</v>
      </c>
      <c r="H121" s="24" t="str" cm="1">
        <f t="array" ref="H121">INDEX(Gebieden_in_Nederland_2023_2403!G:G,MATCH('municipalities per province'!B121,Gebieden_in_Nederland_2023_2403!B:B,0),0)</f>
        <v>ES30</v>
      </c>
    </row>
    <row r="122" spans="1:8" x14ac:dyDescent="0.25">
      <c r="A122" s="24" t="s">
        <v>813</v>
      </c>
      <c r="B122" s="24" t="s">
        <v>812</v>
      </c>
      <c r="C122" s="24" t="s">
        <v>814</v>
      </c>
      <c r="D122" s="24" t="s">
        <v>1192</v>
      </c>
      <c r="E122" s="24" t="s">
        <v>1193</v>
      </c>
      <c r="F122" s="24" t="s">
        <v>1194</v>
      </c>
      <c r="G122" s="25" t="str" cm="1">
        <f t="array" ref="G122">INDEX(Gebieden_in_Nederland_2023_2403!H:H,MATCH('municipalities per province'!B122,Gebieden_in_Nederland_2023_2403!B:B,0),0)</f>
        <v>MetropoolregioEindhoven</v>
      </c>
      <c r="H122" s="24" t="str" cm="1">
        <f t="array" ref="H122">INDEX(Gebieden_in_Nederland_2023_2403!G:G,MATCH('municipalities per province'!B122,Gebieden_in_Nederland_2023_2403!B:B,0),0)</f>
        <v>ES26</v>
      </c>
    </row>
    <row r="123" spans="1:8" x14ac:dyDescent="0.25">
      <c r="A123" s="24" t="s">
        <v>378</v>
      </c>
      <c r="B123" s="24" t="s">
        <v>377</v>
      </c>
      <c r="C123" s="24" t="s">
        <v>379</v>
      </c>
      <c r="D123" s="24" t="s">
        <v>1175</v>
      </c>
      <c r="E123" s="24" t="s">
        <v>1176</v>
      </c>
      <c r="F123" s="24" t="s">
        <v>1177</v>
      </c>
      <c r="G123" s="25" t="str" cm="1">
        <f t="array" ref="G123">INDEX(Gebieden_in_Nederland_2023_2403!H:H,MATCH('municipalities per province'!B123,Gebieden_in_Nederland_2023_2403!B:B,0),0)</f>
        <v>Noord-HollandNoord</v>
      </c>
      <c r="H123" s="24" t="str" cm="1">
        <f t="array" ref="H123">INDEX(Gebieden_in_Nederland_2023_2403!G:G,MATCH('municipalities per province'!B123,Gebieden_in_Nederland_2023_2403!B:B,0),0)</f>
        <v>ES15</v>
      </c>
    </row>
    <row r="124" spans="1:8" x14ac:dyDescent="0.25">
      <c r="A124" s="24" t="s">
        <v>381</v>
      </c>
      <c r="B124" s="24" t="s">
        <v>380</v>
      </c>
      <c r="C124" s="24" t="s">
        <v>382</v>
      </c>
      <c r="D124" s="24" t="s">
        <v>1175</v>
      </c>
      <c r="E124" s="24" t="s">
        <v>1176</v>
      </c>
      <c r="F124" s="24" t="s">
        <v>1177</v>
      </c>
      <c r="G124" s="25" t="str" cm="1">
        <f t="array" ref="G124">INDEX(Gebieden_in_Nederland_2023_2403!H:H,MATCH('municipalities per province'!B124,Gebieden_in_Nederland_2023_2403!B:B,0),0)</f>
        <v>Noord-HollandNoord</v>
      </c>
      <c r="H124" s="24" t="str" cm="1">
        <f t="array" ref="H124">INDEX(Gebieden_in_Nederland_2023_2403!G:G,MATCH('municipalities per province'!B124,Gebieden_in_Nederland_2023_2403!B:B,0),0)</f>
        <v>ES15</v>
      </c>
    </row>
    <row r="125" spans="1:8" x14ac:dyDescent="0.25">
      <c r="A125" s="24" t="s">
        <v>108</v>
      </c>
      <c r="B125" s="24" t="s">
        <v>107</v>
      </c>
      <c r="C125" s="24" t="s">
        <v>109</v>
      </c>
      <c r="D125" s="24" t="s">
        <v>1186</v>
      </c>
      <c r="E125" s="24" t="s">
        <v>1187</v>
      </c>
      <c r="F125" s="24" t="s">
        <v>1188</v>
      </c>
      <c r="G125" s="25" t="str" cm="1">
        <f t="array" ref="G125">INDEX(Gebieden_in_Nederland_2023_2403!H:H,MATCH('municipalities per province'!B125,Gebieden_in_Nederland_2023_2403!B:B,0),0)</f>
        <v>Twente</v>
      </c>
      <c r="H125" s="24" t="str" cm="1">
        <f t="array" ref="H125">INDEX(Gebieden_in_Nederland_2023_2403!G:G,MATCH('municipalities per province'!B125,Gebieden_in_Nederland_2023_2403!B:B,0),0)</f>
        <v>ES04</v>
      </c>
    </row>
    <row r="126" spans="1:8" x14ac:dyDescent="0.25">
      <c r="A126" s="24" t="s">
        <v>639</v>
      </c>
      <c r="B126" s="24" t="s">
        <v>638</v>
      </c>
      <c r="C126" s="24" t="s">
        <v>640</v>
      </c>
      <c r="D126" s="24" t="s">
        <v>1192</v>
      </c>
      <c r="E126" s="24" t="s">
        <v>1193</v>
      </c>
      <c r="F126" s="24" t="s">
        <v>1194</v>
      </c>
      <c r="G126" s="25" t="str" cm="1">
        <f t="array" ref="G126">INDEX(Gebieden_in_Nederland_2023_2403!H:H,MATCH('municipalities per province'!B126,Gebieden_in_Nederland_2023_2403!B:B,0),0)</f>
        <v>MetropoolregioEindhoven</v>
      </c>
      <c r="H126" s="24" t="str" cm="1">
        <f t="array" ref="H126">INDEX(Gebieden_in_Nederland_2023_2403!G:G,MATCH('municipalities per province'!B126,Gebieden_in_Nederland_2023_2403!B:B,0),0)</f>
        <v>ES26</v>
      </c>
    </row>
    <row r="127" spans="1:8" x14ac:dyDescent="0.25">
      <c r="A127" s="24" t="s">
        <v>468</v>
      </c>
      <c r="B127" s="24" t="s">
        <v>467</v>
      </c>
      <c r="C127" s="24" t="s">
        <v>469</v>
      </c>
      <c r="D127" s="24" t="s">
        <v>1183</v>
      </c>
      <c r="E127" s="24" t="s">
        <v>1184</v>
      </c>
      <c r="F127" s="24" t="s">
        <v>1185</v>
      </c>
      <c r="G127" s="25" t="str" cm="1">
        <f t="array" ref="G127">INDEX(Gebieden_in_Nederland_2023_2403!H:H,MATCH('municipalities per province'!B127,Gebieden_in_Nederland_2023_2403!B:B,0),0)</f>
        <v>Drechtsteden</v>
      </c>
      <c r="H127" s="24" t="str" cm="1">
        <f t="array" ref="H127">INDEX(Gebieden_in_Nederland_2023_2403!G:G,MATCH('municipalities per province'!B127,Gebieden_in_Nederland_2023_2403!B:B,0),0)</f>
        <v>ES18</v>
      </c>
    </row>
    <row r="128" spans="1:8" x14ac:dyDescent="0.25">
      <c r="A128" s="24" t="s">
        <v>111</v>
      </c>
      <c r="B128" s="24" t="s">
        <v>110</v>
      </c>
      <c r="C128" s="24" t="s">
        <v>112</v>
      </c>
      <c r="D128" s="24" t="s">
        <v>1186</v>
      </c>
      <c r="E128" s="24" t="s">
        <v>1187</v>
      </c>
      <c r="F128" s="24" t="s">
        <v>1188</v>
      </c>
      <c r="G128" s="25" t="str" cm="1">
        <f t="array" ref="G128">INDEX(Gebieden_in_Nederland_2023_2403!H:H,MATCH('municipalities per province'!B128,Gebieden_in_Nederland_2023_2403!B:B,0),0)</f>
        <v>Twente</v>
      </c>
      <c r="H128" s="24" t="str" cm="1">
        <f t="array" ref="H128">INDEX(Gebieden_in_Nederland_2023_2403!G:G,MATCH('municipalities per province'!B128,Gebieden_in_Nederland_2023_2403!B:B,0),0)</f>
        <v>ES04</v>
      </c>
    </row>
    <row r="129" spans="1:8" x14ac:dyDescent="0.25">
      <c r="A129" s="24" t="s">
        <v>642</v>
      </c>
      <c r="B129" s="24" t="s">
        <v>641</v>
      </c>
      <c r="C129" s="24" t="s">
        <v>643</v>
      </c>
      <c r="D129" s="24" t="s">
        <v>1192</v>
      </c>
      <c r="E129" s="24" t="s">
        <v>1193</v>
      </c>
      <c r="F129" s="24" t="s">
        <v>1194</v>
      </c>
      <c r="G129" s="25" t="str" cm="1">
        <f t="array" ref="G129">INDEX(Gebieden_in_Nederland_2023_2403!H:H,MATCH('municipalities per province'!B129,Gebieden_in_Nederland_2023_2403!B:B,0),0)</f>
        <v>Noordoost-Brabant</v>
      </c>
      <c r="H129" s="24" t="str" cm="1">
        <f t="array" ref="H129">INDEX(Gebieden_in_Nederland_2023_2403!G:G,MATCH('municipalities per province'!B129,Gebieden_in_Nederland_2023_2403!B:B,0),0)</f>
        <v>ES27</v>
      </c>
    </row>
    <row r="130" spans="1:8" x14ac:dyDescent="0.25">
      <c r="A130" s="24" t="s">
        <v>204</v>
      </c>
      <c r="B130" s="24" t="s">
        <v>203</v>
      </c>
      <c r="C130" s="24" t="s">
        <v>205</v>
      </c>
      <c r="D130" s="24" t="s">
        <v>1178</v>
      </c>
      <c r="E130" s="24" t="s">
        <v>1179</v>
      </c>
      <c r="F130" s="24" t="s">
        <v>1180</v>
      </c>
      <c r="G130" s="25" t="str" cm="1">
        <f t="array" ref="G130">INDEX(Gebieden_in_Nederland_2023_2403!H:H,MATCH('municipalities per province'!B130,Gebieden_in_Nederland_2023_2403!B:B,0),0)</f>
        <v>Arnhem/Nijmegen</v>
      </c>
      <c r="H130" s="24" t="str" cm="1">
        <f t="array" ref="H130">INDEX(Gebieden_in_Nederland_2023_2403!G:G,MATCH('municipalities per province'!B130,Gebieden_in_Nederland_2023_2403!B:B,0),0)</f>
        <v>ES08</v>
      </c>
    </row>
    <row r="131" spans="1:8" x14ac:dyDescent="0.25">
      <c r="A131" s="24" t="s">
        <v>645</v>
      </c>
      <c r="B131" s="24" t="s">
        <v>644</v>
      </c>
      <c r="C131" s="24" t="s">
        <v>646</v>
      </c>
      <c r="D131" s="24" t="s">
        <v>1192</v>
      </c>
      <c r="E131" s="24" t="s">
        <v>1193</v>
      </c>
      <c r="F131" s="24" t="s">
        <v>1194</v>
      </c>
      <c r="G131" s="25" t="str" cm="1">
        <f t="array" ref="G131">INDEX(Gebieden_in_Nederland_2023_2403!H:H,MATCH('municipalities per province'!B131,Gebieden_in_Nederland_2023_2403!B:B,0),0)</f>
        <v>HartvanBrabant</v>
      </c>
      <c r="H131" s="24" t="str" cm="1">
        <f t="array" ref="H131">INDEX(Gebieden_in_Nederland_2023_2403!G:G,MATCH('municipalities per province'!B131,Gebieden_in_Nederland_2023_2403!B:B,0),0)</f>
        <v>ES25</v>
      </c>
    </row>
    <row r="132" spans="1:8" x14ac:dyDescent="0.25">
      <c r="A132" s="24" t="s">
        <v>474</v>
      </c>
      <c r="B132" s="24" t="s">
        <v>473</v>
      </c>
      <c r="C132" s="24" t="s">
        <v>475</v>
      </c>
      <c r="D132" s="24" t="s">
        <v>1183</v>
      </c>
      <c r="E132" s="24" t="s">
        <v>1184</v>
      </c>
      <c r="F132" s="24" t="s">
        <v>1185</v>
      </c>
      <c r="G132" s="25" t="str" cm="1">
        <f t="array" ref="G132">INDEX(Gebieden_in_Nederland_2023_2403!H:H,MATCH('municipalities per province'!B132,Gebieden_in_Nederland_2023_2403!B:B,0),0)</f>
        <v>HollandRijnland</v>
      </c>
      <c r="H132" s="24" t="str" cm="1">
        <f t="array" ref="H132">INDEX(Gebieden_in_Nederland_2023_2403!G:G,MATCH('municipalities per province'!B132,Gebieden_in_Nederland_2023_2403!B:B,0),0)</f>
        <v>ES21</v>
      </c>
    </row>
    <row r="133" spans="1:8" x14ac:dyDescent="0.25">
      <c r="A133" s="24" t="s">
        <v>648</v>
      </c>
      <c r="B133" s="24" t="s">
        <v>647</v>
      </c>
      <c r="C133" s="24" t="s">
        <v>649</v>
      </c>
      <c r="D133" s="24" t="s">
        <v>1192</v>
      </c>
      <c r="E133" s="24" t="s">
        <v>1193</v>
      </c>
      <c r="F133" s="24" t="s">
        <v>1194</v>
      </c>
      <c r="G133" s="25" t="str" cm="1">
        <f t="array" ref="G133">INDEX(Gebieden_in_Nederland_2023_2403!H:H,MATCH('municipalities per province'!B133,Gebieden_in_Nederland_2023_2403!B:B,0),0)</f>
        <v>HartvanBrabant</v>
      </c>
      <c r="H133" s="24" t="str" cm="1">
        <f t="array" ref="H133">INDEX(Gebieden_in_Nederland_2023_2403!G:G,MATCH('municipalities per province'!B133,Gebieden_in_Nederland_2023_2403!B:B,0),0)</f>
        <v>ES25</v>
      </c>
    </row>
    <row r="134" spans="1:8" x14ac:dyDescent="0.25">
      <c r="A134" s="24" t="s">
        <v>384</v>
      </c>
      <c r="B134" s="24" t="s">
        <v>383</v>
      </c>
      <c r="C134" s="24" t="s">
        <v>385</v>
      </c>
      <c r="D134" s="24" t="s">
        <v>1175</v>
      </c>
      <c r="E134" s="24" t="s">
        <v>1176</v>
      </c>
      <c r="F134" s="24" t="s">
        <v>1177</v>
      </c>
      <c r="G134" s="25" t="str" cm="1">
        <f t="array" ref="G134">INDEX(Gebieden_in_Nederland_2023_2403!H:H,MATCH('municipalities per province'!B134,Gebieden_in_Nederland_2023_2403!B:B,0),0)</f>
        <v>Noord-HollandZuid</v>
      </c>
      <c r="H134" s="24" t="str" cm="1">
        <f t="array" ref="H134">INDEX(Gebieden_in_Nederland_2023_2403!G:G,MATCH('municipalities per province'!B134,Gebieden_in_Nederland_2023_2403!B:B,0),0)</f>
        <v>ES16</v>
      </c>
    </row>
    <row r="135" spans="1:8" x14ac:dyDescent="0.25">
      <c r="A135" s="24" t="s">
        <v>1017</v>
      </c>
      <c r="B135" s="24" t="s">
        <v>1016</v>
      </c>
      <c r="C135" s="24" t="s">
        <v>1018</v>
      </c>
      <c r="D135" s="24" t="s">
        <v>1183</v>
      </c>
      <c r="E135" s="24" t="s">
        <v>1184</v>
      </c>
      <c r="F135" s="24" t="s">
        <v>1185</v>
      </c>
      <c r="G135" s="25" t="str" cm="1">
        <f t="array" ref="G135">INDEX(Gebieden_in_Nederland_2023_2403!H:H,MATCH('municipalities per province'!B135,Gebieden_in_Nederland_2023_2403!B:B,0),0)</f>
        <v>Hoekschewaard</v>
      </c>
      <c r="H135" s="24" t="str" cm="1">
        <f t="array" ref="H135">INDEX(Gebieden_in_Nederland_2023_2403!G:G,MATCH('municipalities per province'!B135,Gebieden_in_Nederland_2023_2403!B:B,0),0)</f>
        <v>ES20</v>
      </c>
    </row>
    <row r="136" spans="1:8" x14ac:dyDescent="0.25">
      <c r="A136" s="24" t="s">
        <v>900</v>
      </c>
      <c r="B136" s="24" t="s">
        <v>899</v>
      </c>
      <c r="C136" s="24" t="s">
        <v>901</v>
      </c>
      <c r="D136" s="24" t="s">
        <v>1186</v>
      </c>
      <c r="E136" s="24" t="s">
        <v>1187</v>
      </c>
      <c r="F136" s="24" t="s">
        <v>1188</v>
      </c>
      <c r="G136" s="25" t="str" cm="1">
        <f t="array" ref="G136">INDEX(Gebieden_in_Nederland_2023_2403!H:H,MATCH('municipalities per province'!B136,Gebieden_in_Nederland_2023_2403!B:B,0),0)</f>
        <v>Twente</v>
      </c>
      <c r="H136" s="24" t="str" cm="1">
        <f t="array" ref="H136">INDEX(Gebieden_in_Nederland_2023_2403!G:G,MATCH('municipalities per province'!B136,Gebieden_in_Nederland_2023_2403!B:B,0),0)</f>
        <v>ES04</v>
      </c>
    </row>
    <row r="137" spans="1:8" x14ac:dyDescent="0.25">
      <c r="A137" s="24" t="s">
        <v>1020</v>
      </c>
      <c r="B137" s="24" t="s">
        <v>1019</v>
      </c>
      <c r="C137" s="24" t="s">
        <v>1021</v>
      </c>
      <c r="D137" s="24" t="s">
        <v>1203</v>
      </c>
      <c r="E137" s="24" t="s">
        <v>1204</v>
      </c>
      <c r="F137" s="24" t="s">
        <v>21</v>
      </c>
      <c r="G137" s="25" t="str" cm="1">
        <f t="array" ref="G137">INDEX(Gebieden_in_Nederland_2023_2403!H:H,MATCH('municipalities per province'!B137,Gebieden_in_Nederland_2023_2403!B:B,0),0)</f>
        <v>Groningen</v>
      </c>
      <c r="H137" s="24" t="str" cm="1">
        <f t="array" ref="H137">INDEX(Gebieden_in_Nederland_2023_2403!G:G,MATCH('municipalities per province'!B137,Gebieden_in_Nederland_2023_2403!B:B,0),0)</f>
        <v>ES01</v>
      </c>
    </row>
    <row r="138" spans="1:8" x14ac:dyDescent="0.25">
      <c r="A138" s="24" t="s">
        <v>963</v>
      </c>
      <c r="B138" s="24" t="s">
        <v>962</v>
      </c>
      <c r="C138" s="24" t="s">
        <v>964</v>
      </c>
      <c r="D138" s="24" t="s">
        <v>1175</v>
      </c>
      <c r="E138" s="24" t="s">
        <v>1176</v>
      </c>
      <c r="F138" s="24" t="s">
        <v>1177</v>
      </c>
      <c r="G138" s="25" t="str" cm="1">
        <f t="array" ref="G138">INDEX(Gebieden_in_Nederland_2023_2403!H:H,MATCH('municipalities per province'!B138,Gebieden_in_Nederland_2023_2403!B:B,0),0)</f>
        <v>Noord-HollandNoord</v>
      </c>
      <c r="H138" s="24" t="str" cm="1">
        <f t="array" ref="H138">INDEX(Gebieden_in_Nederland_2023_2403!G:G,MATCH('municipalities per province'!B138,Gebieden_in_Nederland_2023_2403!B:B,0),0)</f>
        <v>ES15</v>
      </c>
    </row>
    <row r="139" spans="1:8" x14ac:dyDescent="0.25">
      <c r="A139" s="24" t="s">
        <v>81</v>
      </c>
      <c r="B139" s="24" t="s">
        <v>80</v>
      </c>
      <c r="C139" s="24" t="s">
        <v>82</v>
      </c>
      <c r="D139" s="24" t="s">
        <v>1172</v>
      </c>
      <c r="E139" s="24" t="s">
        <v>1173</v>
      </c>
      <c r="F139" s="24" t="s">
        <v>1174</v>
      </c>
      <c r="G139" s="25" t="str" cm="1">
        <f t="array" ref="G139">INDEX(Gebieden_in_Nederland_2023_2403!H:H,MATCH('municipalities per province'!B139,Gebieden_in_Nederland_2023_2403!B:B,0),0)</f>
        <v>Drenthe</v>
      </c>
      <c r="H139" s="24" t="str" cm="1">
        <f t="array" ref="H139">INDEX(Gebieden_in_Nederland_2023_2403!G:G,MATCH('municipalities per province'!B139,Gebieden_in_Nederland_2023_2403!B:B,0),0)</f>
        <v>ES03</v>
      </c>
    </row>
    <row r="140" spans="1:8" x14ac:dyDescent="0.25">
      <c r="A140" s="24" t="s">
        <v>387</v>
      </c>
      <c r="B140" s="24" t="s">
        <v>386</v>
      </c>
      <c r="C140" s="24" t="s">
        <v>388</v>
      </c>
      <c r="D140" s="24" t="s">
        <v>1175</v>
      </c>
      <c r="E140" s="24" t="s">
        <v>1176</v>
      </c>
      <c r="F140" s="24" t="s">
        <v>1177</v>
      </c>
      <c r="G140" s="25" t="str" cm="1">
        <f t="array" ref="G140">INDEX(Gebieden_in_Nederland_2023_2403!H:H,MATCH('municipalities per province'!B140,Gebieden_in_Nederland_2023_2403!B:B,0),0)</f>
        <v>Noord-HollandNoord</v>
      </c>
      <c r="H140" s="24" t="str" cm="1">
        <f t="array" ref="H140">INDEX(Gebieden_in_Nederland_2023_2403!G:G,MATCH('municipalities per province'!B140,Gebieden_in_Nederland_2023_2403!B:B,0),0)</f>
        <v>ES15</v>
      </c>
    </row>
    <row r="141" spans="1:8" x14ac:dyDescent="0.25">
      <c r="A141" s="24" t="s">
        <v>780</v>
      </c>
      <c r="B141" s="24" t="s">
        <v>779</v>
      </c>
      <c r="C141" s="24" t="s">
        <v>781</v>
      </c>
      <c r="D141" s="24" t="s">
        <v>1197</v>
      </c>
      <c r="E141" s="24" t="s">
        <v>1198</v>
      </c>
      <c r="F141" s="24" t="s">
        <v>1199</v>
      </c>
      <c r="G141" s="25" t="str" cm="1">
        <f t="array" ref="G141">INDEX(Gebieden_in_Nederland_2023_2403!H:H,MATCH('municipalities per province'!B141,Gebieden_in_Nederland_2023_2403!B:B,0),0)</f>
        <v>Noord-enMidden-Limburg</v>
      </c>
      <c r="H141" s="24" t="str" cm="1">
        <f t="array" ref="H141">INDEX(Gebieden_in_Nederland_2023_2403!G:G,MATCH('municipalities per province'!B141,Gebieden_in_Nederland_2023_2403!B:B,0),0)</f>
        <v>ES29</v>
      </c>
    </row>
    <row r="142" spans="1:8" x14ac:dyDescent="0.25">
      <c r="A142" s="24" t="s">
        <v>288</v>
      </c>
      <c r="B142" s="24" t="s">
        <v>287</v>
      </c>
      <c r="C142" s="24" t="s">
        <v>289</v>
      </c>
      <c r="D142" s="24" t="s">
        <v>1195</v>
      </c>
      <c r="E142" s="24" t="s">
        <v>1196</v>
      </c>
      <c r="F142" s="24" t="s">
        <v>310</v>
      </c>
      <c r="G142" s="25" t="str" cm="1">
        <f t="array" ref="G142">INDEX(Gebieden_in_Nederland_2023_2403!H:H,MATCH('municipalities per province'!B142,Gebieden_in_Nederland_2023_2403!B:B,0),0)</f>
        <v>U16</v>
      </c>
      <c r="H142" s="24" t="str" cm="1">
        <f t="array" ref="H142">INDEX(Gebieden_in_Nederland_2023_2403!G:G,MATCH('municipalities per province'!B142,Gebieden_in_Nederland_2023_2403!B:B,0),0)</f>
        <v>ES14</v>
      </c>
    </row>
    <row r="143" spans="1:8" x14ac:dyDescent="0.25">
      <c r="A143" s="24" t="s">
        <v>390</v>
      </c>
      <c r="B143" s="24" t="s">
        <v>389</v>
      </c>
      <c r="C143" s="24" t="s">
        <v>391</v>
      </c>
      <c r="D143" s="24" t="s">
        <v>1175</v>
      </c>
      <c r="E143" s="24" t="s">
        <v>1176</v>
      </c>
      <c r="F143" s="24" t="s">
        <v>1177</v>
      </c>
      <c r="G143" s="25" t="str" cm="1">
        <f t="array" ref="G143">INDEX(Gebieden_in_Nederland_2023_2403!H:H,MATCH('municipalities per province'!B143,Gebieden_in_Nederland_2023_2403!B:B,0),0)</f>
        <v>Noord-HollandZuid</v>
      </c>
      <c r="H143" s="24" t="str" cm="1">
        <f t="array" ref="H143">INDEX(Gebieden_in_Nederland_2023_2403!G:G,MATCH('municipalities per province'!B143,Gebieden_in_Nederland_2023_2403!B:B,0),0)</f>
        <v>ES16</v>
      </c>
    </row>
    <row r="144" spans="1:8" x14ac:dyDescent="0.25">
      <c r="A144" s="24" t="s">
        <v>561</v>
      </c>
      <c r="B144" s="24" t="s">
        <v>560</v>
      </c>
      <c r="C144" s="24" t="s">
        <v>562</v>
      </c>
      <c r="D144" s="24" t="s">
        <v>1200</v>
      </c>
      <c r="E144" s="24" t="s">
        <v>1201</v>
      </c>
      <c r="F144" s="24" t="s">
        <v>1202</v>
      </c>
      <c r="G144" s="25" t="str" cm="1">
        <f t="array" ref="G144">INDEX(Gebieden_in_Nederland_2023_2403!H:H,MATCH('municipalities per province'!B144,Gebieden_in_Nederland_2023_2403!B:B,0),0)</f>
        <v>Zeeland</v>
      </c>
      <c r="H144" s="24" t="str" cm="1">
        <f t="array" ref="H144">INDEX(Gebieden_in_Nederland_2023_2403!G:G,MATCH('municipalities per province'!B144,Gebieden_in_Nederland_2023_2403!B:B,0),0)</f>
        <v>ES24</v>
      </c>
    </row>
    <row r="145" spans="1:8" x14ac:dyDescent="0.25">
      <c r="A145" s="24" t="s">
        <v>321</v>
      </c>
      <c r="B145" s="24" t="s">
        <v>320</v>
      </c>
      <c r="C145" s="24" t="s">
        <v>322</v>
      </c>
      <c r="D145" s="24" t="s">
        <v>1195</v>
      </c>
      <c r="E145" s="24" t="s">
        <v>1196</v>
      </c>
      <c r="F145" s="24" t="s">
        <v>310</v>
      </c>
      <c r="G145" s="25" t="str" cm="1">
        <f t="array" ref="G145">INDEX(Gebieden_in_Nederland_2023_2403!H:H,MATCH('municipalities per province'!B145,Gebieden_in_Nederland_2023_2403!B:B,0),0)</f>
        <v>U16</v>
      </c>
      <c r="H145" s="24" t="str" cm="1">
        <f t="array" ref="H145">INDEX(Gebieden_in_Nederland_2023_2403!G:G,MATCH('municipalities per province'!B145,Gebieden_in_Nederland_2023_2403!B:B,0),0)</f>
        <v>ES14</v>
      </c>
    </row>
    <row r="146" spans="1:8" x14ac:dyDescent="0.25">
      <c r="A146" s="24" t="s">
        <v>933</v>
      </c>
      <c r="B146" s="24" t="s">
        <v>932</v>
      </c>
      <c r="C146" s="24" t="s">
        <v>934</v>
      </c>
      <c r="D146" s="24" t="s">
        <v>1183</v>
      </c>
      <c r="E146" s="24" t="s">
        <v>1184</v>
      </c>
      <c r="F146" s="24" t="s">
        <v>1185</v>
      </c>
      <c r="G146" s="25" t="str" cm="1">
        <f t="array" ref="G146">INDEX(Gebieden_in_Nederland_2023_2403!H:H,MATCH('municipalities per province'!B146,Gebieden_in_Nederland_2023_2403!B:B,0),0)</f>
        <v>HollandRijnland</v>
      </c>
      <c r="H146" s="24" t="str" cm="1">
        <f t="array" ref="H146">INDEX(Gebieden_in_Nederland_2023_2403!G:G,MATCH('municipalities per province'!B146,Gebieden_in_Nederland_2023_2403!B:B,0),0)</f>
        <v>ES21</v>
      </c>
    </row>
    <row r="147" spans="1:8" x14ac:dyDescent="0.25">
      <c r="A147" s="24" t="s">
        <v>114</v>
      </c>
      <c r="B147" s="24" t="s">
        <v>113</v>
      </c>
      <c r="C147" s="24" t="s">
        <v>115</v>
      </c>
      <c r="D147" s="24" t="s">
        <v>1186</v>
      </c>
      <c r="E147" s="24" t="s">
        <v>1187</v>
      </c>
      <c r="F147" s="24" t="s">
        <v>1188</v>
      </c>
      <c r="G147" s="25" t="str" cm="1">
        <f t="array" ref="G147">INDEX(Gebieden_in_Nederland_2023_2403!H:H,MATCH('municipalities per province'!B147,Gebieden_in_Nederland_2023_2403!B:B,0),0)</f>
        <v>West-Overijssel</v>
      </c>
      <c r="H147" s="24" t="str" cm="1">
        <f t="array" ref="H147">INDEX(Gebieden_in_Nederland_2023_2403!G:G,MATCH('municipalities per province'!B147,Gebieden_in_Nederland_2023_2403!B:B,0),0)</f>
        <v>ES05</v>
      </c>
    </row>
    <row r="148" spans="1:8" x14ac:dyDescent="0.25">
      <c r="A148" s="24" t="s">
        <v>564</v>
      </c>
      <c r="B148" s="24" t="s">
        <v>563</v>
      </c>
      <c r="C148" s="24" t="s">
        <v>565</v>
      </c>
      <c r="D148" s="24" t="s">
        <v>1200</v>
      </c>
      <c r="E148" s="24" t="s">
        <v>1201</v>
      </c>
      <c r="F148" s="24" t="s">
        <v>1202</v>
      </c>
      <c r="G148" s="25" t="str" cm="1">
        <f t="array" ref="G148">INDEX(Gebieden_in_Nederland_2023_2403!H:H,MATCH('municipalities per province'!B148,Gebieden_in_Nederland_2023_2403!B:B,0),0)</f>
        <v>Zeeland</v>
      </c>
      <c r="H148" s="24" t="str" cm="1">
        <f t="array" ref="H148">INDEX(Gebieden_in_Nederland_2023_2403!G:G,MATCH('municipalities per province'!B148,Gebieden_in_Nederland_2023_2403!B:B,0),0)</f>
        <v>ES24</v>
      </c>
    </row>
    <row r="149" spans="1:8" x14ac:dyDescent="0.25">
      <c r="A149" s="24" t="s">
        <v>477</v>
      </c>
      <c r="B149" s="24" t="s">
        <v>476</v>
      </c>
      <c r="C149" s="24" t="s">
        <v>478</v>
      </c>
      <c r="D149" s="24" t="s">
        <v>1183</v>
      </c>
      <c r="E149" s="24" t="s">
        <v>1184</v>
      </c>
      <c r="F149" s="24" t="s">
        <v>1185</v>
      </c>
      <c r="G149" s="25" t="str" cm="1">
        <f t="array" ref="G149">INDEX(Gebieden_in_Nederland_2023_2403!H:H,MATCH('municipalities per province'!B149,Gebieden_in_Nederland_2023_2403!B:B,0),0)</f>
        <v>HollandRijnland</v>
      </c>
      <c r="H149" s="24" t="str" cm="1">
        <f t="array" ref="H149">INDEX(Gebieden_in_Nederland_2023_2403!G:G,MATCH('municipalities per province'!B149,Gebieden_in_Nederland_2023_2403!B:B,0),0)</f>
        <v>ES21</v>
      </c>
    </row>
    <row r="150" spans="1:8" x14ac:dyDescent="0.25">
      <c r="A150" s="24" t="s">
        <v>735</v>
      </c>
      <c r="B150" s="24" t="s">
        <v>734</v>
      </c>
      <c r="C150" s="24" t="s">
        <v>736</v>
      </c>
      <c r="D150" s="24" t="s">
        <v>1197</v>
      </c>
      <c r="E150" s="24" t="s">
        <v>1198</v>
      </c>
      <c r="F150" s="24" t="s">
        <v>1199</v>
      </c>
      <c r="G150" s="25" t="str" cm="1">
        <f t="array" ref="G150">INDEX(Gebieden_in_Nederland_2023_2403!H:H,MATCH('municipalities per province'!B150,Gebieden_in_Nederland_2023_2403!B:B,0),0)</f>
        <v>Zuid-Limburg</v>
      </c>
      <c r="H150" s="24" t="str" cm="1">
        <f t="array" ref="H150">INDEX(Gebieden_in_Nederland_2023_2403!G:G,MATCH('municipalities per province'!B150,Gebieden_in_Nederland_2023_2403!B:B,0),0)</f>
        <v>ES30</v>
      </c>
    </row>
    <row r="151" spans="1:8" x14ac:dyDescent="0.25">
      <c r="A151" s="24" t="s">
        <v>795</v>
      </c>
      <c r="B151" s="24" t="s">
        <v>794</v>
      </c>
      <c r="C151" s="24" t="s">
        <v>796</v>
      </c>
      <c r="D151" s="24" t="s">
        <v>1175</v>
      </c>
      <c r="E151" s="24" t="s">
        <v>1176</v>
      </c>
      <c r="F151" s="24" t="s">
        <v>1177</v>
      </c>
      <c r="G151" s="25" t="str" cm="1">
        <f t="array" ref="G151">INDEX(Gebieden_in_Nederland_2023_2403!H:H,MATCH('municipalities per province'!B151,Gebieden_in_Nederland_2023_2403!B:B,0),0)</f>
        <v>Noord-HollandNoord</v>
      </c>
      <c r="H151" s="24" t="str" cm="1">
        <f t="array" ref="H151">INDEX(Gebieden_in_Nederland_2023_2403!G:G,MATCH('municipalities per province'!B151,Gebieden_in_Nederland_2023_2403!B:B,0),0)</f>
        <v>ES15</v>
      </c>
    </row>
    <row r="152" spans="1:8" x14ac:dyDescent="0.25">
      <c r="A152" s="24" t="s">
        <v>480</v>
      </c>
      <c r="B152" s="24" t="s">
        <v>479</v>
      </c>
      <c r="C152" s="24" t="s">
        <v>481</v>
      </c>
      <c r="D152" s="24" t="s">
        <v>1183</v>
      </c>
      <c r="E152" s="24" t="s">
        <v>1184</v>
      </c>
      <c r="F152" s="24" t="s">
        <v>1185</v>
      </c>
      <c r="G152" s="25" t="str" cm="1">
        <f t="array" ref="G152">INDEX(Gebieden_in_Nederland_2023_2403!H:H,MATCH('municipalities per province'!B152,Gebieden_in_Nederland_2023_2403!B:B,0),0)</f>
        <v>Rotterdam/DenHaag</v>
      </c>
      <c r="H152" s="24" t="str" cm="1">
        <f t="array" ref="H152">INDEX(Gebieden_in_Nederland_2023_2403!G:G,MATCH('municipalities per province'!B152,Gebieden_in_Nederland_2023_2403!B:B,0),0)</f>
        <v>ES23</v>
      </c>
    </row>
    <row r="153" spans="1:8" x14ac:dyDescent="0.25">
      <c r="A153" s="24" t="s">
        <v>978</v>
      </c>
      <c r="B153" s="24" t="s">
        <v>977</v>
      </c>
      <c r="C153" s="24" t="s">
        <v>979</v>
      </c>
      <c r="D153" s="24" t="s">
        <v>1183</v>
      </c>
      <c r="E153" s="24" t="s">
        <v>1184</v>
      </c>
      <c r="F153" s="24" t="s">
        <v>1185</v>
      </c>
      <c r="G153" s="25" t="str" cm="1">
        <f t="array" ref="G153">INDEX(Gebieden_in_Nederland_2023_2403!H:H,MATCH('municipalities per province'!B153,Gebieden_in_Nederland_2023_2403!B:B,0),0)</f>
        <v>Midden-Holland</v>
      </c>
      <c r="H153" s="24" t="str" cm="1">
        <f t="array" ref="H153">INDEX(Gebieden_in_Nederland_2023_2403!G:G,MATCH('municipalities per province'!B153,Gebieden_in_Nederland_2023_2403!B:B,0),0)</f>
        <v>ES22</v>
      </c>
    </row>
    <row r="154" spans="1:8" x14ac:dyDescent="0.25">
      <c r="A154" s="24" t="s">
        <v>816</v>
      </c>
      <c r="B154" s="24" t="s">
        <v>815</v>
      </c>
      <c r="C154" s="24" t="s">
        <v>817</v>
      </c>
      <c r="D154" s="24" t="s">
        <v>1192</v>
      </c>
      <c r="E154" s="24" t="s">
        <v>1193</v>
      </c>
      <c r="F154" s="24" t="s">
        <v>1194</v>
      </c>
      <c r="G154" s="25" t="str" cm="1">
        <f t="array" ref="G154">INDEX(Gebieden_in_Nederland_2023_2403!H:H,MATCH('municipalities per province'!B154,Gebieden_in_Nederland_2023_2403!B:B,0),0)</f>
        <v>MetropoolregioEindhoven</v>
      </c>
      <c r="H154" s="24" t="str" cm="1">
        <f t="array" ref="H154">INDEX(Gebieden_in_Nederland_2023_2403!G:G,MATCH('municipalities per province'!B154,Gebieden_in_Nederland_2023_2403!B:B,0),0)</f>
        <v>ES26</v>
      </c>
    </row>
    <row r="155" spans="1:8" x14ac:dyDescent="0.25">
      <c r="A155" s="24" t="s">
        <v>1038</v>
      </c>
      <c r="B155" s="24" t="s">
        <v>1037</v>
      </c>
      <c r="C155" s="24" t="s">
        <v>1039</v>
      </c>
      <c r="D155" s="24" t="s">
        <v>1192</v>
      </c>
      <c r="E155" s="24" t="s">
        <v>1193</v>
      </c>
      <c r="F155" s="24" t="s">
        <v>1194</v>
      </c>
      <c r="G155" s="25" t="str" cm="1">
        <f t="array" ref="G155">INDEX(Gebieden_in_Nederland_2023_2403!H:H,MATCH('municipalities per province'!B155,Gebieden_in_Nederland_2023_2403!B:B,0),0)</f>
        <v>Noordoost-Brabant</v>
      </c>
      <c r="H155" s="24" t="str" cm="1">
        <f t="array" ref="H155">INDEX(Gebieden_in_Nederland_2023_2403!G:G,MATCH('municipalities per province'!B155,Gebieden_in_Nederland_2023_2403!B:B,0),0)</f>
        <v>ES27</v>
      </c>
    </row>
    <row r="156" spans="1:8" x14ac:dyDescent="0.25">
      <c r="A156" s="24" t="s">
        <v>714</v>
      </c>
      <c r="B156" s="24" t="s">
        <v>713</v>
      </c>
      <c r="C156" s="24" t="s">
        <v>715</v>
      </c>
      <c r="D156" s="24" t="s">
        <v>1197</v>
      </c>
      <c r="E156" s="24" t="s">
        <v>1198</v>
      </c>
      <c r="F156" s="24" t="s">
        <v>1199</v>
      </c>
      <c r="G156" s="25" t="str" cm="1">
        <f t="array" ref="G156">INDEX(Gebieden_in_Nederland_2023_2403!H:H,MATCH('municipalities per province'!B156,Gebieden_in_Nederland_2023_2403!B:B,0),0)</f>
        <v>Zuid-Limburg</v>
      </c>
      <c r="H156" s="24" t="str" cm="1">
        <f t="array" ref="H156">INDEX(Gebieden_in_Nederland_2023_2403!G:G,MATCH('municipalities per province'!B156,Gebieden_in_Nederland_2023_2403!B:B,0),0)</f>
        <v>ES30</v>
      </c>
    </row>
    <row r="157" spans="1:8" x14ac:dyDescent="0.25">
      <c r="A157" s="24" t="s">
        <v>393</v>
      </c>
      <c r="B157" s="24" t="s">
        <v>392</v>
      </c>
      <c r="C157" s="24" t="s">
        <v>394</v>
      </c>
      <c r="D157" s="24" t="s">
        <v>1175</v>
      </c>
      <c r="E157" s="24" t="s">
        <v>1176</v>
      </c>
      <c r="F157" s="24" t="s">
        <v>1177</v>
      </c>
      <c r="G157" s="25" t="str" cm="1">
        <f t="array" ref="G157">INDEX(Gebieden_in_Nederland_2023_2403!H:H,MATCH('municipalities per province'!B157,Gebieden_in_Nederland_2023_2403!B:B,0),0)</f>
        <v>Noord-HollandZuid</v>
      </c>
      <c r="H157" s="24" t="str" cm="1">
        <f t="array" ref="H157">INDEX(Gebieden_in_Nederland_2023_2403!G:G,MATCH('municipalities per province'!B157,Gebieden_in_Nederland_2023_2403!B:B,0),0)</f>
        <v>ES16</v>
      </c>
    </row>
    <row r="158" spans="1:8" x14ac:dyDescent="0.25">
      <c r="A158" s="24" t="s">
        <v>798</v>
      </c>
      <c r="B158" s="24" t="s">
        <v>797</v>
      </c>
      <c r="C158" s="24" t="s">
        <v>799</v>
      </c>
      <c r="D158" s="24" t="s">
        <v>1183</v>
      </c>
      <c r="E158" s="24" t="s">
        <v>1184</v>
      </c>
      <c r="F158" s="24" t="s">
        <v>1185</v>
      </c>
      <c r="G158" s="25" t="str" cm="1">
        <f t="array" ref="G158">INDEX(Gebieden_in_Nederland_2023_2403!H:H,MATCH('municipalities per province'!B158,Gebieden_in_Nederland_2023_2403!B:B,0),0)</f>
        <v>Rotterdam/DenHaag</v>
      </c>
      <c r="H158" s="24" t="str" cm="1">
        <f t="array" ref="H158">INDEX(Gebieden_in_Nederland_2023_2403!G:G,MATCH('municipalities per province'!B158,Gebieden_in_Nederland_2023_2403!B:B,0),0)</f>
        <v>ES23</v>
      </c>
    </row>
    <row r="159" spans="1:8" x14ac:dyDescent="0.25">
      <c r="A159" s="24" t="s">
        <v>396</v>
      </c>
      <c r="B159" s="24" t="s">
        <v>395</v>
      </c>
      <c r="C159" s="24" t="s">
        <v>397</v>
      </c>
      <c r="D159" s="24" t="s">
        <v>1175</v>
      </c>
      <c r="E159" s="24" t="s">
        <v>1176</v>
      </c>
      <c r="F159" s="24" t="s">
        <v>1177</v>
      </c>
      <c r="G159" s="25" t="str" cm="1">
        <f t="array" ref="G159">INDEX(Gebieden_in_Nederland_2023_2403!H:H,MATCH('municipalities per province'!B159,Gebieden_in_Nederland_2023_2403!B:B,0),0)</f>
        <v>Noord-HollandZuid</v>
      </c>
      <c r="H159" s="24" t="str" cm="1">
        <f t="array" ref="H159">INDEX(Gebieden_in_Nederland_2023_2403!G:G,MATCH('municipalities per province'!B159,Gebieden_in_Nederland_2023_2403!B:B,0),0)</f>
        <v>ES16</v>
      </c>
    </row>
    <row r="160" spans="1:8" x14ac:dyDescent="0.25">
      <c r="A160" s="24" t="s">
        <v>48</v>
      </c>
      <c r="B160" s="24" t="s">
        <v>47</v>
      </c>
      <c r="C160" s="24" t="s">
        <v>49</v>
      </c>
      <c r="D160" s="24" t="s">
        <v>1181</v>
      </c>
      <c r="E160" s="24" t="s">
        <v>1182</v>
      </c>
      <c r="F160" s="24" t="s">
        <v>1205</v>
      </c>
      <c r="G160" s="25" t="str" cm="1">
        <f t="array" ref="G160">INDEX(Gebieden_in_Nederland_2023_2403!H:H,MATCH('municipalities per province'!B160,Gebieden_in_Nederland_2023_2403!B:B,0),0)</f>
        <v>Friesland</v>
      </c>
      <c r="H160" s="24" t="str" cm="1">
        <f t="array" ref="H160">INDEX(Gebieden_in_Nederland_2023_2403!G:G,MATCH('municipalities per province'!B160,Gebieden_in_Nederland_2023_2403!B:B,0),0)</f>
        <v>ES02</v>
      </c>
    </row>
    <row r="161" spans="1:8" x14ac:dyDescent="0.25">
      <c r="A161" s="24" t="s">
        <v>483</v>
      </c>
      <c r="B161" s="24" t="s">
        <v>482</v>
      </c>
      <c r="C161" s="24" t="s">
        <v>484</v>
      </c>
      <c r="D161" s="24" t="s">
        <v>1183</v>
      </c>
      <c r="E161" s="24" t="s">
        <v>1184</v>
      </c>
      <c r="F161" s="24" t="s">
        <v>1185</v>
      </c>
      <c r="G161" s="25" t="str" cm="1">
        <f t="array" ref="G161">INDEX(Gebieden_in_Nederland_2023_2403!H:H,MATCH('municipalities per province'!B161,Gebieden_in_Nederland_2023_2403!B:B,0),0)</f>
        <v>HollandRijnland</v>
      </c>
      <c r="H161" s="24" t="str" cm="1">
        <f t="array" ref="H161">INDEX(Gebieden_in_Nederland_2023_2403!G:G,MATCH('municipalities per province'!B161,Gebieden_in_Nederland_2023_2403!B:B,0),0)</f>
        <v>ES21</v>
      </c>
    </row>
    <row r="162" spans="1:8" x14ac:dyDescent="0.25">
      <c r="A162" s="24" t="s">
        <v>486</v>
      </c>
      <c r="B162" s="24" t="s">
        <v>485</v>
      </c>
      <c r="C162" s="24" t="s">
        <v>487</v>
      </c>
      <c r="D162" s="24" t="s">
        <v>1183</v>
      </c>
      <c r="E162" s="24" t="s">
        <v>1184</v>
      </c>
      <c r="F162" s="24" t="s">
        <v>1185</v>
      </c>
      <c r="G162" s="25" t="str" cm="1">
        <f t="array" ref="G162">INDEX(Gebieden_in_Nederland_2023_2403!H:H,MATCH('municipalities per province'!B162,Gebieden_in_Nederland_2023_2403!B:B,0),0)</f>
        <v>HollandRijnland</v>
      </c>
      <c r="H162" s="24" t="str" cm="1">
        <f t="array" ref="H162">INDEX(Gebieden_in_Nederland_2023_2403!G:G,MATCH('municipalities per province'!B162,Gebieden_in_Nederland_2023_2403!B:B,0),0)</f>
        <v>ES21</v>
      </c>
    </row>
    <row r="163" spans="1:8" x14ac:dyDescent="0.25">
      <c r="A163" s="24" t="s">
        <v>966</v>
      </c>
      <c r="B163" s="24" t="s">
        <v>965</v>
      </c>
      <c r="C163" s="24" t="s">
        <v>967</v>
      </c>
      <c r="D163" s="24" t="s">
        <v>1183</v>
      </c>
      <c r="E163" s="24" t="s">
        <v>1184</v>
      </c>
      <c r="F163" s="24" t="s">
        <v>1185</v>
      </c>
      <c r="G163" s="25" t="str" cm="1">
        <f t="array" ref="G163">INDEX(Gebieden_in_Nederland_2023_2403!H:H,MATCH('municipalities per province'!B163,Gebieden_in_Nederland_2023_2403!B:B,0),0)</f>
        <v>Rotterdam/DenHaag</v>
      </c>
      <c r="H163" s="24" t="str" cm="1">
        <f t="array" ref="H163">INDEX(Gebieden_in_Nederland_2023_2403!G:G,MATCH('municipalities per province'!B163,Gebieden_in_Nederland_2023_2403!B:B,0),0)</f>
        <v>ES23</v>
      </c>
    </row>
    <row r="164" spans="1:8" x14ac:dyDescent="0.25">
      <c r="A164" s="24" t="s">
        <v>777</v>
      </c>
      <c r="B164" s="24" t="s">
        <v>776</v>
      </c>
      <c r="C164" s="24" t="s">
        <v>778</v>
      </c>
      <c r="D164" s="24" t="s">
        <v>1189</v>
      </c>
      <c r="E164" s="24" t="s">
        <v>1190</v>
      </c>
      <c r="F164" s="24" t="s">
        <v>1191</v>
      </c>
      <c r="G164" s="25" t="str" cm="1">
        <f t="array" ref="G164">INDEX(Gebieden_in_Nederland_2023_2403!H:H,MATCH('municipalities per province'!B164,Gebieden_in_Nederland_2023_2403!B:B,0),0)</f>
        <v>Flevoland</v>
      </c>
      <c r="H164" s="24" t="str" cm="1">
        <f t="array" ref="H164">INDEX(Gebieden_in_Nederland_2023_2403!G:G,MATCH('municipalities per province'!B164,Gebieden_in_Nederland_2023_2403!B:B,0),0)</f>
        <v>ES06</v>
      </c>
    </row>
    <row r="165" spans="1:8" x14ac:dyDescent="0.25">
      <c r="A165" s="24" t="s">
        <v>801</v>
      </c>
      <c r="B165" s="24" t="s">
        <v>800</v>
      </c>
      <c r="C165" s="24" t="s">
        <v>802</v>
      </c>
      <c r="D165" s="24" t="s">
        <v>1197</v>
      </c>
      <c r="E165" s="24" t="s">
        <v>1198</v>
      </c>
      <c r="F165" s="24" t="s">
        <v>1199</v>
      </c>
      <c r="G165" s="25" t="str" cm="1">
        <f t="array" ref="G165">INDEX(Gebieden_in_Nederland_2023_2403!H:H,MATCH('municipalities per province'!B165,Gebieden_in_Nederland_2023_2403!B:B,0),0)</f>
        <v>Noord-enMidden-Limburg</v>
      </c>
      <c r="H165" s="24" t="str" cm="1">
        <f t="array" ref="H165">INDEX(Gebieden_in_Nederland_2023_2403!G:G,MATCH('municipalities per province'!B165,Gebieden_in_Nederland_2023_2403!B:B,0),0)</f>
        <v>ES29</v>
      </c>
    </row>
    <row r="166" spans="1:8" x14ac:dyDescent="0.25">
      <c r="A166" s="24" t="s">
        <v>291</v>
      </c>
      <c r="B166" s="24" t="s">
        <v>290</v>
      </c>
      <c r="C166" s="24" t="s">
        <v>292</v>
      </c>
      <c r="D166" s="24" t="s">
        <v>1195</v>
      </c>
      <c r="E166" s="24" t="s">
        <v>1196</v>
      </c>
      <c r="F166" s="24" t="s">
        <v>310</v>
      </c>
      <c r="G166" s="25" t="str" cm="1">
        <f t="array" ref="G166">INDEX(Gebieden_in_Nederland_2023_2403!H:H,MATCH('municipalities per province'!B166,Gebieden_in_Nederland_2023_2403!B:B,0),0)</f>
        <v>Amersfoort</v>
      </c>
      <c r="H166" s="24" t="str" cm="1">
        <f t="array" ref="H166">INDEX(Gebieden_in_Nederland_2023_2403!G:G,MATCH('municipalities per province'!B166,Gebieden_in_Nederland_2023_2403!B:B,0),0)</f>
        <v>ES13</v>
      </c>
    </row>
    <row r="167" spans="1:8" x14ac:dyDescent="0.25">
      <c r="A167" s="24" t="s">
        <v>855</v>
      </c>
      <c r="B167" s="24" t="s">
        <v>854</v>
      </c>
      <c r="C167" s="24" t="s">
        <v>856</v>
      </c>
      <c r="D167" s="24" t="s">
        <v>1178</v>
      </c>
      <c r="E167" s="24" t="s">
        <v>1179</v>
      </c>
      <c r="F167" s="24" t="s">
        <v>1180</v>
      </c>
      <c r="G167" s="25" t="str" cm="1">
        <f t="array" ref="G167">INDEX(Gebieden_in_Nederland_2023_2403!H:H,MATCH('municipalities per province'!B167,Gebieden_in_Nederland_2023_2403!B:B,0),0)</f>
        <v>Arnhem/Nijmegen</v>
      </c>
      <c r="H167" s="24" t="str" cm="1">
        <f t="array" ref="H167">INDEX(Gebieden_in_Nederland_2023_2403!G:G,MATCH('municipalities per province'!B167,Gebieden_in_Nederland_2023_2403!B:B,0),0)</f>
        <v>ES08</v>
      </c>
    </row>
    <row r="168" spans="1:8" x14ac:dyDescent="0.25">
      <c r="A168" s="24" t="s">
        <v>489</v>
      </c>
      <c r="B168" s="24" t="s">
        <v>488</v>
      </c>
      <c r="C168" s="24" t="s">
        <v>490</v>
      </c>
      <c r="D168" s="24" t="s">
        <v>1183</v>
      </c>
      <c r="E168" s="24" t="s">
        <v>1184</v>
      </c>
      <c r="F168" s="24" t="s">
        <v>1185</v>
      </c>
      <c r="G168" s="25" t="str" cm="1">
        <f t="array" ref="G168">INDEX(Gebieden_in_Nederland_2023_2403!H:H,MATCH('municipalities per province'!B168,Gebieden_in_Nederland_2023_2403!B:B,0),0)</f>
        <v>HollandRijnland</v>
      </c>
      <c r="H168" s="24" t="str" cm="1">
        <f t="array" ref="H168">INDEX(Gebieden_in_Nederland_2023_2403!G:G,MATCH('municipalities per province'!B168,Gebieden_in_Nederland_2023_2403!B:B,0),0)</f>
        <v>ES21</v>
      </c>
    </row>
    <row r="169" spans="1:8" x14ac:dyDescent="0.25">
      <c r="A169" s="24" t="s">
        <v>207</v>
      </c>
      <c r="B169" s="24" t="s">
        <v>206</v>
      </c>
      <c r="C169" s="24" t="s">
        <v>208</v>
      </c>
      <c r="D169" s="24" t="s">
        <v>1178</v>
      </c>
      <c r="E169" s="24" t="s">
        <v>1179</v>
      </c>
      <c r="F169" s="24" t="s">
        <v>1180</v>
      </c>
      <c r="G169" s="25" t="str" cm="1">
        <f t="array" ref="G169">INDEX(Gebieden_in_Nederland_2023_2403!H:H,MATCH('municipalities per province'!B169,Gebieden_in_Nederland_2023_2403!B:B,0),0)</f>
        <v>Cleantech</v>
      </c>
      <c r="H169" s="24" t="str" cm="1">
        <f t="array" ref="H169">INDEX(Gebieden_in_Nederland_2023_2403!G:G,MATCH('municipalities per province'!B169,Gebieden_in_Nederland_2023_2403!B:B,0),0)</f>
        <v>ES12</v>
      </c>
    </row>
    <row r="170" spans="1:8" x14ac:dyDescent="0.25">
      <c r="A170" s="24" t="s">
        <v>651</v>
      </c>
      <c r="B170" s="24" t="s">
        <v>650</v>
      </c>
      <c r="C170" s="24" t="s">
        <v>652</v>
      </c>
      <c r="D170" s="24" t="s">
        <v>1192</v>
      </c>
      <c r="E170" s="24" t="s">
        <v>1193</v>
      </c>
      <c r="F170" s="24" t="s">
        <v>1194</v>
      </c>
      <c r="G170" s="25" t="str" cm="1">
        <f t="array" ref="G170">INDEX(Gebieden_in_Nederland_2023_2403!H:H,MATCH('municipalities per province'!B170,Gebieden_in_Nederland_2023_2403!B:B,0),0)</f>
        <v>HartvanBrabant</v>
      </c>
      <c r="H170" s="24" t="str" cm="1">
        <f t="array" ref="H170">INDEX(Gebieden_in_Nederland_2023_2403!G:G,MATCH('municipalities per province'!B170,Gebieden_in_Nederland_2023_2403!B:B,0),0)</f>
        <v>ES25</v>
      </c>
    </row>
    <row r="171" spans="1:8" x14ac:dyDescent="0.25">
      <c r="A171" s="24" t="s">
        <v>294</v>
      </c>
      <c r="B171" s="24" t="s">
        <v>293</v>
      </c>
      <c r="C171" s="24" t="s">
        <v>295</v>
      </c>
      <c r="D171" s="24" t="s">
        <v>1195</v>
      </c>
      <c r="E171" s="24" t="s">
        <v>1196</v>
      </c>
      <c r="F171" s="24" t="s">
        <v>310</v>
      </c>
      <c r="G171" s="25" t="str" cm="1">
        <f t="array" ref="G171">INDEX(Gebieden_in_Nederland_2023_2403!H:H,MATCH('municipalities per province'!B171,Gebieden_in_Nederland_2023_2403!B:B,0),0)</f>
        <v>U16</v>
      </c>
      <c r="H171" s="24" t="str" cm="1">
        <f t="array" ref="H171">INDEX(Gebieden_in_Nederland_2023_2403!G:G,MATCH('municipalities per province'!B171,Gebieden_in_Nederland_2023_2403!B:B,0),0)</f>
        <v>ES14</v>
      </c>
    </row>
    <row r="172" spans="1:8" x14ac:dyDescent="0.25">
      <c r="A172" s="24" t="s">
        <v>117</v>
      </c>
      <c r="B172" s="24" t="s">
        <v>116</v>
      </c>
      <c r="C172" s="24" t="s">
        <v>118</v>
      </c>
      <c r="D172" s="24" t="s">
        <v>1186</v>
      </c>
      <c r="E172" s="24" t="s">
        <v>1187</v>
      </c>
      <c r="F172" s="24" t="s">
        <v>1188</v>
      </c>
      <c r="G172" s="25" t="str" cm="1">
        <f t="array" ref="G172">INDEX(Gebieden_in_Nederland_2023_2403!H:H,MATCH('municipalities per province'!B172,Gebieden_in_Nederland_2023_2403!B:B,0),0)</f>
        <v>Twente</v>
      </c>
      <c r="H172" s="24" t="str" cm="1">
        <f t="array" ref="H172">INDEX(Gebieden_in_Nederland_2023_2403!G:G,MATCH('municipalities per province'!B172,Gebieden_in_Nederland_2023_2403!B:B,0),0)</f>
        <v>ES04</v>
      </c>
    </row>
    <row r="173" spans="1:8" x14ac:dyDescent="0.25">
      <c r="A173" s="24" t="s">
        <v>210</v>
      </c>
      <c r="B173" s="24" t="s">
        <v>209</v>
      </c>
      <c r="C173" s="24" t="s">
        <v>211</v>
      </c>
      <c r="D173" s="24" t="s">
        <v>1178</v>
      </c>
      <c r="E173" s="24" t="s">
        <v>1179</v>
      </c>
      <c r="F173" s="24" t="s">
        <v>1180</v>
      </c>
      <c r="G173" s="25" t="str" cm="1">
        <f t="array" ref="G173">INDEX(Gebieden_in_Nederland_2023_2403!H:H,MATCH('municipalities per province'!B173,Gebieden_in_Nederland_2023_2403!B:B,0),0)</f>
        <v>FruitdeltaRivierenland</v>
      </c>
      <c r="H173" s="24" t="str" cm="1">
        <f t="array" ref="H173">INDEX(Gebieden_in_Nederland_2023_2403!G:G,MATCH('municipalities per province'!B173,Gebieden_in_Nederland_2023_2403!B:B,0),0)</f>
        <v>ES11</v>
      </c>
    </row>
    <row r="174" spans="1:8" x14ac:dyDescent="0.25">
      <c r="A174" s="24" t="s">
        <v>804</v>
      </c>
      <c r="B174" s="24" t="s">
        <v>803</v>
      </c>
      <c r="C174" s="24" t="s">
        <v>805</v>
      </c>
      <c r="D174" s="24" t="s">
        <v>1197</v>
      </c>
      <c r="E174" s="24" t="s">
        <v>1198</v>
      </c>
      <c r="F174" s="24" t="s">
        <v>1199</v>
      </c>
      <c r="G174" s="25" t="str" cm="1">
        <f t="array" ref="G174">INDEX(Gebieden_in_Nederland_2023_2403!H:H,MATCH('municipalities per province'!B174,Gebieden_in_Nederland_2023_2403!B:B,0),0)</f>
        <v>Noord-enMidden-Limburg</v>
      </c>
      <c r="H174" s="24" t="str" cm="1">
        <f t="array" ref="H174">INDEX(Gebieden_in_Nederland_2023_2403!G:G,MATCH('municipalities per province'!B174,Gebieden_in_Nederland_2023_2403!B:B,0),0)</f>
        <v>ES29</v>
      </c>
    </row>
    <row r="175" spans="1:8" x14ac:dyDescent="0.25">
      <c r="A175" s="24" t="s">
        <v>1041</v>
      </c>
      <c r="B175" s="24" t="s">
        <v>1040</v>
      </c>
      <c r="C175" s="24" t="s">
        <v>1042</v>
      </c>
      <c r="D175" s="24" t="s">
        <v>1192</v>
      </c>
      <c r="E175" s="24" t="s">
        <v>1193</v>
      </c>
      <c r="F175" s="24" t="s">
        <v>1194</v>
      </c>
      <c r="G175" s="25" t="str" cm="1">
        <f t="array" ref="G175">INDEX(Gebieden_in_Nederland_2023_2403!H:H,MATCH('municipalities per province'!B175,Gebieden_in_Nederland_2023_2403!B:B,0),0)</f>
        <v>Noordoost-Brabant</v>
      </c>
      <c r="H175" s="24" t="str" cm="1">
        <f t="array" ref="H175">INDEX(Gebieden_in_Nederland_2023_2403!G:G,MATCH('municipalities per province'!B175,Gebieden_in_Nederland_2023_2403!B:B,0),0)</f>
        <v>ES27</v>
      </c>
    </row>
    <row r="176" spans="1:8" x14ac:dyDescent="0.25">
      <c r="A176" s="24" t="s">
        <v>492</v>
      </c>
      <c r="B176" s="24" t="s">
        <v>491</v>
      </c>
      <c r="C176" s="24" t="s">
        <v>493</v>
      </c>
      <c r="D176" s="24" t="s">
        <v>1183</v>
      </c>
      <c r="E176" s="24" t="s">
        <v>1184</v>
      </c>
      <c r="F176" s="24" t="s">
        <v>1185</v>
      </c>
      <c r="G176" s="25" t="str" cm="1">
        <f t="array" ref="G176">INDEX(Gebieden_in_Nederland_2023_2403!H:H,MATCH('municipalities per province'!B176,Gebieden_in_Nederland_2023_2403!B:B,0),0)</f>
        <v>Rotterdam/DenHaag</v>
      </c>
      <c r="H176" s="24" t="str" cm="1">
        <f t="array" ref="H176">INDEX(Gebieden_in_Nederland_2023_2403!G:G,MATCH('municipalities per province'!B176,Gebieden_in_Nederland_2023_2403!B:B,0),0)</f>
        <v>ES23</v>
      </c>
    </row>
    <row r="177" spans="1:8" x14ac:dyDescent="0.25">
      <c r="A177" s="24" t="s">
        <v>738</v>
      </c>
      <c r="B177" s="24" t="s">
        <v>737</v>
      </c>
      <c r="C177" s="24" t="s">
        <v>739</v>
      </c>
      <c r="D177" s="24" t="s">
        <v>1197</v>
      </c>
      <c r="E177" s="24" t="s">
        <v>1198</v>
      </c>
      <c r="F177" s="24" t="s">
        <v>1199</v>
      </c>
      <c r="G177" s="25" t="str" cm="1">
        <f t="array" ref="G177">INDEX(Gebieden_in_Nederland_2023_2403!H:H,MATCH('municipalities per province'!B177,Gebieden_in_Nederland_2023_2403!B:B,0),0)</f>
        <v>Zuid-Limburg</v>
      </c>
      <c r="H177" s="24" t="str" cm="1">
        <f t="array" ref="H177">INDEX(Gebieden_in_Nederland_2023_2403!G:G,MATCH('municipalities per province'!B177,Gebieden_in_Nederland_2023_2403!B:B,0),0)</f>
        <v>ES30</v>
      </c>
    </row>
    <row r="178" spans="1:8" x14ac:dyDescent="0.25">
      <c r="A178" s="24" t="s">
        <v>399</v>
      </c>
      <c r="B178" s="24" t="s">
        <v>398</v>
      </c>
      <c r="C178" s="24" t="s">
        <v>400</v>
      </c>
      <c r="D178" s="24" t="s">
        <v>1175</v>
      </c>
      <c r="E178" s="24" t="s">
        <v>1176</v>
      </c>
      <c r="F178" s="24" t="s">
        <v>1177</v>
      </c>
      <c r="G178" s="25" t="str" cm="1">
        <f t="array" ref="G178">INDEX(Gebieden_in_Nederland_2023_2403!H:H,MATCH('municipalities per province'!B178,Gebieden_in_Nederland_2023_2403!B:B,0),0)</f>
        <v>Noord-HollandNoord</v>
      </c>
      <c r="H178" s="24" t="str" cm="1">
        <f t="array" ref="H178">INDEX(Gebieden_in_Nederland_2023_2403!G:G,MATCH('municipalities per province'!B178,Gebieden_in_Nederland_2023_2403!B:B,0),0)</f>
        <v>ES15</v>
      </c>
    </row>
    <row r="179" spans="1:8" x14ac:dyDescent="0.25">
      <c r="A179" s="24" t="s">
        <v>741</v>
      </c>
      <c r="B179" s="24" t="s">
        <v>740</v>
      </c>
      <c r="C179" s="24" t="s">
        <v>742</v>
      </c>
      <c r="D179" s="24" t="s">
        <v>1197</v>
      </c>
      <c r="E179" s="24" t="s">
        <v>1198</v>
      </c>
      <c r="F179" s="24" t="s">
        <v>1199</v>
      </c>
      <c r="G179" s="25" t="str" cm="1">
        <f t="array" ref="G179">INDEX(Gebieden_in_Nederland_2023_2403!H:H,MATCH('municipalities per province'!B179,Gebieden_in_Nederland_2023_2403!B:B,0),0)</f>
        <v>Zuid-Limburg</v>
      </c>
      <c r="H179" s="24" t="str" cm="1">
        <f t="array" ref="H179">INDEX(Gebieden_in_Nederland_2023_2403!G:G,MATCH('municipalities per province'!B179,Gebieden_in_Nederland_2023_2403!B:B,0),0)</f>
        <v>ES30</v>
      </c>
    </row>
    <row r="180" spans="1:8" x14ac:dyDescent="0.25">
      <c r="A180" s="24" t="s">
        <v>990</v>
      </c>
      <c r="B180" s="24" t="s">
        <v>989</v>
      </c>
      <c r="C180" s="24" t="s">
        <v>991</v>
      </c>
      <c r="D180" s="24" t="s">
        <v>1192</v>
      </c>
      <c r="E180" s="24" t="s">
        <v>1193</v>
      </c>
      <c r="F180" s="24" t="s">
        <v>1194</v>
      </c>
      <c r="G180" s="25" t="str" cm="1">
        <f t="array" ref="G180">INDEX(Gebieden_in_Nederland_2023_2403!H:H,MATCH('municipalities per province'!B180,Gebieden_in_Nederland_2023_2403!B:B,0),0)</f>
        <v>Noordoost-Brabant</v>
      </c>
      <c r="H180" s="24" t="str" cm="1">
        <f t="array" ref="H180">INDEX(Gebieden_in_Nederland_2023_2403!G:G,MATCH('municipalities per province'!B180,Gebieden_in_Nederland_2023_2403!B:B,0),0)</f>
        <v>ES27</v>
      </c>
    </row>
    <row r="181" spans="1:8" x14ac:dyDescent="0.25">
      <c r="A181" s="24" t="s">
        <v>84</v>
      </c>
      <c r="B181" s="24" t="s">
        <v>83</v>
      </c>
      <c r="C181" s="24" t="s">
        <v>85</v>
      </c>
      <c r="D181" s="24" t="s">
        <v>1172</v>
      </c>
      <c r="E181" s="24" t="s">
        <v>1173</v>
      </c>
      <c r="F181" s="24" t="s">
        <v>1174</v>
      </c>
      <c r="G181" s="25" t="str" cm="1">
        <f t="array" ref="G181">INDEX(Gebieden_in_Nederland_2023_2403!H:H,MATCH('municipalities per province'!B181,Gebieden_in_Nederland_2023_2403!B:B,0),0)</f>
        <v>Drenthe</v>
      </c>
      <c r="H181" s="24" t="str" cm="1">
        <f t="array" ref="H181">INDEX(Gebieden_in_Nederland_2023_2403!G:G,MATCH('municipalities per province'!B181,Gebieden_in_Nederland_2023_2403!B:B,0),0)</f>
        <v>ES03</v>
      </c>
    </row>
    <row r="182" spans="1:8" x14ac:dyDescent="0.25">
      <c r="A182" s="24" t="s">
        <v>567</v>
      </c>
      <c r="B182" s="24" t="s">
        <v>566</v>
      </c>
      <c r="C182" s="24" t="s">
        <v>568</v>
      </c>
      <c r="D182" s="24" t="s">
        <v>1200</v>
      </c>
      <c r="E182" s="24" t="s">
        <v>1201</v>
      </c>
      <c r="F182" s="24" t="s">
        <v>1202</v>
      </c>
      <c r="G182" s="25" t="str" cm="1">
        <f t="array" ref="G182">INDEX(Gebieden_in_Nederland_2023_2403!H:H,MATCH('municipalities per province'!B182,Gebieden_in_Nederland_2023_2403!B:B,0),0)</f>
        <v>Zeeland</v>
      </c>
      <c r="H182" s="24" t="str" cm="1">
        <f t="array" ref="H182">INDEX(Gebieden_in_Nederland_2023_2403!G:G,MATCH('municipalities per province'!B182,Gebieden_in_Nederland_2023_2403!B:B,0),0)</f>
        <v>ES24</v>
      </c>
    </row>
    <row r="183" spans="1:8" x14ac:dyDescent="0.25">
      <c r="A183" s="24" t="s">
        <v>921</v>
      </c>
      <c r="B183" s="24" t="s">
        <v>920</v>
      </c>
      <c r="C183" s="24" t="s">
        <v>922</v>
      </c>
      <c r="D183" s="24" t="s">
        <v>1183</v>
      </c>
      <c r="E183" s="24" t="s">
        <v>1184</v>
      </c>
      <c r="F183" s="24" t="s">
        <v>1185</v>
      </c>
      <c r="G183" s="25" t="str" cm="1">
        <f t="array" ref="G183">INDEX(Gebieden_in_Nederland_2023_2403!H:H,MATCH('municipalities per province'!B183,Gebieden_in_Nederland_2023_2403!B:B,0),0)</f>
        <v>Rotterdam/DenHaag</v>
      </c>
      <c r="H183" s="24" t="str" cm="1">
        <f t="array" ref="H183">INDEX(Gebieden_in_Nederland_2023_2403!G:G,MATCH('municipalities per province'!B183,Gebieden_in_Nederland_2023_2403!B:B,0),0)</f>
        <v>ES23</v>
      </c>
    </row>
    <row r="184" spans="1:8" x14ac:dyDescent="0.25">
      <c r="A184" s="24" t="s">
        <v>894</v>
      </c>
      <c r="B184" s="24" t="s">
        <v>893</v>
      </c>
      <c r="C184" s="24" t="s">
        <v>895</v>
      </c>
      <c r="D184" s="24" t="s">
        <v>1172</v>
      </c>
      <c r="E184" s="24" t="s">
        <v>1173</v>
      </c>
      <c r="F184" s="24" t="s">
        <v>1174</v>
      </c>
      <c r="G184" s="25" t="str" cm="1">
        <f t="array" ref="G184">INDEX(Gebieden_in_Nederland_2023_2403!H:H,MATCH('municipalities per province'!B184,Gebieden_in_Nederland_2023_2403!B:B,0),0)</f>
        <v>Drenthe</v>
      </c>
      <c r="H184" s="24" t="str" cm="1">
        <f t="array" ref="H184">INDEX(Gebieden_in_Nederland_2023_2403!G:G,MATCH('municipalities per province'!B184,Gebieden_in_Nederland_2023_2403!B:B,0),0)</f>
        <v>ES03</v>
      </c>
    </row>
    <row r="185" spans="1:8" x14ac:dyDescent="0.25">
      <c r="A185" s="24" t="s">
        <v>999</v>
      </c>
      <c r="B185" s="24" t="s">
        <v>998</v>
      </c>
      <c r="C185" s="24" t="s">
        <v>1000</v>
      </c>
      <c r="D185" s="24" t="s">
        <v>1203</v>
      </c>
      <c r="E185" s="24" t="s">
        <v>1204</v>
      </c>
      <c r="F185" s="24" t="s">
        <v>21</v>
      </c>
      <c r="G185" s="25" t="str" cm="1">
        <f t="array" ref="G185">INDEX(Gebieden_in_Nederland_2023_2403!H:H,MATCH('municipalities per province'!B185,Gebieden_in_Nederland_2023_2403!B:B,0),0)</f>
        <v>Groningen</v>
      </c>
      <c r="H185" s="24" t="str" cm="1">
        <f t="array" ref="H185">INDEX(Gebieden_in_Nederland_2023_2403!G:G,MATCH('municipalities per province'!B185,Gebieden_in_Nederland_2023_2403!B:B,0),0)</f>
        <v>ES01</v>
      </c>
    </row>
    <row r="186" spans="1:8" x14ac:dyDescent="0.25">
      <c r="A186" s="24" t="s">
        <v>864</v>
      </c>
      <c r="B186" s="24" t="s">
        <v>863</v>
      </c>
      <c r="C186" s="24" t="s">
        <v>865</v>
      </c>
      <c r="D186" s="24" t="s">
        <v>1192</v>
      </c>
      <c r="E186" s="24" t="s">
        <v>1193</v>
      </c>
      <c r="F186" s="24" t="s">
        <v>1194</v>
      </c>
      <c r="G186" s="25" t="str" cm="1">
        <f t="array" ref="G186">INDEX(Gebieden_in_Nederland_2023_2403!H:H,MATCH('municipalities per province'!B186,Gebieden_in_Nederland_2023_2403!B:B,0),0)</f>
        <v>West-Brabant</v>
      </c>
      <c r="H186" s="24" t="str" cm="1">
        <f t="array" ref="H186">INDEX(Gebieden_in_Nederland_2023_2403!G:G,MATCH('municipalities per province'!B186,Gebieden_in_Nederland_2023_2403!B:B,0),0)</f>
        <v>ES28</v>
      </c>
    </row>
    <row r="187" spans="1:8" x14ac:dyDescent="0.25">
      <c r="A187" s="24" t="s">
        <v>1029</v>
      </c>
      <c r="B187" s="24" t="s">
        <v>1028</v>
      </c>
      <c r="C187" s="24" t="s">
        <v>1030</v>
      </c>
      <c r="D187" s="24" t="s">
        <v>1183</v>
      </c>
      <c r="E187" s="24" t="s">
        <v>1184</v>
      </c>
      <c r="F187" s="24" t="s">
        <v>1185</v>
      </c>
      <c r="G187" s="25" t="str" cm="1">
        <f t="array" ref="G187">INDEX(Gebieden_in_Nederland_2023_2403!H:H,MATCH('municipalities per province'!B187,Gebieden_in_Nederland_2023_2403!B:B,0),0)</f>
        <v>Alblasserwaard</v>
      </c>
      <c r="H187" s="24" t="str" cm="1">
        <f t="array" ref="H187">INDEX(Gebieden_in_Nederland_2023_2403!G:G,MATCH('municipalities per province'!B187,Gebieden_in_Nederland_2023_2403!B:B,0),0)</f>
        <v>ES17</v>
      </c>
    </row>
    <row r="188" spans="1:8" x14ac:dyDescent="0.25">
      <c r="A188" s="24" t="s">
        <v>1005</v>
      </c>
      <c r="B188" s="24" t="s">
        <v>1004</v>
      </c>
      <c r="C188" s="24" t="s">
        <v>1006</v>
      </c>
      <c r="D188" s="24" t="s">
        <v>1178</v>
      </c>
      <c r="E188" s="24" t="s">
        <v>1179</v>
      </c>
      <c r="F188" s="24" t="s">
        <v>1180</v>
      </c>
      <c r="G188" s="25" t="str" cm="1">
        <f t="array" ref="G188">INDEX(Gebieden_in_Nederland_2023_2403!H:H,MATCH('municipalities per province'!B188,Gebieden_in_Nederland_2023_2403!B:B,0),0)</f>
        <v>Achterhoek</v>
      </c>
      <c r="H188" s="24" t="str" cm="1">
        <f t="array" ref="H188">INDEX(Gebieden_in_Nederland_2023_2403!G:G,MATCH('municipalities per province'!B188,Gebieden_in_Nederland_2023_2403!B:B,0),0)</f>
        <v>ES07</v>
      </c>
    </row>
    <row r="189" spans="1:8" x14ac:dyDescent="0.25">
      <c r="A189" s="24" t="s">
        <v>297</v>
      </c>
      <c r="B189" s="24" t="s">
        <v>296</v>
      </c>
      <c r="C189" s="24" t="s">
        <v>298</v>
      </c>
      <c r="D189" s="24" t="s">
        <v>1195</v>
      </c>
      <c r="E189" s="24" t="s">
        <v>1196</v>
      </c>
      <c r="F189" s="24" t="s">
        <v>310</v>
      </c>
      <c r="G189" s="25" t="str" cm="1">
        <f t="array" ref="G189">INDEX(Gebieden_in_Nederland_2023_2403!H:H,MATCH('municipalities per province'!B189,Gebieden_in_Nederland_2023_2403!B:B,0),0)</f>
        <v>U16</v>
      </c>
      <c r="H189" s="24" t="str" cm="1">
        <f t="array" ref="H189">INDEX(Gebieden_in_Nederland_2023_2403!G:G,MATCH('municipalities per province'!B189,Gebieden_in_Nederland_2023_2403!B:B,0),0)</f>
        <v>ES14</v>
      </c>
    </row>
    <row r="190" spans="1:8" x14ac:dyDescent="0.25">
      <c r="A190" s="24" t="s">
        <v>744</v>
      </c>
      <c r="B190" s="24" t="s">
        <v>743</v>
      </c>
      <c r="C190" s="24" t="s">
        <v>745</v>
      </c>
      <c r="D190" s="24" t="s">
        <v>1197</v>
      </c>
      <c r="E190" s="24" t="s">
        <v>1198</v>
      </c>
      <c r="F190" s="24" t="s">
        <v>1199</v>
      </c>
      <c r="G190" s="25" t="str" cm="1">
        <f t="array" ref="G190">INDEX(Gebieden_in_Nederland_2023_2403!H:H,MATCH('municipalities per province'!B190,Gebieden_in_Nederland_2023_2403!B:B,0),0)</f>
        <v>Noord-enMidden-Limburg</v>
      </c>
      <c r="H190" s="24" t="str" cm="1">
        <f t="array" ref="H190">INDEX(Gebieden_in_Nederland_2023_2403!G:G,MATCH('municipalities per province'!B190,Gebieden_in_Nederland_2023_2403!B:B,0),0)</f>
        <v>ES29</v>
      </c>
    </row>
    <row r="191" spans="1:8" x14ac:dyDescent="0.25">
      <c r="A191" s="24" t="s">
        <v>903</v>
      </c>
      <c r="B191" s="24" t="s">
        <v>902</v>
      </c>
      <c r="C191" s="24" t="s">
        <v>904</v>
      </c>
      <c r="D191" s="24" t="s">
        <v>1178</v>
      </c>
      <c r="E191" s="24" t="s">
        <v>1179</v>
      </c>
      <c r="F191" s="24" t="s">
        <v>1180</v>
      </c>
      <c r="G191" s="25" t="str" cm="1">
        <f t="array" ref="G191">INDEX(Gebieden_in_Nederland_2023_2403!H:H,MATCH('municipalities per province'!B191,Gebieden_in_Nederland_2023_2403!B:B,0),0)</f>
        <v>FruitdeltaRivierenland</v>
      </c>
      <c r="H191" s="24" t="str" cm="1">
        <f t="array" ref="H191">INDEX(Gebieden_in_Nederland_2023_2403!G:G,MATCH('municipalities per province'!B191,Gebieden_in_Nederland_2023_2403!B:B,0),0)</f>
        <v>ES11</v>
      </c>
    </row>
    <row r="192" spans="1:8" x14ac:dyDescent="0.25">
      <c r="A192" s="24" t="s">
        <v>747</v>
      </c>
      <c r="B192" s="24" t="s">
        <v>746</v>
      </c>
      <c r="C192" s="24" t="s">
        <v>748</v>
      </c>
      <c r="D192" s="24" t="s">
        <v>1197</v>
      </c>
      <c r="E192" s="24" t="s">
        <v>1198</v>
      </c>
      <c r="F192" s="24" t="s">
        <v>1199</v>
      </c>
      <c r="G192" s="25" t="str" cm="1">
        <f t="array" ref="G192">INDEX(Gebieden_in_Nederland_2023_2403!H:H,MATCH('municipalities per province'!B192,Gebieden_in_Nederland_2023_2403!B:B,0),0)</f>
        <v>Noord-enMidden-Limburg</v>
      </c>
      <c r="H192" s="24" t="str" cm="1">
        <f t="array" ref="H192">INDEX(Gebieden_in_Nederland_2023_2403!G:G,MATCH('municipalities per province'!B192,Gebieden_in_Nederland_2023_2403!B:B,0),0)</f>
        <v>ES29</v>
      </c>
    </row>
    <row r="193" spans="1:8" x14ac:dyDescent="0.25">
      <c r="A193" s="24" t="s">
        <v>327</v>
      </c>
      <c r="B193" s="24" t="s">
        <v>326</v>
      </c>
      <c r="C193" s="24" t="s">
        <v>328</v>
      </c>
      <c r="D193" s="24" t="s">
        <v>1195</v>
      </c>
      <c r="E193" s="24" t="s">
        <v>1196</v>
      </c>
      <c r="F193" s="24" t="s">
        <v>310</v>
      </c>
      <c r="G193" s="25" t="str" cm="1">
        <f t="array" ref="G193">INDEX(Gebieden_in_Nederland_2023_2403!H:H,MATCH('municipalities per province'!B193,Gebieden_in_Nederland_2023_2403!B:B,0),0)</f>
        <v>U16</v>
      </c>
      <c r="H193" s="24" t="str" cm="1">
        <f t="array" ref="H193">INDEX(Gebieden_in_Nederland_2023_2403!G:G,MATCH('municipalities per province'!B193,Gebieden_in_Nederland_2023_2403!B:B,0),0)</f>
        <v>ES14</v>
      </c>
    </row>
    <row r="194" spans="1:8" x14ac:dyDescent="0.25">
      <c r="A194" s="24" t="s">
        <v>495</v>
      </c>
      <c r="B194" s="24" t="s">
        <v>494</v>
      </c>
      <c r="C194" s="24" t="s">
        <v>496</v>
      </c>
      <c r="D194" s="24" t="s">
        <v>1183</v>
      </c>
      <c r="E194" s="24" t="s">
        <v>1184</v>
      </c>
      <c r="F194" s="24" t="s">
        <v>1185</v>
      </c>
      <c r="G194" s="25" t="str" cm="1">
        <f t="array" ref="G194">INDEX(Gebieden_in_Nederland_2023_2403!H:H,MATCH('municipalities per province'!B194,Gebieden_in_Nederland_2023_2403!B:B,0),0)</f>
        <v>HollandRijnland</v>
      </c>
      <c r="H194" s="24" t="str" cm="1">
        <f t="array" ref="H194">INDEX(Gebieden_in_Nederland_2023_2403!G:G,MATCH('municipalities per province'!B194,Gebieden_in_Nederland_2023_2403!B:B,0),0)</f>
        <v>ES21</v>
      </c>
    </row>
    <row r="195" spans="1:8" x14ac:dyDescent="0.25">
      <c r="A195" s="24" t="s">
        <v>213</v>
      </c>
      <c r="B195" s="24" t="s">
        <v>212</v>
      </c>
      <c r="C195" s="24" t="s">
        <v>214</v>
      </c>
      <c r="D195" s="24" t="s">
        <v>1178</v>
      </c>
      <c r="E195" s="24" t="s">
        <v>1179</v>
      </c>
      <c r="F195" s="24" t="s">
        <v>1180</v>
      </c>
      <c r="G195" s="25" t="str" cm="1">
        <f t="array" ref="G195">INDEX(Gebieden_in_Nederland_2023_2403!H:H,MATCH('municipalities per province'!B195,Gebieden_in_Nederland_2023_2403!B:B,0),0)</f>
        <v>Foodvalley</v>
      </c>
      <c r="H195" s="24" t="str" cm="1">
        <f t="array" ref="H195">INDEX(Gebieden_in_Nederland_2023_2403!G:G,MATCH('municipalities per province'!B195,Gebieden_in_Nederland_2023_2403!B:B,0),0)</f>
        <v>ES09</v>
      </c>
    </row>
    <row r="196" spans="1:8" x14ac:dyDescent="0.25">
      <c r="A196" s="24" t="s">
        <v>216</v>
      </c>
      <c r="B196" s="24" t="s">
        <v>215</v>
      </c>
      <c r="C196" s="24" t="s">
        <v>217</v>
      </c>
      <c r="D196" s="24" t="s">
        <v>1178</v>
      </c>
      <c r="E196" s="24" t="s">
        <v>1179</v>
      </c>
      <c r="F196" s="24" t="s">
        <v>1180</v>
      </c>
      <c r="G196" s="25" t="str" cm="1">
        <f t="array" ref="G196">INDEX(Gebieden_in_Nederland_2023_2403!H:H,MATCH('municipalities per province'!B196,Gebieden_in_Nederland_2023_2403!B:B,0),0)</f>
        <v>Arnhem/Nijmegen</v>
      </c>
      <c r="H196" s="24" t="str" cm="1">
        <f t="array" ref="H196">INDEX(Gebieden_in_Nederland_2023_2403!G:G,MATCH('municipalities per province'!B196,Gebieden_in_Nederland_2023_2403!B:B,0),0)</f>
        <v>ES08</v>
      </c>
    </row>
    <row r="197" spans="1:8" x14ac:dyDescent="0.25">
      <c r="A197" s="24" t="s">
        <v>975</v>
      </c>
      <c r="B197" s="24" t="s">
        <v>974</v>
      </c>
      <c r="C197" s="24" t="s">
        <v>976</v>
      </c>
      <c r="D197" s="24" t="s">
        <v>1183</v>
      </c>
      <c r="E197" s="24" t="s">
        <v>1184</v>
      </c>
      <c r="F197" s="24" t="s">
        <v>1185</v>
      </c>
      <c r="G197" s="25" t="str" cm="1">
        <f t="array" ref="G197">INDEX(Gebieden_in_Nederland_2023_2403!H:H,MATCH('municipalities per province'!B197,Gebieden_in_Nederland_2023_2403!B:B,0),0)</f>
        <v>Rotterdam/DenHaag</v>
      </c>
      <c r="H197" s="24" t="str" cm="1">
        <f t="array" ref="H197">INDEX(Gebieden_in_Nederland_2023_2403!G:G,MATCH('municipalities per province'!B197,Gebieden_in_Nederland_2023_2403!B:B,0),0)</f>
        <v>ES23</v>
      </c>
    </row>
    <row r="198" spans="1:8" x14ac:dyDescent="0.25">
      <c r="A198" s="24" t="s">
        <v>1026</v>
      </c>
      <c r="B198" s="24" t="s">
        <v>1025</v>
      </c>
      <c r="C198" s="24" t="s">
        <v>1206</v>
      </c>
      <c r="D198" s="24" t="s">
        <v>1181</v>
      </c>
      <c r="E198" s="24" t="s">
        <v>1182</v>
      </c>
      <c r="F198" s="24" t="s">
        <v>1205</v>
      </c>
      <c r="G198" s="25" t="str" cm="1">
        <f t="array" ref="G198">INDEX(Gebieden_in_Nederland_2023_2403!H:H,MATCH('municipalities per province'!B198,Gebieden_in_Nederland_2023_2403!B:B,0),0)</f>
        <v>Friesland</v>
      </c>
      <c r="H198" s="24" t="str" cm="1">
        <f t="array" ref="H198">INDEX(Gebieden_in_Nederland_2023_2403!G:G,MATCH('municipalities per province'!B198,Gebieden_in_Nederland_2023_2403!B:B,0),0)</f>
        <v>ES02</v>
      </c>
    </row>
    <row r="199" spans="1:8" x14ac:dyDescent="0.25">
      <c r="A199" s="24" t="s">
        <v>840</v>
      </c>
      <c r="B199" s="24" t="s">
        <v>839</v>
      </c>
      <c r="C199" s="24" t="s">
        <v>841</v>
      </c>
      <c r="D199" s="24" t="s">
        <v>1200</v>
      </c>
      <c r="E199" s="24" t="s">
        <v>1201</v>
      </c>
      <c r="F199" s="24" t="s">
        <v>1202</v>
      </c>
      <c r="G199" s="25" t="str" cm="1">
        <f t="array" ref="G199">INDEX(Gebieden_in_Nederland_2023_2403!H:H,MATCH('municipalities per province'!B199,Gebieden_in_Nederland_2023_2403!B:B,0),0)</f>
        <v>Zeeland</v>
      </c>
      <c r="H199" s="24" t="str" cm="1">
        <f t="array" ref="H199">INDEX(Gebieden_in_Nederland_2023_2403!G:G,MATCH('municipalities per province'!B199,Gebieden_in_Nederland_2023_2403!B:B,0),0)</f>
        <v>ES24</v>
      </c>
    </row>
    <row r="200" spans="1:8" x14ac:dyDescent="0.25">
      <c r="A200" s="24" t="s">
        <v>846</v>
      </c>
      <c r="B200" s="24" t="s">
        <v>845</v>
      </c>
      <c r="C200" s="24" t="s">
        <v>847</v>
      </c>
      <c r="D200" s="24" t="s">
        <v>1172</v>
      </c>
      <c r="E200" s="24" t="s">
        <v>1173</v>
      </c>
      <c r="F200" s="24" t="s">
        <v>1174</v>
      </c>
      <c r="G200" s="25" t="str" cm="1">
        <f t="array" ref="G200">INDEX(Gebieden_in_Nederland_2023_2403!H:H,MATCH('municipalities per province'!B200,Gebieden_in_Nederland_2023_2403!B:B,0),0)</f>
        <v>Drenthe</v>
      </c>
      <c r="H200" s="24" t="str" cm="1">
        <f t="array" ref="H200">INDEX(Gebieden_in_Nederland_2023_2403!G:G,MATCH('municipalities per province'!B200,Gebieden_in_Nederland_2023_2403!B:B,0),0)</f>
        <v>ES03</v>
      </c>
    </row>
    <row r="201" spans="1:8" x14ac:dyDescent="0.25">
      <c r="A201" s="24" t="s">
        <v>120</v>
      </c>
      <c r="B201" s="24" t="s">
        <v>119</v>
      </c>
      <c r="C201" s="24" t="s">
        <v>121</v>
      </c>
      <c r="D201" s="24" t="s">
        <v>1189</v>
      </c>
      <c r="E201" s="24" t="s">
        <v>1190</v>
      </c>
      <c r="F201" s="24" t="s">
        <v>1191</v>
      </c>
      <c r="G201" s="25" t="str" cm="1">
        <f t="array" ref="G201">INDEX(Gebieden_in_Nederland_2023_2403!H:H,MATCH('municipalities per province'!B201,Gebieden_in_Nederland_2023_2403!B:B,0),0)</f>
        <v>Flevoland</v>
      </c>
      <c r="H201" s="24" t="str" cm="1">
        <f t="array" ref="H201">INDEX(Gebieden_in_Nederland_2023_2403!G:G,MATCH('municipalities per province'!B201,Gebieden_in_Nederland_2023_2403!B:B,0),0)</f>
        <v>ES06</v>
      </c>
    </row>
    <row r="202" spans="1:8" x14ac:dyDescent="0.25">
      <c r="A202" s="24" t="s">
        <v>498</v>
      </c>
      <c r="B202" s="24" t="s">
        <v>497</v>
      </c>
      <c r="C202" s="24" t="s">
        <v>499</v>
      </c>
      <c r="D202" s="24" t="s">
        <v>1183</v>
      </c>
      <c r="E202" s="24" t="s">
        <v>1184</v>
      </c>
      <c r="F202" s="24" t="s">
        <v>1185</v>
      </c>
      <c r="G202" s="25" t="str" cm="1">
        <f t="array" ref="G202">INDEX(Gebieden_in_Nederland_2023_2403!H:H,MATCH('municipalities per province'!B202,Gebieden_in_Nederland_2023_2403!B:B,0),0)</f>
        <v>HollandRijnland</v>
      </c>
      <c r="H202" s="24" t="str" cm="1">
        <f t="array" ref="H202">INDEX(Gebieden_in_Nederland_2023_2403!G:G,MATCH('municipalities per province'!B202,Gebieden_in_Nederland_2023_2403!B:B,0),0)</f>
        <v>ES21</v>
      </c>
    </row>
    <row r="203" spans="1:8" ht="30" x14ac:dyDescent="0.25">
      <c r="A203" s="24" t="s">
        <v>654</v>
      </c>
      <c r="B203" s="24" t="s">
        <v>653</v>
      </c>
      <c r="C203" s="24" t="s">
        <v>655</v>
      </c>
      <c r="D203" s="24" t="s">
        <v>1192</v>
      </c>
      <c r="E203" s="24" t="s">
        <v>1193</v>
      </c>
      <c r="F203" s="24" t="s">
        <v>1194</v>
      </c>
      <c r="G203" s="25" t="str" cm="1">
        <f t="array" ref="G203">INDEX(Gebieden_in_Nederland_2023_2403!H:H,MATCH('municipalities per province'!B203,Gebieden_in_Nederland_2023_2403!B:B,0),0)</f>
        <v>MetropoolregioEindhoven</v>
      </c>
      <c r="H203" s="24" t="str" cm="1">
        <f t="array" ref="H203">INDEX(Gebieden_in_Nederland_2023_2403!G:G,MATCH('municipalities per province'!B203,Gebieden_in_Nederland_2023_2403!B:B,0),0)</f>
        <v>ES26</v>
      </c>
    </row>
    <row r="204" spans="1:8" x14ac:dyDescent="0.25">
      <c r="A204" s="24" t="s">
        <v>264</v>
      </c>
      <c r="B204" s="24" t="s">
        <v>263</v>
      </c>
      <c r="C204" s="24" t="s">
        <v>265</v>
      </c>
      <c r="D204" s="24" t="s">
        <v>1178</v>
      </c>
      <c r="E204" s="24" t="s">
        <v>1179</v>
      </c>
      <c r="F204" s="24" t="s">
        <v>1180</v>
      </c>
      <c r="G204" s="25" t="str" cm="1">
        <f t="array" ref="G204">INDEX(Gebieden_in_Nederland_2023_2403!H:H,MATCH('municipalities per province'!B204,Gebieden_in_Nederland_2023_2403!B:B,0),0)</f>
        <v>Noord-Veluwe</v>
      </c>
      <c r="H204" s="24" t="str" cm="1">
        <f t="array" ref="H204">INDEX(Gebieden_in_Nederland_2023_2403!G:G,MATCH('municipalities per province'!B204,Gebieden_in_Nederland_2023_2403!B:B,0),0)</f>
        <v>ES10</v>
      </c>
    </row>
    <row r="205" spans="1:8" x14ac:dyDescent="0.25">
      <c r="A205" s="24" t="s">
        <v>501</v>
      </c>
      <c r="B205" s="24" t="s">
        <v>500</v>
      </c>
      <c r="C205" s="24" t="s">
        <v>502</v>
      </c>
      <c r="D205" s="24" t="s">
        <v>1183</v>
      </c>
      <c r="E205" s="24" t="s">
        <v>1184</v>
      </c>
      <c r="F205" s="24" t="s">
        <v>1185</v>
      </c>
      <c r="G205" s="25" t="str" cm="1">
        <f t="array" ref="G205">INDEX(Gebieden_in_Nederland_2023_2403!H:H,MATCH('municipalities per province'!B205,Gebieden_in_Nederland_2023_2403!B:B,0),0)</f>
        <v>HollandRijnland</v>
      </c>
      <c r="H205" s="24" t="str" cm="1">
        <f t="array" ref="H205">INDEX(Gebieden_in_Nederland_2023_2403!G:G,MATCH('municipalities per province'!B205,Gebieden_in_Nederland_2023_2403!B:B,0),0)</f>
        <v>ES21</v>
      </c>
    </row>
    <row r="206" spans="1:8" x14ac:dyDescent="0.25">
      <c r="A206" s="24" t="s">
        <v>657</v>
      </c>
      <c r="B206" s="24" t="s">
        <v>656</v>
      </c>
      <c r="C206" s="24" t="s">
        <v>658</v>
      </c>
      <c r="D206" s="24" t="s">
        <v>1192</v>
      </c>
      <c r="E206" s="24" t="s">
        <v>1193</v>
      </c>
      <c r="F206" s="24" t="s">
        <v>1194</v>
      </c>
      <c r="G206" s="25" t="str" cm="1">
        <f t="array" ref="G206">INDEX(Gebieden_in_Nederland_2023_2403!H:H,MATCH('municipalities per province'!B206,Gebieden_in_Nederland_2023_2403!B:B,0),0)</f>
        <v>MetropoolregioEindhoven</v>
      </c>
      <c r="H206" s="24" t="str" cm="1">
        <f t="array" ref="H206">INDEX(Gebieden_in_Nederland_2023_2403!G:G,MATCH('municipalities per province'!B206,Gebieden_in_Nederland_2023_2403!B:B,0),0)</f>
        <v>ES26</v>
      </c>
    </row>
    <row r="207" spans="1:8" x14ac:dyDescent="0.25">
      <c r="A207" s="24" t="s">
        <v>660</v>
      </c>
      <c r="B207" s="24" t="s">
        <v>659</v>
      </c>
      <c r="C207" s="24" t="s">
        <v>661</v>
      </c>
      <c r="D207" s="24" t="s">
        <v>1192</v>
      </c>
      <c r="E207" s="24" t="s">
        <v>1193</v>
      </c>
      <c r="F207" s="24" t="s">
        <v>1194</v>
      </c>
      <c r="G207" s="25" t="str" cm="1">
        <f t="array" ref="G207">INDEX(Gebieden_in_Nederland_2023_2403!H:H,MATCH('municipalities per province'!B207,Gebieden_in_Nederland_2023_2403!B:B,0),0)</f>
        <v>HartvanBrabant</v>
      </c>
      <c r="H207" s="24" t="str" cm="1">
        <f t="array" ref="H207">INDEX(Gebieden_in_Nederland_2023_2403!G:G,MATCH('municipalities per province'!B207,Gebieden_in_Nederland_2023_2403!B:B,0),0)</f>
        <v>ES25</v>
      </c>
    </row>
    <row r="208" spans="1:8" x14ac:dyDescent="0.25">
      <c r="A208" s="24" t="s">
        <v>945</v>
      </c>
      <c r="B208" s="24" t="s">
        <v>944</v>
      </c>
      <c r="C208" s="24" t="s">
        <v>946</v>
      </c>
      <c r="D208" s="24" t="s">
        <v>1203</v>
      </c>
      <c r="E208" s="24" t="s">
        <v>1204</v>
      </c>
      <c r="F208" s="24" t="s">
        <v>21</v>
      </c>
      <c r="G208" s="25" t="str" cm="1">
        <f t="array" ref="G208">INDEX(Gebieden_in_Nederland_2023_2403!H:H,MATCH('municipalities per province'!B208,Gebieden_in_Nederland_2023_2403!B:B,0),0)</f>
        <v>Groningen</v>
      </c>
      <c r="H208" s="24" t="str" cm="1">
        <f t="array" ref="H208">INDEX(Gebieden_in_Nederland_2023_2403!G:G,MATCH('municipalities per province'!B208,Gebieden_in_Nederland_2023_2403!B:B,0),0)</f>
        <v>ES01</v>
      </c>
    </row>
    <row r="209" spans="1:8" x14ac:dyDescent="0.25">
      <c r="A209" s="24" t="s">
        <v>219</v>
      </c>
      <c r="B209" s="24" t="s">
        <v>218</v>
      </c>
      <c r="C209" s="24" t="s">
        <v>220</v>
      </c>
      <c r="D209" s="24" t="s">
        <v>1178</v>
      </c>
      <c r="E209" s="24" t="s">
        <v>1179</v>
      </c>
      <c r="F209" s="24" t="s">
        <v>1180</v>
      </c>
      <c r="G209" s="25" t="str" cm="1">
        <f t="array" ref="G209">INDEX(Gebieden_in_Nederland_2023_2403!H:H,MATCH('municipalities per province'!B209,Gebieden_in_Nederland_2023_2403!B:B,0),0)</f>
        <v>Noord-Veluwe</v>
      </c>
      <c r="H209" s="24" t="str" cm="1">
        <f t="array" ref="H209">INDEX(Gebieden_in_Nederland_2023_2403!G:G,MATCH('municipalities per province'!B209,Gebieden_in_Nederland_2023_2403!B:B,0),0)</f>
        <v>ES10</v>
      </c>
    </row>
    <row r="210" spans="1:8" x14ac:dyDescent="0.25">
      <c r="A210" s="24" t="s">
        <v>123</v>
      </c>
      <c r="B210" s="24" t="s">
        <v>122</v>
      </c>
      <c r="C210" s="24" t="s">
        <v>124</v>
      </c>
      <c r="D210" s="24" t="s">
        <v>1186</v>
      </c>
      <c r="E210" s="24" t="s">
        <v>1187</v>
      </c>
      <c r="F210" s="24" t="s">
        <v>1188</v>
      </c>
      <c r="G210" s="25" t="str" cm="1">
        <f t="array" ref="G210">INDEX(Gebieden_in_Nederland_2023_2403!H:H,MATCH('municipalities per province'!B210,Gebieden_in_Nederland_2023_2403!B:B,0),0)</f>
        <v>Twente</v>
      </c>
      <c r="H210" s="24" t="str" cm="1">
        <f t="array" ref="H210">INDEX(Gebieden_in_Nederland_2023_2403!G:G,MATCH('municipalities per province'!B210,Gebieden_in_Nederland_2023_2403!B:B,0),0)</f>
        <v>ES04</v>
      </c>
    </row>
    <row r="211" spans="1:8" x14ac:dyDescent="0.25">
      <c r="A211" s="24" t="s">
        <v>912</v>
      </c>
      <c r="B211" s="24" t="s">
        <v>911</v>
      </c>
      <c r="C211" s="24" t="s">
        <v>913</v>
      </c>
      <c r="D211" s="24" t="s">
        <v>1186</v>
      </c>
      <c r="E211" s="24" t="s">
        <v>1187</v>
      </c>
      <c r="F211" s="24" t="s">
        <v>1188</v>
      </c>
      <c r="G211" s="25" t="str" cm="1">
        <f t="array" ref="G211">INDEX(Gebieden_in_Nederland_2023_2403!H:H,MATCH('municipalities per province'!B211,Gebieden_in_Nederland_2023_2403!B:B,0),0)</f>
        <v>West-Overijssel</v>
      </c>
      <c r="H211" s="24" t="str" cm="1">
        <f t="array" ref="H211">INDEX(Gebieden_in_Nederland_2023_2403!G:G,MATCH('municipalities per province'!B211,Gebieden_in_Nederland_2023_2403!B:B,0),0)</f>
        <v>ES05</v>
      </c>
    </row>
    <row r="212" spans="1:8" x14ac:dyDescent="0.25">
      <c r="A212" s="24" t="s">
        <v>126</v>
      </c>
      <c r="B212" s="24" t="s">
        <v>125</v>
      </c>
      <c r="C212" s="24" t="s">
        <v>127</v>
      </c>
      <c r="D212" s="24" t="s">
        <v>1186</v>
      </c>
      <c r="E212" s="24" t="s">
        <v>1187</v>
      </c>
      <c r="F212" s="24" t="s">
        <v>1188</v>
      </c>
      <c r="G212" s="25" t="str" cm="1">
        <f t="array" ref="G212">INDEX(Gebieden_in_Nederland_2023_2403!H:H,MATCH('municipalities per province'!B212,Gebieden_in_Nederland_2023_2403!B:B,0),0)</f>
        <v>West-Overijssel</v>
      </c>
      <c r="H212" s="24" t="str" cm="1">
        <f t="array" ref="H212">INDEX(Gebieden_in_Nederland_2023_2403!G:G,MATCH('municipalities per province'!B212,Gebieden_in_Nederland_2023_2403!B:B,0),0)</f>
        <v>ES05</v>
      </c>
    </row>
    <row r="213" spans="1:8" x14ac:dyDescent="0.25">
      <c r="A213" s="24" t="s">
        <v>792</v>
      </c>
      <c r="B213" s="24" t="s">
        <v>791</v>
      </c>
      <c r="C213" s="24" t="s">
        <v>793</v>
      </c>
      <c r="D213" s="24" t="s">
        <v>1178</v>
      </c>
      <c r="E213" s="24" t="s">
        <v>1179</v>
      </c>
      <c r="F213" s="24" t="s">
        <v>1180</v>
      </c>
      <c r="G213" s="25" t="str" cm="1">
        <f t="array" ref="G213">INDEX(Gebieden_in_Nederland_2023_2403!H:H,MATCH('municipalities per province'!B213,Gebieden_in_Nederland_2023_2403!B:B,0),0)</f>
        <v>Achterhoek</v>
      </c>
      <c r="H213" s="24" t="str" cm="1">
        <f t="array" ref="H213">INDEX(Gebieden_in_Nederland_2023_2403!G:G,MATCH('municipalities per province'!B213,Gebieden_in_Nederland_2023_2403!B:B,0),0)</f>
        <v>ES07</v>
      </c>
    </row>
    <row r="214" spans="1:8" x14ac:dyDescent="0.25">
      <c r="A214" s="24" t="s">
        <v>663</v>
      </c>
      <c r="B214" s="24" t="s">
        <v>662</v>
      </c>
      <c r="C214" s="24" t="s">
        <v>664</v>
      </c>
      <c r="D214" s="24" t="s">
        <v>1192</v>
      </c>
      <c r="E214" s="24" t="s">
        <v>1193</v>
      </c>
      <c r="F214" s="24" t="s">
        <v>1194</v>
      </c>
      <c r="G214" s="25" t="str" cm="1">
        <f t="array" ref="G214">INDEX(Gebieden_in_Nederland_2023_2403!H:H,MATCH('municipalities per province'!B214,Gebieden_in_Nederland_2023_2403!B:B,0),0)</f>
        <v>West-Brabant</v>
      </c>
      <c r="H214" s="24" t="str" cm="1">
        <f t="array" ref="H214">INDEX(Gebieden_in_Nederland_2023_2403!G:G,MATCH('municipalities per province'!B214,Gebieden_in_Nederland_2023_2403!B:B,0),0)</f>
        <v>ES28</v>
      </c>
    </row>
    <row r="215" spans="1:8" x14ac:dyDescent="0.25">
      <c r="A215" s="24" t="s">
        <v>51</v>
      </c>
      <c r="B215" s="24" t="s">
        <v>50</v>
      </c>
      <c r="C215" s="24" t="s">
        <v>52</v>
      </c>
      <c r="D215" s="24" t="s">
        <v>1181</v>
      </c>
      <c r="E215" s="24" t="s">
        <v>1182</v>
      </c>
      <c r="F215" s="24" t="s">
        <v>1205</v>
      </c>
      <c r="G215" s="25" t="str" cm="1">
        <f t="array" ref="G215">INDEX(Gebieden_in_Nederland_2023_2403!H:H,MATCH('municipalities per province'!B215,Gebieden_in_Nederland_2023_2403!B:B,0),0)</f>
        <v>Friesland</v>
      </c>
      <c r="H215" s="24" t="str" cm="1">
        <f t="array" ref="H215">INDEX(Gebieden_in_Nederland_2023_2403!G:G,MATCH('municipalities per province'!B215,Gebieden_in_Nederland_2023_2403!B:B,0),0)</f>
        <v>ES02</v>
      </c>
    </row>
    <row r="216" spans="1:8" x14ac:dyDescent="0.25">
      <c r="A216" s="24" t="s">
        <v>402</v>
      </c>
      <c r="B216" s="24" t="s">
        <v>401</v>
      </c>
      <c r="C216" s="24" t="s">
        <v>403</v>
      </c>
      <c r="D216" s="24" t="s">
        <v>1175</v>
      </c>
      <c r="E216" s="24" t="s">
        <v>1176</v>
      </c>
      <c r="F216" s="24" t="s">
        <v>1177</v>
      </c>
      <c r="G216" s="25" t="str" cm="1">
        <f t="array" ref="G216">INDEX(Gebieden_in_Nederland_2023_2403!H:H,MATCH('municipalities per province'!B216,Gebieden_in_Nederland_2023_2403!B:B,0),0)</f>
        <v>Noord-HollandZuid</v>
      </c>
      <c r="H216" s="24" t="str" cm="1">
        <f t="array" ref="H216">INDEX(Gebieden_in_Nederland_2023_2403!G:G,MATCH('municipalities per province'!B216,Gebieden_in_Nederland_2023_2403!B:B,0),0)</f>
        <v>ES16</v>
      </c>
    </row>
    <row r="217" spans="1:8" x14ac:dyDescent="0.25">
      <c r="A217" s="24" t="s">
        <v>405</v>
      </c>
      <c r="B217" s="24" t="s">
        <v>404</v>
      </c>
      <c r="C217" s="24" t="s">
        <v>406</v>
      </c>
      <c r="D217" s="24" t="s">
        <v>1175</v>
      </c>
      <c r="E217" s="24" t="s">
        <v>1176</v>
      </c>
      <c r="F217" s="24" t="s">
        <v>1177</v>
      </c>
      <c r="G217" s="25" t="str" cm="1">
        <f t="array" ref="G217">INDEX(Gebieden_in_Nederland_2023_2403!H:H,MATCH('municipalities per province'!B217,Gebieden_in_Nederland_2023_2403!B:B,0),0)</f>
        <v>Noord-HollandNoord</v>
      </c>
      <c r="H217" s="24" t="str" cm="1">
        <f t="array" ref="H217">INDEX(Gebieden_in_Nederland_2023_2403!G:G,MATCH('municipalities per province'!B217,Gebieden_in_Nederland_2023_2403!B:B,0),0)</f>
        <v>ES15</v>
      </c>
    </row>
    <row r="218" spans="1:8" x14ac:dyDescent="0.25">
      <c r="A218" s="24" t="s">
        <v>54</v>
      </c>
      <c r="B218" s="24" t="s">
        <v>53</v>
      </c>
      <c r="C218" s="24" t="s">
        <v>55</v>
      </c>
      <c r="D218" s="24" t="s">
        <v>1181</v>
      </c>
      <c r="E218" s="24" t="s">
        <v>1182</v>
      </c>
      <c r="F218" s="24" t="s">
        <v>1205</v>
      </c>
      <c r="G218" s="25" t="str" cm="1">
        <f t="array" ref="G218">INDEX(Gebieden_in_Nederland_2023_2403!H:H,MATCH('municipalities per province'!B218,Gebieden_in_Nederland_2023_2403!B:B,0),0)</f>
        <v>Friesland</v>
      </c>
      <c r="H218" s="24" t="str" cm="1">
        <f t="array" ref="H218">INDEX(Gebieden_in_Nederland_2023_2403!G:G,MATCH('municipalities per province'!B218,Gebieden_in_Nederland_2023_2403!B:B,0),0)</f>
        <v>ES02</v>
      </c>
    </row>
    <row r="219" spans="1:8" x14ac:dyDescent="0.25">
      <c r="A219" s="24" t="s">
        <v>666</v>
      </c>
      <c r="B219" s="24" t="s">
        <v>665</v>
      </c>
      <c r="C219" s="24" t="s">
        <v>667</v>
      </c>
      <c r="D219" s="24" t="s">
        <v>1192</v>
      </c>
      <c r="E219" s="24" t="s">
        <v>1193</v>
      </c>
      <c r="F219" s="24" t="s">
        <v>1194</v>
      </c>
      <c r="G219" s="25" t="str" cm="1">
        <f t="array" ref="G219">INDEX(Gebieden_in_Nederland_2023_2403!H:H,MATCH('municipalities per province'!B219,Gebieden_in_Nederland_2023_2403!B:B,0),0)</f>
        <v>Noordoost-Brabant</v>
      </c>
      <c r="H219" s="24" t="str" cm="1">
        <f t="array" ref="H219">INDEX(Gebieden_in_Nederland_2023_2403!G:G,MATCH('municipalities per province'!B219,Gebieden_in_Nederland_2023_2403!B:B,0),0)</f>
        <v>ES27</v>
      </c>
    </row>
    <row r="220" spans="1:8" x14ac:dyDescent="0.25">
      <c r="A220" s="24" t="s">
        <v>783</v>
      </c>
      <c r="B220" s="24" t="s">
        <v>782</v>
      </c>
      <c r="C220" s="24" t="s">
        <v>784</v>
      </c>
      <c r="D220" s="24" t="s">
        <v>1178</v>
      </c>
      <c r="E220" s="24" t="s">
        <v>1179</v>
      </c>
      <c r="F220" s="24" t="s">
        <v>1180</v>
      </c>
      <c r="G220" s="25" t="str" cm="1">
        <f t="array" ref="G220">INDEX(Gebieden_in_Nederland_2023_2403!H:H,MATCH('municipalities per province'!B220,Gebieden_in_Nederland_2023_2403!B:B,0),0)</f>
        <v>Achterhoek</v>
      </c>
      <c r="H220" s="24" t="str" cm="1">
        <f t="array" ref="H220">INDEX(Gebieden_in_Nederland_2023_2403!G:G,MATCH('municipalities per province'!B220,Gebieden_in_Nederland_2023_2403!B:B,0),0)</f>
        <v>ES07</v>
      </c>
    </row>
    <row r="221" spans="1:8" x14ac:dyDescent="0.25">
      <c r="A221" s="24" t="s">
        <v>408</v>
      </c>
      <c r="B221" s="24" t="s">
        <v>407</v>
      </c>
      <c r="C221" s="24" t="s">
        <v>409</v>
      </c>
      <c r="D221" s="24" t="s">
        <v>1175</v>
      </c>
      <c r="E221" s="24" t="s">
        <v>1176</v>
      </c>
      <c r="F221" s="24" t="s">
        <v>1177</v>
      </c>
      <c r="G221" s="25" t="str" cm="1">
        <f t="array" ref="G221">INDEX(Gebieden_in_Nederland_2023_2403!H:H,MATCH('municipalities per province'!B221,Gebieden_in_Nederland_2023_2403!B:B,0),0)</f>
        <v>Noord-HollandZuid</v>
      </c>
      <c r="H221" s="24" t="str" cm="1">
        <f t="array" ref="H221">INDEX(Gebieden_in_Nederland_2023_2403!G:G,MATCH('municipalities per province'!B221,Gebieden_in_Nederland_2023_2403!B:B,0),0)</f>
        <v>ES16</v>
      </c>
    </row>
    <row r="222" spans="1:8" x14ac:dyDescent="0.25">
      <c r="A222" s="24" t="s">
        <v>504</v>
      </c>
      <c r="B222" s="24" t="s">
        <v>503</v>
      </c>
      <c r="C222" s="24" t="s">
        <v>505</v>
      </c>
      <c r="D222" s="24" t="s">
        <v>1195</v>
      </c>
      <c r="E222" s="24" t="s">
        <v>1196</v>
      </c>
      <c r="F222" s="24" t="s">
        <v>310</v>
      </c>
      <c r="G222" s="25" t="str" cm="1">
        <f t="array" ref="G222">INDEX(Gebieden_in_Nederland_2023_2403!H:H,MATCH('municipalities per province'!B222,Gebieden_in_Nederland_2023_2403!B:B,0),0)</f>
        <v>U16</v>
      </c>
      <c r="H222" s="24" t="str" cm="1">
        <f t="array" ref="H222">INDEX(Gebieden_in_Nederland_2023_2403!G:G,MATCH('municipalities per province'!B222,Gebieden_in_Nederland_2023_2403!B:B,0),0)</f>
        <v>ES14</v>
      </c>
    </row>
    <row r="223" spans="1:8" x14ac:dyDescent="0.25">
      <c r="A223" s="24" t="s">
        <v>897</v>
      </c>
      <c r="B223" s="24" t="s">
        <v>896</v>
      </c>
      <c r="C223" s="24" t="s">
        <v>898</v>
      </c>
      <c r="D223" s="24" t="s">
        <v>1178</v>
      </c>
      <c r="E223" s="24" t="s">
        <v>1179</v>
      </c>
      <c r="F223" s="24" t="s">
        <v>1180</v>
      </c>
      <c r="G223" s="25" t="str" cm="1">
        <f t="array" ref="G223">INDEX(Gebieden_in_Nederland_2023_2403!H:H,MATCH('municipalities per province'!B223,Gebieden_in_Nederland_2023_2403!B:B,0),0)</f>
        <v>Arnhem/Nijmegen</v>
      </c>
      <c r="H223" s="24" t="str" cm="1">
        <f t="array" ref="H223">INDEX(Gebieden_in_Nederland_2023_2403!G:G,MATCH('municipalities per province'!B223,Gebieden_in_Nederland_2023_2403!B:B,0),0)</f>
        <v>ES08</v>
      </c>
    </row>
    <row r="224" spans="1:8" x14ac:dyDescent="0.25">
      <c r="A224" s="24" t="s">
        <v>507</v>
      </c>
      <c r="B224" s="24" t="s">
        <v>506</v>
      </c>
      <c r="C224" s="24" t="s">
        <v>508</v>
      </c>
      <c r="D224" s="24" t="s">
        <v>1183</v>
      </c>
      <c r="E224" s="24" t="s">
        <v>1184</v>
      </c>
      <c r="F224" s="24" t="s">
        <v>1185</v>
      </c>
      <c r="G224" s="25" t="str" cm="1">
        <f t="array" ref="G224">INDEX(Gebieden_in_Nederland_2023_2403!H:H,MATCH('municipalities per province'!B224,Gebieden_in_Nederland_2023_2403!B:B,0),0)</f>
        <v>Drechtsteden</v>
      </c>
      <c r="H224" s="24" t="str" cm="1">
        <f t="array" ref="H224">INDEX(Gebieden_in_Nederland_2023_2403!G:G,MATCH('municipalities per province'!B224,Gebieden_in_Nederland_2023_2403!B:B,0),0)</f>
        <v>ES18</v>
      </c>
    </row>
    <row r="225" spans="1:8" x14ac:dyDescent="0.25">
      <c r="A225" s="24" t="s">
        <v>942</v>
      </c>
      <c r="B225" s="24" t="s">
        <v>941</v>
      </c>
      <c r="C225" s="24" t="s">
        <v>943</v>
      </c>
      <c r="D225" s="24" t="s">
        <v>1197</v>
      </c>
      <c r="E225" s="24" t="s">
        <v>1198</v>
      </c>
      <c r="F225" s="24" t="s">
        <v>1199</v>
      </c>
      <c r="G225" s="25" t="str" cm="1">
        <f t="array" ref="G225">INDEX(Gebieden_in_Nederland_2023_2403!H:H,MATCH('municipalities per province'!B225,Gebieden_in_Nederland_2023_2403!B:B,0),0)</f>
        <v>Noord-enMidden-Limburg</v>
      </c>
      <c r="H225" s="24" t="str" cm="1">
        <f t="array" ref="H225">INDEX(Gebieden_in_Nederland_2023_2403!G:G,MATCH('municipalities per province'!B225,Gebieden_in_Nederland_2023_2403!B:B,0),0)</f>
        <v>ES29</v>
      </c>
    </row>
    <row r="226" spans="1:8" x14ac:dyDescent="0.25">
      <c r="A226" s="24" t="s">
        <v>615</v>
      </c>
      <c r="B226" s="24" t="s">
        <v>614</v>
      </c>
      <c r="C226" s="24" t="s">
        <v>616</v>
      </c>
      <c r="D226" s="24" t="s">
        <v>1203</v>
      </c>
      <c r="E226" s="24" t="s">
        <v>1204</v>
      </c>
      <c r="F226" s="24" t="s">
        <v>21</v>
      </c>
      <c r="G226" s="25" t="str" cm="1">
        <f t="array" ref="G226">INDEX(Gebieden_in_Nederland_2023_2403!H:H,MATCH('municipalities per province'!B226,Gebieden_in_Nederland_2023_2403!B:B,0),0)</f>
        <v>Groningen</v>
      </c>
      <c r="H226" s="24" t="str" cm="1">
        <f t="array" ref="H226">INDEX(Gebieden_in_Nederland_2023_2403!G:G,MATCH('municipalities per province'!B226,Gebieden_in_Nederland_2023_2403!B:B,0),0)</f>
        <v>ES01</v>
      </c>
    </row>
    <row r="227" spans="1:8" x14ac:dyDescent="0.25">
      <c r="A227" s="24" t="s">
        <v>972</v>
      </c>
      <c r="B227" s="24" t="s">
        <v>971</v>
      </c>
      <c r="C227" s="24" t="s">
        <v>973</v>
      </c>
      <c r="D227" s="24" t="s">
        <v>1183</v>
      </c>
      <c r="E227" s="24" t="s">
        <v>1184</v>
      </c>
      <c r="F227" s="24" t="s">
        <v>1185</v>
      </c>
      <c r="G227" s="25" t="str" cm="1">
        <f t="array" ref="G227">INDEX(Gebieden_in_Nederland_2023_2403!H:H,MATCH('municipalities per province'!B227,Gebieden_in_Nederland_2023_2403!B:B,0),0)</f>
        <v>Rotterdam/DenHaag</v>
      </c>
      <c r="H227" s="24" t="str" cm="1">
        <f t="array" ref="H227">INDEX(Gebieden_in_Nederland_2023_2403!G:G,MATCH('municipalities per province'!B227,Gebieden_in_Nederland_2023_2403!B:B,0),0)</f>
        <v>ES23</v>
      </c>
    </row>
    <row r="228" spans="1:8" x14ac:dyDescent="0.25">
      <c r="A228" s="24" t="s">
        <v>411</v>
      </c>
      <c r="B228" s="24" t="s">
        <v>410</v>
      </c>
      <c r="C228" s="24" t="s">
        <v>412</v>
      </c>
      <c r="D228" s="24" t="s">
        <v>1175</v>
      </c>
      <c r="E228" s="24" t="s">
        <v>1176</v>
      </c>
      <c r="F228" s="24" t="s">
        <v>1177</v>
      </c>
      <c r="G228" s="25" t="str" cm="1">
        <f t="array" ref="G228">INDEX(Gebieden_in_Nederland_2023_2403!H:H,MATCH('municipalities per province'!B228,Gebieden_in_Nederland_2023_2403!B:B,0),0)</f>
        <v>Noord-HollandZuid</v>
      </c>
      <c r="H228" s="24" t="str" cm="1">
        <f t="array" ref="H228">INDEX(Gebieden_in_Nederland_2023_2403!G:G,MATCH('municipalities per province'!B228,Gebieden_in_Nederland_2023_2403!B:B,0),0)</f>
        <v>ES16</v>
      </c>
    </row>
    <row r="229" spans="1:8" x14ac:dyDescent="0.25">
      <c r="A229" s="24" t="s">
        <v>222</v>
      </c>
      <c r="B229" s="24" t="s">
        <v>221</v>
      </c>
      <c r="C229" s="24" t="s">
        <v>223</v>
      </c>
      <c r="D229" s="24" t="s">
        <v>1178</v>
      </c>
      <c r="E229" s="24" t="s">
        <v>1179</v>
      </c>
      <c r="F229" s="24" t="s">
        <v>1180</v>
      </c>
      <c r="G229" s="25" t="str" cm="1">
        <f t="array" ref="G229">INDEX(Gebieden_in_Nederland_2023_2403!H:H,MATCH('municipalities per province'!B229,Gebieden_in_Nederland_2023_2403!B:B,0),0)</f>
        <v>Noord-Veluwe</v>
      </c>
      <c r="H229" s="24" t="str" cm="1">
        <f t="array" ref="H229">INDEX(Gebieden_in_Nederland_2023_2403!G:G,MATCH('municipalities per province'!B229,Gebieden_in_Nederland_2023_2403!B:B,0),0)</f>
        <v>ES10</v>
      </c>
    </row>
    <row r="230" spans="1:8" x14ac:dyDescent="0.25">
      <c r="A230" s="24" t="s">
        <v>129</v>
      </c>
      <c r="B230" s="24" t="s">
        <v>128</v>
      </c>
      <c r="C230" s="24" t="s">
        <v>130</v>
      </c>
      <c r="D230" s="24" t="s">
        <v>1186</v>
      </c>
      <c r="E230" s="24" t="s">
        <v>1187</v>
      </c>
      <c r="F230" s="24" t="s">
        <v>1188</v>
      </c>
      <c r="G230" s="25" t="str" cm="1">
        <f t="array" ref="G230">INDEX(Gebieden_in_Nederland_2023_2403!H:H,MATCH('municipalities per province'!B230,Gebieden_in_Nederland_2023_2403!B:B,0),0)</f>
        <v>West-Overijssel</v>
      </c>
      <c r="H230" s="24" t="str" cm="1">
        <f t="array" ref="H230">INDEX(Gebieden_in_Nederland_2023_2403!G:G,MATCH('municipalities per province'!B230,Gebieden_in_Nederland_2023_2403!B:B,0),0)</f>
        <v>ES05</v>
      </c>
    </row>
    <row r="231" spans="1:8" x14ac:dyDescent="0.25">
      <c r="A231" s="24" t="s">
        <v>570</v>
      </c>
      <c r="B231" s="24" t="s">
        <v>569</v>
      </c>
      <c r="C231" s="24" t="s">
        <v>571</v>
      </c>
      <c r="D231" s="24" t="s">
        <v>1200</v>
      </c>
      <c r="E231" s="24" t="s">
        <v>1201</v>
      </c>
      <c r="F231" s="24" t="s">
        <v>1202</v>
      </c>
      <c r="G231" s="25" t="str" cm="1">
        <f t="array" ref="G231">INDEX(Gebieden_in_Nederland_2023_2403!H:H,MATCH('municipalities per province'!B231,Gebieden_in_Nederland_2023_2403!B:B,0),0)</f>
        <v>Zeeland</v>
      </c>
      <c r="H231" s="24" t="str" cm="1">
        <f t="array" ref="H231">INDEX(Gebieden_in_Nederland_2023_2403!G:G,MATCH('municipalities per province'!B231,Gebieden_in_Nederland_2023_2403!B:B,0),0)</f>
        <v>ES24</v>
      </c>
    </row>
    <row r="232" spans="1:8" x14ac:dyDescent="0.25">
      <c r="A232" s="24" t="s">
        <v>225</v>
      </c>
      <c r="B232" s="24" t="s">
        <v>224</v>
      </c>
      <c r="C232" s="24" t="s">
        <v>226</v>
      </c>
      <c r="D232" s="24" t="s">
        <v>1178</v>
      </c>
      <c r="E232" s="24" t="s">
        <v>1179</v>
      </c>
      <c r="F232" s="24" t="s">
        <v>1180</v>
      </c>
      <c r="G232" s="25" t="str" cm="1">
        <f t="array" ref="G232">INDEX(Gebieden_in_Nederland_2023_2403!H:H,MATCH('municipalities per province'!B232,Gebieden_in_Nederland_2023_2403!B:B,0),0)</f>
        <v>Arnhem/Nijmegen</v>
      </c>
      <c r="H232" s="24" t="str" cm="1">
        <f t="array" ref="H232">INDEX(Gebieden_in_Nederland_2023_2403!G:G,MATCH('municipalities per province'!B232,Gebieden_in_Nederland_2023_2403!B:B,0),0)</f>
        <v>ES08</v>
      </c>
    </row>
    <row r="233" spans="1:8" x14ac:dyDescent="0.25">
      <c r="A233" s="24" t="s">
        <v>300</v>
      </c>
      <c r="B233" s="24" t="s">
        <v>299</v>
      </c>
      <c r="C233" s="24" t="s">
        <v>301</v>
      </c>
      <c r="D233" s="24" t="s">
        <v>1195</v>
      </c>
      <c r="E233" s="24" t="s">
        <v>1196</v>
      </c>
      <c r="F233" s="24" t="s">
        <v>310</v>
      </c>
      <c r="G233" s="25" t="str" cm="1">
        <f t="array" ref="G233">INDEX(Gebieden_in_Nederland_2023_2403!H:H,MATCH('municipalities per province'!B233,Gebieden_in_Nederland_2023_2403!B:B,0),0)</f>
        <v>Foodvalley</v>
      </c>
      <c r="H233" s="24" t="str" cm="1">
        <f t="array" ref="H233">INDEX(Gebieden_in_Nederland_2023_2403!G:G,MATCH('municipalities per province'!B233,Gebieden_in_Nederland_2023_2403!B:B,0),0)</f>
        <v>ES09</v>
      </c>
    </row>
    <row r="234" spans="1:8" x14ac:dyDescent="0.25">
      <c r="A234" s="24" t="s">
        <v>819</v>
      </c>
      <c r="B234" s="24" t="s">
        <v>818</v>
      </c>
      <c r="C234" s="24" t="s">
        <v>820</v>
      </c>
      <c r="D234" s="24" t="s">
        <v>1192</v>
      </c>
      <c r="E234" s="24" t="s">
        <v>1193</v>
      </c>
      <c r="F234" s="24" t="s">
        <v>1194</v>
      </c>
      <c r="G234" s="25" t="str" cm="1">
        <f t="array" ref="G234">INDEX(Gebieden_in_Nederland_2023_2403!H:H,MATCH('municipalities per province'!B234,Gebieden_in_Nederland_2023_2403!B:B,0),0)</f>
        <v>MetropoolregioEindhoven</v>
      </c>
      <c r="H234" s="24" t="str" cm="1">
        <f t="array" ref="H234">INDEX(Gebieden_in_Nederland_2023_2403!G:G,MATCH('municipalities per province'!B234,Gebieden_in_Nederland_2023_2403!B:B,0),0)</f>
        <v>ES26</v>
      </c>
    </row>
    <row r="235" spans="1:8" x14ac:dyDescent="0.25">
      <c r="A235" s="24" t="s">
        <v>228</v>
      </c>
      <c r="B235" s="24" t="s">
        <v>227</v>
      </c>
      <c r="C235" s="24" t="s">
        <v>229</v>
      </c>
      <c r="D235" s="24" t="s">
        <v>1178</v>
      </c>
      <c r="E235" s="24" t="s">
        <v>1179</v>
      </c>
      <c r="F235" s="24" t="s">
        <v>1180</v>
      </c>
      <c r="G235" s="25" t="str" cm="1">
        <f t="array" ref="G235">INDEX(Gebieden_in_Nederland_2023_2403!H:H,MATCH('municipalities per province'!B235,Gebieden_in_Nederland_2023_2403!B:B,0),0)</f>
        <v>Arnhem/Nijmegen</v>
      </c>
      <c r="H235" s="24" t="str" cm="1">
        <f t="array" ref="H235">INDEX(Gebieden_in_Nederland_2023_2403!G:G,MATCH('municipalities per province'!B235,Gebieden_in_Nederland_2023_2403!B:B,0),0)</f>
        <v>ES08</v>
      </c>
    </row>
    <row r="236" spans="1:8" x14ac:dyDescent="0.25">
      <c r="A236" s="24" t="s">
        <v>303</v>
      </c>
      <c r="B236" s="24" t="s">
        <v>302</v>
      </c>
      <c r="C236" s="24" t="s">
        <v>304</v>
      </c>
      <c r="D236" s="24" t="s">
        <v>1195</v>
      </c>
      <c r="E236" s="24" t="s">
        <v>1196</v>
      </c>
      <c r="F236" s="24" t="s">
        <v>310</v>
      </c>
      <c r="G236" s="25" t="str" cm="1">
        <f t="array" ref="G236">INDEX(Gebieden_in_Nederland_2023_2403!H:H,MATCH('municipalities per province'!B236,Gebieden_in_Nederland_2023_2403!B:B,0),0)</f>
        <v>Foodvalley</v>
      </c>
      <c r="H236" s="24" t="str" cm="1">
        <f t="array" ref="H236">INDEX(Gebieden_in_Nederland_2023_2403!G:G,MATCH('municipalities per province'!B236,Gebieden_in_Nederland_2023_2403!B:B,0),0)</f>
        <v>ES09</v>
      </c>
    </row>
    <row r="237" spans="1:8" x14ac:dyDescent="0.25">
      <c r="A237" s="24" t="s">
        <v>510</v>
      </c>
      <c r="B237" s="24" t="s">
        <v>509</v>
      </c>
      <c r="C237" s="24" t="s">
        <v>511</v>
      </c>
      <c r="D237" s="24" t="s">
        <v>1183</v>
      </c>
      <c r="E237" s="24" t="s">
        <v>1184</v>
      </c>
      <c r="F237" s="24" t="s">
        <v>1185</v>
      </c>
      <c r="G237" s="25" t="str" cm="1">
        <f t="array" ref="G237">INDEX(Gebieden_in_Nederland_2023_2403!H:H,MATCH('municipalities per province'!B237,Gebieden_in_Nederland_2023_2403!B:B,0),0)</f>
        <v>Rotterdam/DenHaag</v>
      </c>
      <c r="H237" s="24" t="str" cm="1">
        <f t="array" ref="H237">INDEX(Gebieden_in_Nederland_2023_2403!G:G,MATCH('municipalities per province'!B237,Gebieden_in_Nederland_2023_2403!B:B,0),0)</f>
        <v>ES23</v>
      </c>
    </row>
    <row r="238" spans="1:8" x14ac:dyDescent="0.25">
      <c r="A238" s="24" t="s">
        <v>906</v>
      </c>
      <c r="B238" s="24" t="s">
        <v>905</v>
      </c>
      <c r="C238" s="24" t="s">
        <v>907</v>
      </c>
      <c r="D238" s="24" t="s">
        <v>1186</v>
      </c>
      <c r="E238" s="24" t="s">
        <v>1187</v>
      </c>
      <c r="F238" s="24" t="s">
        <v>1188</v>
      </c>
      <c r="G238" s="25" t="str" cm="1">
        <f t="array" ref="G238">INDEX(Gebieden_in_Nederland_2023_2403!H:H,MATCH('municipalities per province'!B238,Gebieden_in_Nederland_2023_2403!B:B,0),0)</f>
        <v>Twente</v>
      </c>
      <c r="H238" s="24" t="str" cm="1">
        <f t="array" ref="H238">INDEX(Gebieden_in_Nederland_2023_2403!G:G,MATCH('municipalities per province'!B238,Gebieden_in_Nederland_2023_2403!B:B,0),0)</f>
        <v>ES04</v>
      </c>
    </row>
    <row r="239" spans="1:8" x14ac:dyDescent="0.25">
      <c r="A239" s="24" t="s">
        <v>516</v>
      </c>
      <c r="B239" s="24" t="s">
        <v>515</v>
      </c>
      <c r="C239" s="24" t="s">
        <v>517</v>
      </c>
      <c r="D239" s="24" t="s">
        <v>1183</v>
      </c>
      <c r="E239" s="24" t="s">
        <v>1184</v>
      </c>
      <c r="F239" s="24" t="s">
        <v>1185</v>
      </c>
      <c r="G239" s="25" t="str" cm="1">
        <f t="array" ref="G239">INDEX(Gebieden_in_Nederland_2023_2403!H:H,MATCH('municipalities per province'!B239,Gebieden_in_Nederland_2023_2403!B:B,0),0)</f>
        <v>Rotterdam/DenHaag</v>
      </c>
      <c r="H239" s="24" t="str" cm="1">
        <f t="array" ref="H239">INDEX(Gebieden_in_Nederland_2023_2403!G:G,MATCH('municipalities per province'!B239,Gebieden_in_Nederland_2023_2403!B:B,0),0)</f>
        <v>ES23</v>
      </c>
    </row>
    <row r="240" spans="1:8" x14ac:dyDescent="0.25">
      <c r="A240" s="24" t="s">
        <v>822</v>
      </c>
      <c r="B240" s="24" t="s">
        <v>821</v>
      </c>
      <c r="C240" s="24" t="s">
        <v>823</v>
      </c>
      <c r="D240" s="24" t="s">
        <v>1197</v>
      </c>
      <c r="E240" s="24" t="s">
        <v>1198</v>
      </c>
      <c r="F240" s="24" t="s">
        <v>1199</v>
      </c>
      <c r="G240" s="25" t="str" cm="1">
        <f t="array" ref="G240">INDEX(Gebieden_in_Nederland_2023_2403!H:H,MATCH('municipalities per province'!B240,Gebieden_in_Nederland_2023_2403!B:B,0),0)</f>
        <v>Noord-enMidden-Limburg</v>
      </c>
      <c r="H240" s="24" t="str" cm="1">
        <f t="array" ref="H240">INDEX(Gebieden_in_Nederland_2023_2403!G:G,MATCH('municipalities per province'!B240,Gebieden_in_Nederland_2023_2403!B:B,0),0)</f>
        <v>ES29</v>
      </c>
    </row>
    <row r="241" spans="1:8" x14ac:dyDescent="0.25">
      <c r="A241" s="24" t="s">
        <v>750</v>
      </c>
      <c r="B241" s="24" t="s">
        <v>749</v>
      </c>
      <c r="C241" s="24" t="s">
        <v>751</v>
      </c>
      <c r="D241" s="24" t="s">
        <v>1197</v>
      </c>
      <c r="E241" s="24" t="s">
        <v>1198</v>
      </c>
      <c r="F241" s="24" t="s">
        <v>1199</v>
      </c>
      <c r="G241" s="25" t="str" cm="1">
        <f t="array" ref="G241">INDEX(Gebieden_in_Nederland_2023_2403!H:H,MATCH('municipalities per province'!B241,Gebieden_in_Nederland_2023_2403!B:B,0),0)</f>
        <v>Noord-enMidden-Limburg</v>
      </c>
      <c r="H241" s="24" t="str" cm="1">
        <f t="array" ref="H241">INDEX(Gebieden_in_Nederland_2023_2403!G:G,MATCH('municipalities per province'!B241,Gebieden_in_Nederland_2023_2403!B:B,0),0)</f>
        <v>ES29</v>
      </c>
    </row>
    <row r="242" spans="1:8" x14ac:dyDescent="0.25">
      <c r="A242" s="24" t="s">
        <v>585</v>
      </c>
      <c r="B242" s="24" t="s">
        <v>584</v>
      </c>
      <c r="C242" s="24" t="s">
        <v>586</v>
      </c>
      <c r="D242" s="24" t="s">
        <v>1195</v>
      </c>
      <c r="E242" s="24" t="s">
        <v>1196</v>
      </c>
      <c r="F242" s="24" t="s">
        <v>310</v>
      </c>
      <c r="G242" s="25" t="str" cm="1">
        <f t="array" ref="G242">INDEX(Gebieden_in_Nederland_2023_2403!H:H,MATCH('municipalities per province'!B242,Gebieden_in_Nederland_2023_2403!B:B,0),0)</f>
        <v>U16</v>
      </c>
      <c r="H242" s="24" t="str" cm="1">
        <f t="array" ref="H242">INDEX(Gebieden_in_Nederland_2023_2403!G:G,MATCH('municipalities per province'!B242,Gebieden_in_Nederland_2023_2403!B:B,0),0)</f>
        <v>ES14</v>
      </c>
    </row>
    <row r="243" spans="1:8" x14ac:dyDescent="0.25">
      <c r="A243" s="24" t="s">
        <v>825</v>
      </c>
      <c r="B243" s="24" t="s">
        <v>824</v>
      </c>
      <c r="C243" s="24" t="s">
        <v>826</v>
      </c>
      <c r="D243" s="24" t="s">
        <v>1192</v>
      </c>
      <c r="E243" s="24" t="s">
        <v>1193</v>
      </c>
      <c r="F243" s="24" t="s">
        <v>1194</v>
      </c>
      <c r="G243" s="25" t="str" cm="1">
        <f t="array" ref="G243">INDEX(Gebieden_in_Nederland_2023_2403!H:H,MATCH('municipalities per province'!B243,Gebieden_in_Nederland_2023_2403!B:B,0),0)</f>
        <v>West-Brabant</v>
      </c>
      <c r="H243" s="24" t="str" cm="1">
        <f t="array" ref="H243">INDEX(Gebieden_in_Nederland_2023_2403!G:G,MATCH('municipalities per province'!B243,Gebieden_in_Nederland_2023_2403!B:B,0),0)</f>
        <v>ES28</v>
      </c>
    </row>
    <row r="244" spans="1:8" x14ac:dyDescent="0.25">
      <c r="A244" s="24" t="s">
        <v>513</v>
      </c>
      <c r="B244" s="24" t="s">
        <v>512</v>
      </c>
      <c r="C244" s="24" t="s">
        <v>514</v>
      </c>
      <c r="D244" s="24" t="s">
        <v>1183</v>
      </c>
      <c r="E244" s="24" t="s">
        <v>1184</v>
      </c>
      <c r="F244" s="24" t="s">
        <v>1185</v>
      </c>
      <c r="G244" s="25" t="str" cm="1">
        <f t="array" ref="G244">INDEX(Gebieden_in_Nederland_2023_2403!H:H,MATCH('municipalities per province'!B244,Gebieden_in_Nederland_2023_2403!B:B,0),0)</f>
        <v>Rotterdam/DenHaag</v>
      </c>
      <c r="H244" s="24" t="str" cm="1">
        <f t="array" ref="H244">INDEX(Gebieden_in_Nederland_2023_2403!G:G,MATCH('municipalities per province'!B244,Gebieden_in_Nederland_2023_2403!B:B,0),0)</f>
        <v>ES23</v>
      </c>
    </row>
    <row r="245" spans="1:8" x14ac:dyDescent="0.25">
      <c r="A245" s="24" t="s">
        <v>231</v>
      </c>
      <c r="B245" s="24" t="s">
        <v>230</v>
      </c>
      <c r="C245" s="24" t="s">
        <v>232</v>
      </c>
      <c r="D245" s="24" t="s">
        <v>1178</v>
      </c>
      <c r="E245" s="24" t="s">
        <v>1179</v>
      </c>
      <c r="F245" s="24" t="s">
        <v>1180</v>
      </c>
      <c r="G245" s="25" t="str" cm="1">
        <f t="array" ref="G245">INDEX(Gebieden_in_Nederland_2023_2403!H:H,MATCH('municipalities per province'!B245,Gebieden_in_Nederland_2023_2403!B:B,0),0)</f>
        <v>Arnhem/Nijmegen</v>
      </c>
      <c r="H245" s="24" t="str" cm="1">
        <f t="array" ref="H245">INDEX(Gebieden_in_Nederland_2023_2403!G:G,MATCH('municipalities per province'!B245,Gebieden_in_Nederland_2023_2403!B:B,0),0)</f>
        <v>ES08</v>
      </c>
    </row>
    <row r="246" spans="1:8" x14ac:dyDescent="0.25">
      <c r="A246" s="24" t="s">
        <v>669</v>
      </c>
      <c r="B246" s="24" t="s">
        <v>668</v>
      </c>
      <c r="C246" s="24" t="s">
        <v>670</v>
      </c>
      <c r="D246" s="24" t="s">
        <v>1192</v>
      </c>
      <c r="E246" s="24" t="s">
        <v>1193</v>
      </c>
      <c r="F246" s="24" t="s">
        <v>1194</v>
      </c>
      <c r="G246" s="25" t="str" cm="1">
        <f t="array" ref="G246">INDEX(Gebieden_in_Nederland_2023_2403!H:H,MATCH('municipalities per province'!B246,Gebieden_in_Nederland_2023_2403!B:B,0),0)</f>
        <v>West-Brabant</v>
      </c>
      <c r="H246" s="24" t="str" cm="1">
        <f t="array" ref="H246">INDEX(Gebieden_in_Nederland_2023_2403!G:G,MATCH('municipalities per province'!B246,Gebieden_in_Nederland_2023_2403!B:B,0),0)</f>
        <v>ES28</v>
      </c>
    </row>
    <row r="247" spans="1:8" x14ac:dyDescent="0.25">
      <c r="A247" s="24" t="s">
        <v>414</v>
      </c>
      <c r="B247" s="24" t="s">
        <v>413</v>
      </c>
      <c r="C247" s="24" t="s">
        <v>415</v>
      </c>
      <c r="D247" s="24" t="s">
        <v>1175</v>
      </c>
      <c r="E247" s="24" t="s">
        <v>1176</v>
      </c>
      <c r="F247" s="24" t="s">
        <v>1177</v>
      </c>
      <c r="G247" s="25" t="str" cm="1">
        <f t="array" ref="G247">INDEX(Gebieden_in_Nederland_2023_2403!H:H,MATCH('municipalities per province'!B247,Gebieden_in_Nederland_2023_2403!B:B,0),0)</f>
        <v>Noord-HollandNoord</v>
      </c>
      <c r="H247" s="24" t="str" cm="1">
        <f t="array" ref="H247">INDEX(Gebieden_in_Nederland_2023_2403!G:G,MATCH('municipalities per province'!B247,Gebieden_in_Nederland_2023_2403!B:B,0),0)</f>
        <v>ES15</v>
      </c>
    </row>
    <row r="248" spans="1:8" x14ac:dyDescent="0.25">
      <c r="A248" s="24" t="s">
        <v>234</v>
      </c>
      <c r="B248" s="24" t="s">
        <v>233</v>
      </c>
      <c r="C248" s="24" t="s">
        <v>235</v>
      </c>
      <c r="D248" s="24" t="s">
        <v>1178</v>
      </c>
      <c r="E248" s="24" t="s">
        <v>1179</v>
      </c>
      <c r="F248" s="24" t="s">
        <v>1180</v>
      </c>
      <c r="G248" s="25" t="str" cm="1">
        <f t="array" ref="G248">INDEX(Gebieden_in_Nederland_2023_2403!H:H,MATCH('municipalities per province'!B248,Gebieden_in_Nederland_2023_2403!B:B,0),0)</f>
        <v>Foodvalley</v>
      </c>
      <c r="H248" s="24" t="str" cm="1">
        <f t="array" ref="H248">INDEX(Gebieden_in_Nederland_2023_2403!G:G,MATCH('municipalities per province'!B248,Gebieden_in_Nederland_2023_2403!B:B,0),0)</f>
        <v>ES09</v>
      </c>
    </row>
    <row r="249" spans="1:8" x14ac:dyDescent="0.25">
      <c r="A249" s="24" t="s">
        <v>519</v>
      </c>
      <c r="B249" s="24" t="s">
        <v>518</v>
      </c>
      <c r="C249" s="24" t="s">
        <v>520</v>
      </c>
      <c r="D249" s="24" t="s">
        <v>1183</v>
      </c>
      <c r="E249" s="24" t="s">
        <v>1184</v>
      </c>
      <c r="F249" s="24" t="s">
        <v>1185</v>
      </c>
      <c r="G249" s="25" t="str" cm="1">
        <f t="array" ref="G249">INDEX(Gebieden_in_Nederland_2023_2403!H:H,MATCH('municipalities per province'!B249,Gebieden_in_Nederland_2023_2403!B:B,0),0)</f>
        <v>Rotterdam/DenHaag</v>
      </c>
      <c r="H249" s="24" t="str" cm="1">
        <f t="array" ref="H249">INDEX(Gebieden_in_Nederland_2023_2403!G:G,MATCH('municipalities per province'!B249,Gebieden_in_Nederland_2023_2403!B:B,0),0)</f>
        <v>ES23</v>
      </c>
    </row>
    <row r="250" spans="1:8" x14ac:dyDescent="0.25">
      <c r="A250" s="24" t="s">
        <v>57</v>
      </c>
      <c r="B250" s="24" t="s">
        <v>56</v>
      </c>
      <c r="C250" s="24" t="s">
        <v>58</v>
      </c>
      <c r="D250" s="24" t="s">
        <v>1181</v>
      </c>
      <c r="E250" s="24" t="s">
        <v>1182</v>
      </c>
      <c r="F250" s="24" t="s">
        <v>1205</v>
      </c>
      <c r="G250" s="25" t="str" cm="1">
        <f t="array" ref="G250">INDEX(Gebieden_in_Nederland_2023_2403!H:H,MATCH('municipalities per province'!B250,Gebieden_in_Nederland_2023_2403!B:B,0),0)</f>
        <v>Friesland</v>
      </c>
      <c r="H250" s="24" t="str" cm="1">
        <f t="array" ref="H250">INDEX(Gebieden_in_Nederland_2023_2403!G:G,MATCH('municipalities per province'!B250,Gebieden_in_Nederland_2023_2403!B:B,0),0)</f>
        <v>ES02</v>
      </c>
    </row>
    <row r="251" spans="1:8" x14ac:dyDescent="0.25">
      <c r="A251" s="24" t="s">
        <v>828</v>
      </c>
      <c r="B251" s="24" t="s">
        <v>827</v>
      </c>
      <c r="C251" s="24" t="s">
        <v>829</v>
      </c>
      <c r="D251" s="24" t="s">
        <v>1200</v>
      </c>
      <c r="E251" s="24" t="s">
        <v>1201</v>
      </c>
      <c r="F251" s="24" t="s">
        <v>1202</v>
      </c>
      <c r="G251" s="25" t="str" cm="1">
        <f t="array" ref="G251">INDEX(Gebieden_in_Nederland_2023_2403!H:H,MATCH('municipalities per province'!B251,Gebieden_in_Nederland_2023_2403!B:B,0),0)</f>
        <v>Zeeland</v>
      </c>
      <c r="H251" s="24" t="str" cm="1">
        <f t="array" ref="H251">INDEX(Gebieden_in_Nederland_2023_2403!G:G,MATCH('municipalities per province'!B251,Gebieden_in_Nederland_2023_2403!B:B,0),0)</f>
        <v>ES24</v>
      </c>
    </row>
    <row r="252" spans="1:8" x14ac:dyDescent="0.25">
      <c r="A252" s="24" t="s">
        <v>753</v>
      </c>
      <c r="B252" s="24" t="s">
        <v>752</v>
      </c>
      <c r="C252" s="24" t="s">
        <v>754</v>
      </c>
      <c r="D252" s="24" t="s">
        <v>1197</v>
      </c>
      <c r="E252" s="24" t="s">
        <v>1198</v>
      </c>
      <c r="F252" s="24" t="s">
        <v>1199</v>
      </c>
      <c r="G252" s="25" t="str" cm="1">
        <f t="array" ref="G252">INDEX(Gebieden_in_Nederland_2023_2403!H:H,MATCH('municipalities per province'!B252,Gebieden_in_Nederland_2023_2403!B:B,0),0)</f>
        <v>Zuid-Limburg</v>
      </c>
      <c r="H252" s="24" t="str" cm="1">
        <f t="array" ref="H252">INDEX(Gebieden_in_Nederland_2023_2403!G:G,MATCH('municipalities per province'!B252,Gebieden_in_Nederland_2023_2403!B:B,0),0)</f>
        <v>ES30</v>
      </c>
    </row>
    <row r="253" spans="1:8" x14ac:dyDescent="0.25">
      <c r="A253" s="24" t="s">
        <v>672</v>
      </c>
      <c r="B253" s="24" t="s">
        <v>671</v>
      </c>
      <c r="C253" s="24" t="s">
        <v>673</v>
      </c>
      <c r="D253" s="24" t="s">
        <v>1192</v>
      </c>
      <c r="E253" s="24" t="s">
        <v>1193</v>
      </c>
      <c r="F253" s="24" t="s">
        <v>1194</v>
      </c>
      <c r="G253" s="25" t="str" cm="1">
        <f t="array" ref="G253">INDEX(Gebieden_in_Nederland_2023_2403!H:H,MATCH('municipalities per province'!B253,Gebieden_in_Nederland_2023_2403!B:B,0),0)</f>
        <v>Noordoost-Brabant</v>
      </c>
      <c r="H253" s="24" t="str" cm="1">
        <f t="array" ref="H253">INDEX(Gebieden_in_Nederland_2023_2403!G:G,MATCH('municipalities per province'!B253,Gebieden_in_Nederland_2023_2403!B:B,0),0)</f>
        <v>ES27</v>
      </c>
    </row>
    <row r="254" spans="1:8" x14ac:dyDescent="0.25">
      <c r="A254" s="24" t="s">
        <v>930</v>
      </c>
      <c r="B254" s="24" t="s">
        <v>929</v>
      </c>
      <c r="C254" s="24" t="s">
        <v>931</v>
      </c>
      <c r="D254" s="24" t="s">
        <v>1197</v>
      </c>
      <c r="E254" s="24" t="s">
        <v>1198</v>
      </c>
      <c r="F254" s="24" t="s">
        <v>1199</v>
      </c>
      <c r="G254" s="25" t="str" cm="1">
        <f t="array" ref="G254">INDEX(Gebieden_in_Nederland_2023_2403!H:H,MATCH('municipalities per province'!B254,Gebieden_in_Nederland_2023_2403!B:B,0),0)</f>
        <v>Zuid-Limburg</v>
      </c>
      <c r="H254" s="24" t="str" cm="1">
        <f t="array" ref="H254">INDEX(Gebieden_in_Nederland_2023_2403!G:G,MATCH('municipalities per province'!B254,Gebieden_in_Nederland_2023_2403!B:B,0),0)</f>
        <v>ES30</v>
      </c>
    </row>
    <row r="255" spans="1:8" x14ac:dyDescent="0.25">
      <c r="A255" s="24" t="s">
        <v>522</v>
      </c>
      <c r="B255" s="24" t="s">
        <v>521</v>
      </c>
      <c r="C255" s="24" t="s">
        <v>523</v>
      </c>
      <c r="D255" s="24" t="s">
        <v>1183</v>
      </c>
      <c r="E255" s="24" t="s">
        <v>1184</v>
      </c>
      <c r="F255" s="24" t="s">
        <v>1185</v>
      </c>
      <c r="G255" s="25" t="str" cm="1">
        <f t="array" ref="G255">INDEX(Gebieden_in_Nederland_2023_2403!H:H,MATCH('municipalities per province'!B255,Gebieden_in_Nederland_2023_2403!B:B,0),0)</f>
        <v>Drechtsteden</v>
      </c>
      <c r="H255" s="24" t="str" cm="1">
        <f t="array" ref="H255">INDEX(Gebieden_in_Nederland_2023_2403!G:G,MATCH('municipalities per province'!B255,Gebieden_in_Nederland_2023_2403!B:B,0),0)</f>
        <v>ES18</v>
      </c>
    </row>
    <row r="256" spans="1:8" x14ac:dyDescent="0.25">
      <c r="A256" s="24" t="s">
        <v>870</v>
      </c>
      <c r="B256" s="24" t="s">
        <v>869</v>
      </c>
      <c r="C256" s="24" t="s">
        <v>871</v>
      </c>
      <c r="D256" s="24" t="s">
        <v>1200</v>
      </c>
      <c r="E256" s="24" t="s">
        <v>1201</v>
      </c>
      <c r="F256" s="24" t="s">
        <v>1202</v>
      </c>
      <c r="G256" s="25" t="str" cm="1">
        <f t="array" ref="G256">INDEX(Gebieden_in_Nederland_2023_2403!H:H,MATCH('municipalities per province'!B256,Gebieden_in_Nederland_2023_2403!B:B,0),0)</f>
        <v>Zeeland</v>
      </c>
      <c r="H256" s="24" t="str" cm="1">
        <f t="array" ref="H256">INDEX(Gebieden_in_Nederland_2023_2403!G:G,MATCH('municipalities per province'!B256,Gebieden_in_Nederland_2023_2403!B:B,0),0)</f>
        <v>ES24</v>
      </c>
    </row>
    <row r="257" spans="1:8" x14ac:dyDescent="0.25">
      <c r="A257" s="24" t="s">
        <v>60</v>
      </c>
      <c r="B257" s="24" t="s">
        <v>59</v>
      </c>
      <c r="C257" s="24" t="s">
        <v>61</v>
      </c>
      <c r="D257" s="24" t="s">
        <v>1181</v>
      </c>
      <c r="E257" s="24" t="s">
        <v>1182</v>
      </c>
      <c r="F257" s="24" t="s">
        <v>1205</v>
      </c>
      <c r="G257" s="25" t="str" cm="1">
        <f t="array" ref="G257">INDEX(Gebieden_in_Nederland_2023_2403!H:H,MATCH('municipalities per province'!B257,Gebieden_in_Nederland_2023_2403!B:B,0),0)</f>
        <v>Friesland</v>
      </c>
      <c r="H257" s="24" t="str" cm="1">
        <f t="array" ref="H257">INDEX(Gebieden_in_Nederland_2023_2403!G:G,MATCH('municipalities per province'!B257,Gebieden_in_Nederland_2023_2403!B:B,0),0)</f>
        <v>ES02</v>
      </c>
    </row>
    <row r="258" spans="1:8" x14ac:dyDescent="0.25">
      <c r="A258" s="24" t="s">
        <v>306</v>
      </c>
      <c r="B258" s="24" t="s">
        <v>305</v>
      </c>
      <c r="C258" s="24" t="s">
        <v>307</v>
      </c>
      <c r="D258" s="24" t="s">
        <v>1195</v>
      </c>
      <c r="E258" s="24" t="s">
        <v>1196</v>
      </c>
      <c r="F258" s="24" t="s">
        <v>310</v>
      </c>
      <c r="G258" s="25" t="str" cm="1">
        <f t="array" ref="G258">INDEX(Gebieden_in_Nederland_2023_2403!H:H,MATCH('municipalities per province'!B258,Gebieden_in_Nederland_2023_2403!B:B,0),0)</f>
        <v>Amersfoort</v>
      </c>
      <c r="H258" s="24" t="str" cm="1">
        <f t="array" ref="H258">INDEX(Gebieden_in_Nederland_2023_2403!G:G,MATCH('municipalities per province'!B258,Gebieden_in_Nederland_2023_2403!B:B,0),0)</f>
        <v>ES13</v>
      </c>
    </row>
    <row r="259" spans="1:8" x14ac:dyDescent="0.25">
      <c r="A259" s="24" t="s">
        <v>675</v>
      </c>
      <c r="B259" s="24" t="s">
        <v>674</v>
      </c>
      <c r="C259" s="24" t="s">
        <v>676</v>
      </c>
      <c r="D259" s="24" t="s">
        <v>1192</v>
      </c>
      <c r="E259" s="24" t="s">
        <v>1193</v>
      </c>
      <c r="F259" s="24" t="s">
        <v>1194</v>
      </c>
      <c r="G259" s="25" t="str" cm="1">
        <f t="array" ref="G259">INDEX(Gebieden_in_Nederland_2023_2403!H:H,MATCH('municipalities per province'!B259,Gebieden_in_Nederland_2023_2403!B:B,0),0)</f>
        <v>MetropoolregioEindhoven</v>
      </c>
      <c r="H259" s="24" t="str" cm="1">
        <f t="array" ref="H259">INDEX(Gebieden_in_Nederland_2023_2403!G:G,MATCH('municipalities per province'!B259,Gebieden_in_Nederland_2023_2403!B:B,0),0)</f>
        <v>ES26</v>
      </c>
    </row>
    <row r="260" spans="1:8" x14ac:dyDescent="0.25">
      <c r="A260" s="24" t="s">
        <v>678</v>
      </c>
      <c r="B260" s="24" t="s">
        <v>677</v>
      </c>
      <c r="C260" s="24" t="s">
        <v>679</v>
      </c>
      <c r="D260" s="24" t="s">
        <v>1192</v>
      </c>
      <c r="E260" s="24" t="s">
        <v>1193</v>
      </c>
      <c r="F260" s="24" t="s">
        <v>1194</v>
      </c>
      <c r="G260" s="25" t="str" cm="1">
        <f t="array" ref="G260">INDEX(Gebieden_in_Nederland_2023_2403!H:H,MATCH('municipalities per province'!B260,Gebieden_in_Nederland_2023_2403!B:B,0),0)</f>
        <v>MetropoolregioEindhoven</v>
      </c>
      <c r="H260" s="24" t="str" cm="1">
        <f t="array" ref="H260">INDEX(Gebieden_in_Nederland_2023_2403!G:G,MATCH('municipalities per province'!B260,Gebieden_in_Nederland_2023_2403!B:B,0),0)</f>
        <v>ES26</v>
      </c>
    </row>
    <row r="261" spans="1:8" x14ac:dyDescent="0.25">
      <c r="A261" s="24" t="s">
        <v>27</v>
      </c>
      <c r="B261" s="24" t="s">
        <v>26</v>
      </c>
      <c r="C261" s="24" t="s">
        <v>28</v>
      </c>
      <c r="D261" s="24" t="s">
        <v>1203</v>
      </c>
      <c r="E261" s="24" t="s">
        <v>1204</v>
      </c>
      <c r="F261" s="24" t="s">
        <v>21</v>
      </c>
      <c r="G261" s="25" t="str" cm="1">
        <f t="array" ref="G261">INDEX(Gebieden_in_Nederland_2023_2403!H:H,MATCH('municipalities per province'!B261,Gebieden_in_Nederland_2023_2403!B:B,0),0)</f>
        <v>Groningen</v>
      </c>
      <c r="H261" s="24" t="str" cm="1">
        <f t="array" ref="H261">INDEX(Gebieden_in_Nederland_2023_2403!G:G,MATCH('municipalities per province'!B261,Gebieden_in_Nederland_2023_2403!B:B,0),0)</f>
        <v>ES01</v>
      </c>
    </row>
    <row r="262" spans="1:8" x14ac:dyDescent="0.25">
      <c r="A262" s="24" t="s">
        <v>132</v>
      </c>
      <c r="B262" s="24" t="s">
        <v>131</v>
      </c>
      <c r="C262" s="24" t="s">
        <v>133</v>
      </c>
      <c r="D262" s="24" t="s">
        <v>1186</v>
      </c>
      <c r="E262" s="24" t="s">
        <v>1187</v>
      </c>
      <c r="F262" s="24" t="s">
        <v>1188</v>
      </c>
      <c r="G262" s="25" t="str" cm="1">
        <f t="array" ref="G262">INDEX(Gebieden_in_Nederland_2023_2403!H:H,MATCH('municipalities per province'!B262,Gebieden_in_Nederland_2023_2403!B:B,0),0)</f>
        <v>West-Overijssel</v>
      </c>
      <c r="H262" s="24" t="str" cm="1">
        <f t="array" ref="H262">INDEX(Gebieden_in_Nederland_2023_2403!G:G,MATCH('municipalities per province'!B262,Gebieden_in_Nederland_2023_2403!B:B,0),0)</f>
        <v>ES05</v>
      </c>
    </row>
    <row r="263" spans="1:8" x14ac:dyDescent="0.25">
      <c r="A263" s="24" t="s">
        <v>471</v>
      </c>
      <c r="B263" s="24" t="s">
        <v>470</v>
      </c>
      <c r="C263" s="24" t="s">
        <v>472</v>
      </c>
      <c r="D263" s="24" t="s">
        <v>1175</v>
      </c>
      <c r="E263" s="24" t="s">
        <v>1176</v>
      </c>
      <c r="F263" s="24" t="s">
        <v>1177</v>
      </c>
      <c r="G263" s="25" t="str" cm="1">
        <f t="array" ref="G263">INDEX(Gebieden_in_Nederland_2023_2403!H:H,MATCH('municipalities per province'!B263,Gebieden_in_Nederland_2023_2403!B:B,0),0)</f>
        <v>Noord-HollandNoord</v>
      </c>
      <c r="H263" s="24" t="str" cm="1">
        <f t="array" ref="H263">INDEX(Gebieden_in_Nederland_2023_2403!G:G,MATCH('municipalities per province'!B263,Gebieden_in_Nederland_2023_2403!B:B,0),0)</f>
        <v>ES15</v>
      </c>
    </row>
    <row r="264" spans="1:8" x14ac:dyDescent="0.25">
      <c r="A264" s="24" t="s">
        <v>681</v>
      </c>
      <c r="B264" s="24" t="s">
        <v>680</v>
      </c>
      <c r="C264" s="24" t="s">
        <v>682</v>
      </c>
      <c r="D264" s="24" t="s">
        <v>1192</v>
      </c>
      <c r="E264" s="24" t="s">
        <v>1193</v>
      </c>
      <c r="F264" s="24" t="s">
        <v>1194</v>
      </c>
      <c r="G264" s="25" t="str" cm="1">
        <f t="array" ref="G264">INDEX(Gebieden_in_Nederland_2023_2403!H:H,MATCH('municipalities per province'!B264,Gebieden_in_Nederland_2023_2403!B:B,0),0)</f>
        <v>West-Brabant</v>
      </c>
      <c r="H264" s="24" t="str" cm="1">
        <f t="array" ref="H264">INDEX(Gebieden_in_Nederland_2023_2403!G:G,MATCH('municipalities per province'!B264,Gebieden_in_Nederland_2023_2403!B:B,0),0)</f>
        <v>ES28</v>
      </c>
    </row>
    <row r="265" spans="1:8" x14ac:dyDescent="0.25">
      <c r="A265" s="24" t="s">
        <v>861</v>
      </c>
      <c r="B265" s="24" t="s">
        <v>860</v>
      </c>
      <c r="C265" s="24" t="s">
        <v>862</v>
      </c>
      <c r="D265" s="24" t="s">
        <v>1186</v>
      </c>
      <c r="E265" s="24" t="s">
        <v>1187</v>
      </c>
      <c r="F265" s="24" t="s">
        <v>1188</v>
      </c>
      <c r="G265" s="25" t="str" cm="1">
        <f t="array" ref="G265">INDEX(Gebieden_in_Nederland_2023_2403!H:H,MATCH('municipalities per province'!B265,Gebieden_in_Nederland_2023_2403!B:B,0),0)</f>
        <v>West-Overijssel</v>
      </c>
      <c r="H265" s="24" t="str" cm="1">
        <f t="array" ref="H265">INDEX(Gebieden_in_Nederland_2023_2403!G:G,MATCH('municipalities per province'!B265,Gebieden_in_Nederland_2023_2403!B:B,0),0)</f>
        <v>ES05</v>
      </c>
    </row>
    <row r="266" spans="1:8" x14ac:dyDescent="0.25">
      <c r="A266" s="24" t="s">
        <v>756</v>
      </c>
      <c r="B266" s="24" t="s">
        <v>755</v>
      </c>
      <c r="C266" s="24" t="s">
        <v>757</v>
      </c>
      <c r="D266" s="24" t="s">
        <v>1197</v>
      </c>
      <c r="E266" s="24" t="s">
        <v>1198</v>
      </c>
      <c r="F266" s="24" t="s">
        <v>1199</v>
      </c>
      <c r="G266" s="25" t="str" cm="1">
        <f t="array" ref="G266">INDEX(Gebieden_in_Nederland_2023_2403!H:H,MATCH('municipalities per province'!B266,Gebieden_in_Nederland_2023_2403!B:B,0),0)</f>
        <v>Zuid-Limburg</v>
      </c>
      <c r="H266" s="24" t="str" cm="1">
        <f t="array" ref="H266">INDEX(Gebieden_in_Nederland_2023_2403!G:G,MATCH('municipalities per province'!B266,Gebieden_in_Nederland_2023_2403!B:B,0),0)</f>
        <v>ES30</v>
      </c>
    </row>
    <row r="267" spans="1:8" x14ac:dyDescent="0.25">
      <c r="A267" s="24" t="s">
        <v>960</v>
      </c>
      <c r="B267" s="24" t="s">
        <v>959</v>
      </c>
      <c r="C267" s="24" t="s">
        <v>961</v>
      </c>
      <c r="D267" s="24" t="s">
        <v>1195</v>
      </c>
      <c r="E267" s="24" t="s">
        <v>1196</v>
      </c>
      <c r="F267" s="24" t="s">
        <v>310</v>
      </c>
      <c r="G267" s="25" t="str" cm="1">
        <f t="array" ref="G267">INDEX(Gebieden_in_Nederland_2023_2403!H:H,MATCH('municipalities per province'!B267,Gebieden_in_Nederland_2023_2403!B:B,0),0)</f>
        <v>U16</v>
      </c>
      <c r="H267" s="24" t="str" cm="1">
        <f t="array" ref="H267">INDEX(Gebieden_in_Nederland_2023_2403!G:G,MATCH('municipalities per province'!B267,Gebieden_in_Nederland_2023_2403!B:B,0),0)</f>
        <v>ES14</v>
      </c>
    </row>
    <row r="268" spans="1:8" x14ac:dyDescent="0.25">
      <c r="A268" s="24" t="s">
        <v>951</v>
      </c>
      <c r="B268" s="24" t="s">
        <v>950</v>
      </c>
      <c r="C268" s="24" t="s">
        <v>1207</v>
      </c>
      <c r="D268" s="24" t="s">
        <v>1181</v>
      </c>
      <c r="E268" s="24" t="s">
        <v>1182</v>
      </c>
      <c r="F268" s="24" t="s">
        <v>1205</v>
      </c>
      <c r="G268" s="25" t="str" cm="1">
        <f t="array" ref="G268">INDEX(Gebieden_in_Nederland_2023_2403!H:H,MATCH('municipalities per province'!B268,Gebieden_in_Nederland_2023_2403!B:B,0),0)</f>
        <v>Friesland</v>
      </c>
      <c r="H268" s="24" t="str" cm="1">
        <f t="array" ref="H268">INDEX(Gebieden_in_Nederland_2023_2403!G:G,MATCH('municipalities per province'!B268,Gebieden_in_Nederland_2023_2403!B:B,0),0)</f>
        <v>ES02</v>
      </c>
    </row>
    <row r="269" spans="1:8" x14ac:dyDescent="0.25">
      <c r="A269" s="24" t="s">
        <v>573</v>
      </c>
      <c r="B269" s="24" t="s">
        <v>572</v>
      </c>
      <c r="C269" s="24" t="s">
        <v>574</v>
      </c>
      <c r="D269" s="24" t="s">
        <v>1200</v>
      </c>
      <c r="E269" s="24" t="s">
        <v>1201</v>
      </c>
      <c r="F269" s="24" t="s">
        <v>1202</v>
      </c>
      <c r="G269" s="25" t="str" cm="1">
        <f t="array" ref="G269">INDEX(Gebieden_in_Nederland_2023_2403!H:H,MATCH('municipalities per province'!B269,Gebieden_in_Nederland_2023_2403!B:B,0),0)</f>
        <v>Zeeland</v>
      </c>
      <c r="H269" s="24" t="str" cm="1">
        <f t="array" ref="H269">INDEX(Gebieden_in_Nederland_2023_2403!G:G,MATCH('municipalities per province'!B269,Gebieden_in_Nederland_2023_2403!B:B,0),0)</f>
        <v>ES24</v>
      </c>
    </row>
    <row r="270" spans="1:8" x14ac:dyDescent="0.25">
      <c r="A270" s="24" t="s">
        <v>63</v>
      </c>
      <c r="B270" s="24" t="s">
        <v>62</v>
      </c>
      <c r="C270" s="24" t="s">
        <v>64</v>
      </c>
      <c r="D270" s="24" t="s">
        <v>1181</v>
      </c>
      <c r="E270" s="24" t="s">
        <v>1182</v>
      </c>
      <c r="F270" s="24" t="s">
        <v>1205</v>
      </c>
      <c r="G270" s="25" t="str" cm="1">
        <f t="array" ref="G270">INDEX(Gebieden_in_Nederland_2023_2403!H:H,MATCH('municipalities per province'!B270,Gebieden_in_Nederland_2023_2403!B:B,0),0)</f>
        <v>Friesland</v>
      </c>
      <c r="H270" s="24" t="str" cm="1">
        <f t="array" ref="H270">INDEX(Gebieden_in_Nederland_2023_2403!G:G,MATCH('municipalities per province'!B270,Gebieden_in_Nederland_2023_2403!B:B,0),0)</f>
        <v>ES02</v>
      </c>
    </row>
    <row r="271" spans="1:8" x14ac:dyDescent="0.25">
      <c r="A271" s="24" t="s">
        <v>417</v>
      </c>
      <c r="B271" s="24" t="s">
        <v>416</v>
      </c>
      <c r="C271" s="24" t="s">
        <v>418</v>
      </c>
      <c r="D271" s="24" t="s">
        <v>1175</v>
      </c>
      <c r="E271" s="24" t="s">
        <v>1176</v>
      </c>
      <c r="F271" s="24" t="s">
        <v>1177</v>
      </c>
      <c r="G271" s="25" t="str" cm="1">
        <f t="array" ref="G271">INDEX(Gebieden_in_Nederland_2023_2403!H:H,MATCH('municipalities per province'!B271,Gebieden_in_Nederland_2023_2403!B:B,0),0)</f>
        <v>Noord-HollandNoord</v>
      </c>
      <c r="H271" s="24" t="str" cm="1">
        <f t="array" ref="H271">INDEX(Gebieden_in_Nederland_2023_2403!G:G,MATCH('municipalities per province'!B271,Gebieden_in_Nederland_2023_2403!B:B,0),0)</f>
        <v>ES15</v>
      </c>
    </row>
    <row r="272" spans="1:8" x14ac:dyDescent="0.25">
      <c r="A272" s="24" t="s">
        <v>786</v>
      </c>
      <c r="B272" s="24" t="s">
        <v>785</v>
      </c>
      <c r="C272" s="24" t="s">
        <v>787</v>
      </c>
      <c r="D272" s="24" t="s">
        <v>1183</v>
      </c>
      <c r="E272" s="24" t="s">
        <v>1184</v>
      </c>
      <c r="F272" s="24" t="s">
        <v>1185</v>
      </c>
      <c r="G272" s="25" t="str" cm="1">
        <f t="array" ref="G272">INDEX(Gebieden_in_Nederland_2023_2403!H:H,MATCH('municipalities per province'!B272,Gebieden_in_Nederland_2023_2403!B:B,0),0)</f>
        <v>HollandRijnland</v>
      </c>
      <c r="H272" s="24" t="str" cm="1">
        <f t="array" ref="H272">INDEX(Gebieden_in_Nederland_2023_2403!G:G,MATCH('municipalities per province'!B272,Gebieden_in_Nederland_2023_2403!B:B,0),0)</f>
        <v>ES21</v>
      </c>
    </row>
    <row r="273" spans="1:8" x14ac:dyDescent="0.25">
      <c r="A273" s="24" t="s">
        <v>576</v>
      </c>
      <c r="B273" s="24" t="s">
        <v>575</v>
      </c>
      <c r="C273" s="24" t="s">
        <v>577</v>
      </c>
      <c r="D273" s="24" t="s">
        <v>1200</v>
      </c>
      <c r="E273" s="24" t="s">
        <v>1201</v>
      </c>
      <c r="F273" s="24" t="s">
        <v>1202</v>
      </c>
      <c r="G273" s="25" t="str" cm="1">
        <f t="array" ref="G273">INDEX(Gebieden_in_Nederland_2023_2403!H:H,MATCH('municipalities per province'!B273,Gebieden_in_Nederland_2023_2403!B:B,0),0)</f>
        <v>Zeeland</v>
      </c>
      <c r="H273" s="24" t="str" cm="1">
        <f t="array" ref="H273">INDEX(Gebieden_in_Nederland_2023_2403!G:G,MATCH('municipalities per province'!B273,Gebieden_in_Nederland_2023_2403!B:B,0),0)</f>
        <v>ES24</v>
      </c>
    </row>
    <row r="274" spans="1:8" x14ac:dyDescent="0.25">
      <c r="A274" s="24" t="s">
        <v>237</v>
      </c>
      <c r="B274" s="24" t="s">
        <v>236</v>
      </c>
      <c r="C274" s="24" t="s">
        <v>238</v>
      </c>
      <c r="D274" s="24" t="s">
        <v>1178</v>
      </c>
      <c r="E274" s="24" t="s">
        <v>1179</v>
      </c>
      <c r="F274" s="24" t="s">
        <v>1180</v>
      </c>
      <c r="G274" s="25" t="str" cm="1">
        <f t="array" ref="G274">INDEX(Gebieden_in_Nederland_2023_2403!H:H,MATCH('municipalities per province'!B274,Gebieden_in_Nederland_2023_2403!B:B,0),0)</f>
        <v>FruitdeltaRivierenland</v>
      </c>
      <c r="H274" s="24" t="str" cm="1">
        <f t="array" ref="H274">INDEX(Gebieden_in_Nederland_2023_2403!G:G,MATCH('municipalities per province'!B274,Gebieden_in_Nederland_2023_2403!B:B,0),0)</f>
        <v>ES11</v>
      </c>
    </row>
    <row r="275" spans="1:8" x14ac:dyDescent="0.25">
      <c r="A275" s="24" t="s">
        <v>687</v>
      </c>
      <c r="B275" s="24" t="s">
        <v>686</v>
      </c>
      <c r="C275" s="24" t="s">
        <v>688</v>
      </c>
      <c r="D275" s="24" t="s">
        <v>1192</v>
      </c>
      <c r="E275" s="24" t="s">
        <v>1193</v>
      </c>
      <c r="F275" s="24" t="s">
        <v>1194</v>
      </c>
      <c r="G275" s="25" t="str" cm="1">
        <f t="array" ref="G275">INDEX(Gebieden_in_Nederland_2023_2403!H:H,MATCH('municipalities per province'!B275,Gebieden_in_Nederland_2023_2403!B:B,0),0)</f>
        <v>HartvanBrabant</v>
      </c>
      <c r="H275" s="24" t="str" cm="1">
        <f t="array" ref="H275">INDEX(Gebieden_in_Nederland_2023_2403!G:G,MATCH('municipalities per province'!B275,Gebieden_in_Nederland_2023_2403!B:B,0),0)</f>
        <v>ES25</v>
      </c>
    </row>
    <row r="276" spans="1:8" x14ac:dyDescent="0.25">
      <c r="A276" s="24" t="s">
        <v>135</v>
      </c>
      <c r="B276" s="24" t="s">
        <v>134</v>
      </c>
      <c r="C276" s="24" t="s">
        <v>136</v>
      </c>
      <c r="D276" s="24" t="s">
        <v>1186</v>
      </c>
      <c r="E276" s="24" t="s">
        <v>1187</v>
      </c>
      <c r="F276" s="24" t="s">
        <v>1188</v>
      </c>
      <c r="G276" s="25" t="str" cm="1">
        <f t="array" ref="G276">INDEX(Gebieden_in_Nederland_2023_2403!H:H,MATCH('municipalities per province'!B276,Gebieden_in_Nederland_2023_2403!B:B,0),0)</f>
        <v>Twente</v>
      </c>
      <c r="H276" s="24" t="str" cm="1">
        <f t="array" ref="H276">INDEX(Gebieden_in_Nederland_2023_2403!G:G,MATCH('municipalities per province'!B276,Gebieden_in_Nederland_2023_2403!B:B,0),0)</f>
        <v>ES04</v>
      </c>
    </row>
    <row r="277" spans="1:8" x14ac:dyDescent="0.25">
      <c r="A277" s="24" t="s">
        <v>849</v>
      </c>
      <c r="B277" s="24" t="s">
        <v>848</v>
      </c>
      <c r="C277" s="24" t="s">
        <v>850</v>
      </c>
      <c r="D277" s="24" t="s">
        <v>1186</v>
      </c>
      <c r="E277" s="24" t="s">
        <v>1187</v>
      </c>
      <c r="F277" s="24" t="s">
        <v>1188</v>
      </c>
      <c r="G277" s="25" t="str" cm="1">
        <f t="array" ref="G277">INDEX(Gebieden_in_Nederland_2023_2403!H:H,MATCH('municipalities per province'!B277,Gebieden_in_Nederland_2023_2403!B:B,0),0)</f>
        <v>Twente</v>
      </c>
      <c r="H277" s="24" t="str" cm="1">
        <f t="array" ref="H277">INDEX(Gebieden_in_Nederland_2023_2403!G:G,MATCH('municipalities per province'!B277,Gebieden_in_Nederland_2023_2403!B:B,0),0)</f>
        <v>ES04</v>
      </c>
    </row>
    <row r="278" spans="1:8" x14ac:dyDescent="0.25">
      <c r="A278" s="24" t="s">
        <v>891</v>
      </c>
      <c r="B278" s="24" t="s">
        <v>890</v>
      </c>
      <c r="C278" s="24" t="s">
        <v>892</v>
      </c>
      <c r="D278" s="24" t="s">
        <v>1172</v>
      </c>
      <c r="E278" s="24" t="s">
        <v>1173</v>
      </c>
      <c r="F278" s="24" t="s">
        <v>1174</v>
      </c>
      <c r="G278" s="25" t="str" cm="1">
        <f t="array" ref="G278">INDEX(Gebieden_in_Nederland_2023_2403!H:H,MATCH('municipalities per province'!B278,Gebieden_in_Nederland_2023_2403!B:B,0),0)</f>
        <v>Drenthe</v>
      </c>
      <c r="H278" s="24" t="str" cm="1">
        <f t="array" ref="H278">INDEX(Gebieden_in_Nederland_2023_2403!G:G,MATCH('municipalities per province'!B278,Gebieden_in_Nederland_2023_2403!B:B,0),0)</f>
        <v>ES03</v>
      </c>
    </row>
    <row r="279" spans="1:8" x14ac:dyDescent="0.25">
      <c r="A279" s="24" t="s">
        <v>588</v>
      </c>
      <c r="B279" s="24" t="s">
        <v>587</v>
      </c>
      <c r="C279" s="24" t="s">
        <v>589</v>
      </c>
      <c r="D279" s="24" t="s">
        <v>1181</v>
      </c>
      <c r="E279" s="24" t="s">
        <v>1182</v>
      </c>
      <c r="F279" s="24" t="s">
        <v>1205</v>
      </c>
      <c r="G279" s="25" t="str" cm="1">
        <f t="array" ref="G279">INDEX(Gebieden_in_Nederland_2023_2403!H:H,MATCH('municipalities per province'!B279,Gebieden_in_Nederland_2023_2403!B:B,0),0)</f>
        <v>Friesland</v>
      </c>
      <c r="H279" s="24" t="str" cm="1">
        <f t="array" ref="H279">INDEX(Gebieden_in_Nederland_2023_2403!G:G,MATCH('municipalities per province'!B279,Gebieden_in_Nederland_2023_2403!B:B,0),0)</f>
        <v>ES02</v>
      </c>
    </row>
    <row r="280" spans="1:8" x14ac:dyDescent="0.25">
      <c r="A280" s="24" t="s">
        <v>420</v>
      </c>
      <c r="B280" s="24" t="s">
        <v>419</v>
      </c>
      <c r="C280" s="24" t="s">
        <v>421</v>
      </c>
      <c r="D280" s="24" t="s">
        <v>1175</v>
      </c>
      <c r="E280" s="24" t="s">
        <v>1176</v>
      </c>
      <c r="F280" s="24" t="s">
        <v>1177</v>
      </c>
      <c r="G280" s="25" t="str" cm="1">
        <f t="array" ref="G280">INDEX(Gebieden_in_Nederland_2023_2403!H:H,MATCH('municipalities per province'!B280,Gebieden_in_Nederland_2023_2403!B:B,0),0)</f>
        <v>Noord-HollandNoord</v>
      </c>
      <c r="H280" s="24" t="str" cm="1">
        <f t="array" ref="H280">INDEX(Gebieden_in_Nederland_2023_2403!G:G,MATCH('municipalities per province'!B280,Gebieden_in_Nederland_2023_2403!B:B,0),0)</f>
        <v>ES15</v>
      </c>
    </row>
    <row r="281" spans="1:8" x14ac:dyDescent="0.25">
      <c r="A281" s="24" t="s">
        <v>423</v>
      </c>
      <c r="B281" s="24" t="s">
        <v>422</v>
      </c>
      <c r="C281" s="24" t="s">
        <v>424</v>
      </c>
      <c r="D281" s="24" t="s">
        <v>1175</v>
      </c>
      <c r="E281" s="24" t="s">
        <v>1176</v>
      </c>
      <c r="F281" s="24" t="s">
        <v>1177</v>
      </c>
      <c r="G281" s="25" t="str" cm="1">
        <f t="array" ref="G281">INDEX(Gebieden_in_Nederland_2023_2403!H:H,MATCH('municipalities per province'!B281,Gebieden_in_Nederland_2023_2403!B:B,0),0)</f>
        <v>Noord-HollandZuid</v>
      </c>
      <c r="H281" s="24" t="str" cm="1">
        <f t="array" ref="H281">INDEX(Gebieden_in_Nederland_2023_2403!G:G,MATCH('municipalities per province'!B281,Gebieden_in_Nederland_2023_2403!B:B,0),0)</f>
        <v>ES16</v>
      </c>
    </row>
    <row r="282" spans="1:8" x14ac:dyDescent="0.25">
      <c r="A282" s="24" t="s">
        <v>138</v>
      </c>
      <c r="B282" s="24" t="s">
        <v>137</v>
      </c>
      <c r="C282" s="24" t="s">
        <v>139</v>
      </c>
      <c r="D282" s="24" t="s">
        <v>1189</v>
      </c>
      <c r="E282" s="24" t="s">
        <v>1190</v>
      </c>
      <c r="F282" s="24" t="s">
        <v>1191</v>
      </c>
      <c r="G282" s="25" t="str" cm="1">
        <f t="array" ref="G282">INDEX(Gebieden_in_Nederland_2023_2403!H:H,MATCH('municipalities per province'!B282,Gebieden_in_Nederland_2023_2403!B:B,0),0)</f>
        <v>Flevoland</v>
      </c>
      <c r="H282" s="24" t="str" cm="1">
        <f t="array" ref="H282">INDEX(Gebieden_in_Nederland_2023_2403!G:G,MATCH('municipalities per province'!B282,Gebieden_in_Nederland_2023_2403!B:B,0),0)</f>
        <v>ES06</v>
      </c>
    </row>
    <row r="283" spans="1:8" x14ac:dyDescent="0.25">
      <c r="A283" s="24" t="s">
        <v>309</v>
      </c>
      <c r="B283" s="24" t="s">
        <v>308</v>
      </c>
      <c r="C283" s="24" t="s">
        <v>310</v>
      </c>
      <c r="D283" s="24" t="s">
        <v>1195</v>
      </c>
      <c r="E283" s="24" t="s">
        <v>1196</v>
      </c>
      <c r="F283" s="24" t="s">
        <v>310</v>
      </c>
      <c r="G283" s="25" t="str" cm="1">
        <f t="array" ref="G283">INDEX(Gebieden_in_Nederland_2023_2403!H:H,MATCH('municipalities per province'!B283,Gebieden_in_Nederland_2023_2403!B:B,0),0)</f>
        <v>U16</v>
      </c>
      <c r="H283" s="24" t="str" cm="1">
        <f t="array" ref="H283">INDEX(Gebieden_in_Nederland_2023_2403!G:G,MATCH('municipalities per province'!B283,Gebieden_in_Nederland_2023_2403!B:B,0),0)</f>
        <v>ES14</v>
      </c>
    </row>
    <row r="284" spans="1:8" x14ac:dyDescent="0.25">
      <c r="A284" s="24" t="s">
        <v>789</v>
      </c>
      <c r="B284" s="24" t="s">
        <v>788</v>
      </c>
      <c r="C284" s="24" t="s">
        <v>790</v>
      </c>
      <c r="D284" s="24" t="s">
        <v>1195</v>
      </c>
      <c r="E284" s="24" t="s">
        <v>1196</v>
      </c>
      <c r="F284" s="24" t="s">
        <v>310</v>
      </c>
      <c r="G284" s="25" t="str" cm="1">
        <f t="array" ref="G284">INDEX(Gebieden_in_Nederland_2023_2403!H:H,MATCH('municipalities per province'!B284,Gebieden_in_Nederland_2023_2403!B:B,0),0)</f>
        <v>U16</v>
      </c>
      <c r="H284" s="24" t="str" cm="1">
        <f t="array" ref="H284">INDEX(Gebieden_in_Nederland_2023_2403!G:G,MATCH('municipalities per province'!B284,Gebieden_in_Nederland_2023_2403!B:B,0),0)</f>
        <v>ES14</v>
      </c>
    </row>
    <row r="285" spans="1:8" x14ac:dyDescent="0.25">
      <c r="A285" s="24" t="s">
        <v>759</v>
      </c>
      <c r="B285" s="24" t="s">
        <v>758</v>
      </c>
      <c r="C285" s="24" t="s">
        <v>760</v>
      </c>
      <c r="D285" s="24" t="s">
        <v>1197</v>
      </c>
      <c r="E285" s="24" t="s">
        <v>1198</v>
      </c>
      <c r="F285" s="24" t="s">
        <v>1199</v>
      </c>
      <c r="G285" s="25" t="str" cm="1">
        <f t="array" ref="G285">INDEX(Gebieden_in_Nederland_2023_2403!H:H,MATCH('municipalities per province'!B285,Gebieden_in_Nederland_2023_2403!B:B,0),0)</f>
        <v>Zuid-Limburg</v>
      </c>
      <c r="H285" s="24" t="str" cm="1">
        <f t="array" ref="H285">INDEX(Gebieden_in_Nederland_2023_2403!G:G,MATCH('municipalities per province'!B285,Gebieden_in_Nederland_2023_2403!B:B,0),0)</f>
        <v>ES30</v>
      </c>
    </row>
    <row r="286" spans="1:8" x14ac:dyDescent="0.25">
      <c r="A286" s="24" t="s">
        <v>774</v>
      </c>
      <c r="B286" s="24" t="s">
        <v>773</v>
      </c>
      <c r="C286" s="24" t="s">
        <v>775</v>
      </c>
      <c r="D286" s="24" t="s">
        <v>1197</v>
      </c>
      <c r="E286" s="24" t="s">
        <v>1198</v>
      </c>
      <c r="F286" s="24" t="s">
        <v>1199</v>
      </c>
      <c r="G286" s="25" t="str" cm="1">
        <f t="array" ref="G286">INDEX(Gebieden_in_Nederland_2023_2403!H:H,MATCH('municipalities per province'!B286,Gebieden_in_Nederland_2023_2403!B:B,0),0)</f>
        <v>Zuid-Limburg</v>
      </c>
      <c r="H286" s="24" t="str" cm="1">
        <f t="array" ref="H286">INDEX(Gebieden_in_Nederland_2023_2403!G:G,MATCH('municipalities per province'!B286,Gebieden_in_Nederland_2023_2403!B:B,0),0)</f>
        <v>ES30</v>
      </c>
    </row>
    <row r="287" spans="1:8" x14ac:dyDescent="0.25">
      <c r="A287" s="24" t="s">
        <v>690</v>
      </c>
      <c r="B287" s="24" t="s">
        <v>689</v>
      </c>
      <c r="C287" s="24" t="s">
        <v>691</v>
      </c>
      <c r="D287" s="24" t="s">
        <v>1192</v>
      </c>
      <c r="E287" s="24" t="s">
        <v>1193</v>
      </c>
      <c r="F287" s="24" t="s">
        <v>1194</v>
      </c>
      <c r="G287" s="25" t="str" cm="1">
        <f t="array" ref="G287">INDEX(Gebieden_in_Nederland_2023_2403!H:H,MATCH('municipalities per province'!B287,Gebieden_in_Nederland_2023_2403!B:B,0),0)</f>
        <v>MetropoolregioEindhoven</v>
      </c>
      <c r="H287" s="24" t="str" cm="1">
        <f t="array" ref="H287">INDEX(Gebieden_in_Nederland_2023_2403!G:G,MATCH('municipalities per province'!B287,Gebieden_in_Nederland_2023_2403!B:B,0),0)</f>
        <v>ES26</v>
      </c>
    </row>
    <row r="288" spans="1:8" x14ac:dyDescent="0.25">
      <c r="A288" s="24" t="s">
        <v>30</v>
      </c>
      <c r="B288" s="24" t="s">
        <v>29</v>
      </c>
      <c r="C288" s="24" t="s">
        <v>31</v>
      </c>
      <c r="D288" s="24" t="s">
        <v>1203</v>
      </c>
      <c r="E288" s="24" t="s">
        <v>1204</v>
      </c>
      <c r="F288" s="24" t="s">
        <v>21</v>
      </c>
      <c r="G288" s="25" t="str" cm="1">
        <f t="array" ref="G288">INDEX(Gebieden_in_Nederland_2023_2403!H:H,MATCH('municipalities per province'!B288,Gebieden_in_Nederland_2023_2403!B:B,0),0)</f>
        <v>Groningen</v>
      </c>
      <c r="H288" s="24" t="str" cm="1">
        <f t="array" ref="H288">INDEX(Gebieden_in_Nederland_2023_2403!G:G,MATCH('municipalities per province'!B288,Gebieden_in_Nederland_2023_2403!B:B,0),0)</f>
        <v>ES01</v>
      </c>
    </row>
    <row r="289" spans="1:8" x14ac:dyDescent="0.25">
      <c r="A289" s="24" t="s">
        <v>312</v>
      </c>
      <c r="B289" s="24" t="s">
        <v>311</v>
      </c>
      <c r="C289" s="24" t="s">
        <v>313</v>
      </c>
      <c r="D289" s="24" t="s">
        <v>1195</v>
      </c>
      <c r="E289" s="24" t="s">
        <v>1196</v>
      </c>
      <c r="F289" s="24" t="s">
        <v>310</v>
      </c>
      <c r="G289" s="25" t="str" cm="1">
        <f t="array" ref="G289">INDEX(Gebieden_in_Nederland_2023_2403!H:H,MATCH('municipalities per province'!B289,Gebieden_in_Nederland_2023_2403!B:B,0),0)</f>
        <v>Foodvalley</v>
      </c>
      <c r="H289" s="24" t="str" cm="1">
        <f t="array" ref="H289">INDEX(Gebieden_in_Nederland_2023_2403!G:G,MATCH('municipalities per province'!B289,Gebieden_in_Nederland_2023_2403!B:B,0),0)</f>
        <v>ES09</v>
      </c>
    </row>
    <row r="290" spans="1:8" x14ac:dyDescent="0.25">
      <c r="A290" s="24" t="s">
        <v>579</v>
      </c>
      <c r="B290" s="24" t="s">
        <v>578</v>
      </c>
      <c r="C290" s="24" t="s">
        <v>580</v>
      </c>
      <c r="D290" s="24" t="s">
        <v>1200</v>
      </c>
      <c r="E290" s="24" t="s">
        <v>1201</v>
      </c>
      <c r="F290" s="24" t="s">
        <v>1202</v>
      </c>
      <c r="G290" s="25" t="str" cm="1">
        <f t="array" ref="G290">INDEX(Gebieden_in_Nederland_2023_2403!H:H,MATCH('municipalities per province'!B290,Gebieden_in_Nederland_2023_2403!B:B,0),0)</f>
        <v>Zeeland</v>
      </c>
      <c r="H290" s="24" t="str" cm="1">
        <f t="array" ref="H290">INDEX(Gebieden_in_Nederland_2023_2403!G:G,MATCH('municipalities per province'!B290,Gebieden_in_Nederland_2023_2403!B:B,0),0)</f>
        <v>ES24</v>
      </c>
    </row>
    <row r="291" spans="1:8" x14ac:dyDescent="0.25">
      <c r="A291" s="24" t="s">
        <v>693</v>
      </c>
      <c r="B291" s="24" t="s">
        <v>692</v>
      </c>
      <c r="C291" s="24" t="s">
        <v>694</v>
      </c>
      <c r="D291" s="24" t="s">
        <v>1192</v>
      </c>
      <c r="E291" s="24" t="s">
        <v>1193</v>
      </c>
      <c r="F291" s="24" t="s">
        <v>1194</v>
      </c>
      <c r="G291" s="25" t="str" cm="1">
        <f t="array" ref="G291">INDEX(Gebieden_in_Nederland_2023_2403!H:H,MATCH('municipalities per province'!B291,Gebieden_in_Nederland_2023_2403!B:B,0),0)</f>
        <v>MetropoolregioEindhoven</v>
      </c>
      <c r="H291" s="24" t="str" cm="1">
        <f t="array" ref="H291">INDEX(Gebieden_in_Nederland_2023_2403!G:G,MATCH('municipalities per province'!B291,Gebieden_in_Nederland_2023_2403!B:B,0),0)</f>
        <v>ES26</v>
      </c>
    </row>
    <row r="292" spans="1:8" x14ac:dyDescent="0.25">
      <c r="A292" s="24" t="s">
        <v>426</v>
      </c>
      <c r="B292" s="24" t="s">
        <v>425</v>
      </c>
      <c r="C292" s="24" t="s">
        <v>427</v>
      </c>
      <c r="D292" s="24" t="s">
        <v>1175</v>
      </c>
      <c r="E292" s="24" t="s">
        <v>1176</v>
      </c>
      <c r="F292" s="24" t="s">
        <v>1177</v>
      </c>
      <c r="G292" s="25" t="str" cm="1">
        <f t="array" ref="G292">INDEX(Gebieden_in_Nederland_2023_2403!H:H,MATCH('municipalities per province'!B292,Gebieden_in_Nederland_2023_2403!B:B,0),0)</f>
        <v>Noord-HollandZuid</v>
      </c>
      <c r="H292" s="24" t="str" cm="1">
        <f t="array" ref="H292">INDEX(Gebieden_in_Nederland_2023_2403!G:G,MATCH('municipalities per province'!B292,Gebieden_in_Nederland_2023_2403!B:B,0),0)</f>
        <v>ES16</v>
      </c>
    </row>
    <row r="293" spans="1:8" x14ac:dyDescent="0.25">
      <c r="A293" s="24" t="s">
        <v>762</v>
      </c>
      <c r="B293" s="24" t="s">
        <v>761</v>
      </c>
      <c r="C293" s="24" t="s">
        <v>763</v>
      </c>
      <c r="D293" s="24" t="s">
        <v>1197</v>
      </c>
      <c r="E293" s="24" t="s">
        <v>1198</v>
      </c>
      <c r="F293" s="24" t="s">
        <v>1199</v>
      </c>
      <c r="G293" s="25" t="str" cm="1">
        <f t="array" ref="G293">INDEX(Gebieden_in_Nederland_2023_2403!H:H,MATCH('municipalities per province'!B293,Gebieden_in_Nederland_2023_2403!B:B,0),0)</f>
        <v>Noord-enMidden-Limburg</v>
      </c>
      <c r="H293" s="24" t="str" cm="1">
        <f t="array" ref="H293">INDEX(Gebieden_in_Nederland_2023_2403!G:G,MATCH('municipalities per province'!B293,Gebieden_in_Nederland_2023_2403!B:B,0),0)</f>
        <v>ES29</v>
      </c>
    </row>
    <row r="294" spans="1:8" x14ac:dyDescent="0.25">
      <c r="A294" s="24" t="s">
        <v>765</v>
      </c>
      <c r="B294" s="24" t="s">
        <v>764</v>
      </c>
      <c r="C294" s="24" t="s">
        <v>766</v>
      </c>
      <c r="D294" s="24" t="s">
        <v>1197</v>
      </c>
      <c r="E294" s="24" t="s">
        <v>1198</v>
      </c>
      <c r="F294" s="24" t="s">
        <v>1199</v>
      </c>
      <c r="G294" s="25" t="str" cm="1">
        <f t="array" ref="G294">INDEX(Gebieden_in_Nederland_2023_2403!H:H,MATCH('municipalities per province'!B294,Gebieden_in_Nederland_2023_2403!B:B,0),0)</f>
        <v>Noord-enMidden-Limburg</v>
      </c>
      <c r="H294" s="24" t="str" cm="1">
        <f t="array" ref="H294">INDEX(Gebieden_in_Nederland_2023_2403!G:G,MATCH('municipalities per province'!B294,Gebieden_in_Nederland_2023_2403!B:B,0),0)</f>
        <v>ES29</v>
      </c>
    </row>
    <row r="295" spans="1:8" x14ac:dyDescent="0.25">
      <c r="A295" s="24" t="s">
        <v>1014</v>
      </c>
      <c r="B295" s="24" t="s">
        <v>1013</v>
      </c>
      <c r="C295" s="24" t="s">
        <v>1015</v>
      </c>
      <c r="D295" s="24" t="s">
        <v>1195</v>
      </c>
      <c r="E295" s="24" t="s">
        <v>1196</v>
      </c>
      <c r="F295" s="24" t="s">
        <v>310</v>
      </c>
      <c r="G295" s="25" t="str" cm="1">
        <f t="array" ref="G295">INDEX(Gebieden_in_Nederland_2023_2403!H:H,MATCH('municipalities per province'!B295,Gebieden_in_Nederland_2023_2403!B:B,0),0)</f>
        <v>U16</v>
      </c>
      <c r="H295" s="24" t="str" cm="1">
        <f t="array" ref="H295">INDEX(Gebieden_in_Nederland_2023_2403!G:G,MATCH('municipalities per province'!B295,Gebieden_in_Nederland_2023_2403!B:B,0),0)</f>
        <v>ES14</v>
      </c>
    </row>
    <row r="296" spans="1:8" x14ac:dyDescent="0.25">
      <c r="A296" s="24" t="s">
        <v>528</v>
      </c>
      <c r="B296" s="24" t="s">
        <v>527</v>
      </c>
      <c r="C296" s="24" t="s">
        <v>529</v>
      </c>
      <c r="D296" s="24" t="s">
        <v>1183</v>
      </c>
      <c r="E296" s="24" t="s">
        <v>1184</v>
      </c>
      <c r="F296" s="24" t="s">
        <v>1185</v>
      </c>
      <c r="G296" s="25" t="str" cm="1">
        <f t="array" ref="G296">INDEX(Gebieden_in_Nederland_2023_2403!H:H,MATCH('municipalities per province'!B296,Gebieden_in_Nederland_2023_2403!B:B,0),0)</f>
        <v>Rotterdam/DenHaag</v>
      </c>
      <c r="H296" s="24" t="str" cm="1">
        <f t="array" ref="H296">INDEX(Gebieden_in_Nederland_2023_2403!G:G,MATCH('municipalities per province'!B296,Gebieden_in_Nederland_2023_2403!B:B,0),0)</f>
        <v>ES23</v>
      </c>
    </row>
    <row r="297" spans="1:8" x14ac:dyDescent="0.25">
      <c r="A297" s="24" t="s">
        <v>66</v>
      </c>
      <c r="B297" s="24" t="s">
        <v>65</v>
      </c>
      <c r="C297" s="24" t="s">
        <v>67</v>
      </c>
      <c r="D297" s="24" t="s">
        <v>1181</v>
      </c>
      <c r="E297" s="24" t="s">
        <v>1182</v>
      </c>
      <c r="F297" s="24" t="s">
        <v>1205</v>
      </c>
      <c r="G297" s="25" t="str" cm="1">
        <f t="array" ref="G297">INDEX(Gebieden_in_Nederland_2023_2403!H:H,MATCH('municipalities per province'!B297,Gebieden_in_Nederland_2023_2403!B:B,0),0)</f>
        <v>Friesland</v>
      </c>
      <c r="H297" s="24" t="str" cm="1">
        <f t="array" ref="H297">INDEX(Gebieden_in_Nederland_2023_2403!G:G,MATCH('municipalities per province'!B297,Gebieden_in_Nederland_2023_2403!B:B,0),0)</f>
        <v>ES02</v>
      </c>
    </row>
    <row r="298" spans="1:8" x14ac:dyDescent="0.25">
      <c r="A298" s="24" t="s">
        <v>582</v>
      </c>
      <c r="B298" s="24" t="s">
        <v>581</v>
      </c>
      <c r="C298" s="24" t="s">
        <v>583</v>
      </c>
      <c r="D298" s="24" t="s">
        <v>1200</v>
      </c>
      <c r="E298" s="24" t="s">
        <v>1201</v>
      </c>
      <c r="F298" s="24" t="s">
        <v>1202</v>
      </c>
      <c r="G298" s="25" t="str" cm="1">
        <f t="array" ref="G298">INDEX(Gebieden_in_Nederland_2023_2403!H:H,MATCH('municipalities per province'!B298,Gebieden_in_Nederland_2023_2403!B:B,0),0)</f>
        <v>Zeeland</v>
      </c>
      <c r="H298" s="24" t="str" cm="1">
        <f t="array" ref="H298">INDEX(Gebieden_in_Nederland_2023_2403!G:G,MATCH('municipalities per province'!B298,Gebieden_in_Nederland_2023_2403!B:B,0),0)</f>
        <v>ES24</v>
      </c>
    </row>
    <row r="299" spans="1:8" x14ac:dyDescent="0.25">
      <c r="A299" s="24" t="s">
        <v>768</v>
      </c>
      <c r="B299" s="24" t="s">
        <v>767</v>
      </c>
      <c r="C299" s="24" t="s">
        <v>769</v>
      </c>
      <c r="D299" s="24" t="s">
        <v>1197</v>
      </c>
      <c r="E299" s="24" t="s">
        <v>1198</v>
      </c>
      <c r="F299" s="24" t="s">
        <v>1199</v>
      </c>
      <c r="G299" s="25" t="str" cm="1">
        <f t="array" ref="G299">INDEX(Gebieden_in_Nederland_2023_2403!H:H,MATCH('municipalities per province'!B299,Gebieden_in_Nederland_2023_2403!B:B,0),0)</f>
        <v>Zuid-Limburg</v>
      </c>
      <c r="H299" s="24" t="str" cm="1">
        <f t="array" ref="H299">INDEX(Gebieden_in_Nederland_2023_2403!G:G,MATCH('municipalities per province'!B299,Gebieden_in_Nederland_2023_2403!B:B,0),0)</f>
        <v>ES30</v>
      </c>
    </row>
    <row r="300" spans="1:8" x14ac:dyDescent="0.25">
      <c r="A300" s="24" t="s">
        <v>1044</v>
      </c>
      <c r="B300" s="24" t="s">
        <v>1043</v>
      </c>
      <c r="C300" s="24" t="s">
        <v>1045</v>
      </c>
      <c r="D300" s="24" t="s">
        <v>1183</v>
      </c>
      <c r="E300" s="24" t="s">
        <v>1184</v>
      </c>
      <c r="F300" s="24" t="s">
        <v>1185</v>
      </c>
      <c r="G300" s="25" t="str" cm="1">
        <f t="array" ref="G300">INDEX(Gebieden_in_Nederland_2023_2403!H:H,MATCH('municipalities per province'!B300,Gebieden_in_Nederland_2023_2403!B:B,0),0)</f>
        <v>Rotterdam/DenHaag</v>
      </c>
      <c r="H300" s="24" t="str" cm="1">
        <f t="array" ref="H300">INDEX(Gebieden_in_Nederland_2023_2403!G:G,MATCH('municipalities per province'!B300,Gebieden_in_Nederland_2023_2403!B:B,0),0)</f>
        <v>ES23</v>
      </c>
    </row>
    <row r="301" spans="1:8" x14ac:dyDescent="0.25">
      <c r="A301" s="24" t="s">
        <v>531</v>
      </c>
      <c r="B301" s="24" t="s">
        <v>530</v>
      </c>
      <c r="C301" s="24" t="s">
        <v>532</v>
      </c>
      <c r="D301" s="24" t="s">
        <v>1183</v>
      </c>
      <c r="E301" s="24" t="s">
        <v>1184</v>
      </c>
      <c r="F301" s="24" t="s">
        <v>1185</v>
      </c>
      <c r="G301" s="25" t="str" cm="1">
        <f t="array" ref="G301">INDEX(Gebieden_in_Nederland_2023_2403!H:H,MATCH('municipalities per province'!B301,Gebieden_in_Nederland_2023_2403!B:B,0),0)</f>
        <v>HollandRijnland</v>
      </c>
      <c r="H301" s="24" t="str" cm="1">
        <f t="array" ref="H301">INDEX(Gebieden_in_Nederland_2023_2403!G:G,MATCH('municipalities per province'!B301,Gebieden_in_Nederland_2023_2403!B:B,0),0)</f>
        <v>ES21</v>
      </c>
    </row>
    <row r="302" spans="1:8" x14ac:dyDescent="0.25">
      <c r="A302" s="24" t="s">
        <v>240</v>
      </c>
      <c r="B302" s="24" t="s">
        <v>239</v>
      </c>
      <c r="C302" s="24" t="s">
        <v>241</v>
      </c>
      <c r="D302" s="24" t="s">
        <v>1178</v>
      </c>
      <c r="E302" s="24" t="s">
        <v>1179</v>
      </c>
      <c r="F302" s="24" t="s">
        <v>1180</v>
      </c>
      <c r="G302" s="25" t="str" cm="1">
        <f t="array" ref="G302">INDEX(Gebieden_in_Nederland_2023_2403!H:H,MATCH('municipalities per province'!B302,Gebieden_in_Nederland_2023_2403!B:B,0),0)</f>
        <v>Cleantech</v>
      </c>
      <c r="H302" s="24" t="str" cm="1">
        <f t="array" ref="H302">INDEX(Gebieden_in_Nederland_2023_2403!G:G,MATCH('municipalities per province'!B302,Gebieden_in_Nederland_2023_2403!B:B,0),0)</f>
        <v>ES12</v>
      </c>
    </row>
    <row r="303" spans="1:8" x14ac:dyDescent="0.25">
      <c r="A303" s="24" t="s">
        <v>696</v>
      </c>
      <c r="B303" s="24" t="s">
        <v>695</v>
      </c>
      <c r="C303" s="24" t="s">
        <v>697</v>
      </c>
      <c r="D303" s="24" t="s">
        <v>1192</v>
      </c>
      <c r="E303" s="24" t="s">
        <v>1193</v>
      </c>
      <c r="F303" s="24" t="s">
        <v>1194</v>
      </c>
      <c r="G303" s="25" t="str" cm="1">
        <f t="array" ref="G303">INDEX(Gebieden_in_Nederland_2023_2403!H:H,MATCH('municipalities per province'!B303,Gebieden_in_Nederland_2023_2403!B:B,0),0)</f>
        <v>Noordoost-Brabant</v>
      </c>
      <c r="H303" s="24" t="str" cm="1">
        <f t="array" ref="H303">INDEX(Gebieden_in_Nederland_2023_2403!G:G,MATCH('municipalities per province'!B303,Gebieden_in_Nederland_2023_2403!B:B,0),0)</f>
        <v>ES27</v>
      </c>
    </row>
    <row r="304" spans="1:8" x14ac:dyDescent="0.25">
      <c r="A304" s="24" t="s">
        <v>993</v>
      </c>
      <c r="B304" s="24" t="s">
        <v>992</v>
      </c>
      <c r="C304" s="24" t="s">
        <v>994</v>
      </c>
      <c r="D304" s="24" t="s">
        <v>1181</v>
      </c>
      <c r="E304" s="24" t="s">
        <v>1182</v>
      </c>
      <c r="F304" s="24" t="s">
        <v>1205</v>
      </c>
      <c r="G304" s="25" t="str" cm="1">
        <f t="array" ref="G304">INDEX(Gebieden_in_Nederland_2023_2403!H:H,MATCH('municipalities per province'!B304,Gebieden_in_Nederland_2023_2403!B:B,0),0)</f>
        <v>Friesland</v>
      </c>
      <c r="H304" s="24" t="str" cm="1">
        <f t="array" ref="H304">INDEX(Gebieden_in_Nederland_2023_2403!G:G,MATCH('municipalities per province'!B304,Gebieden_in_Nederland_2023_2403!B:B,0),0)</f>
        <v>ES02</v>
      </c>
    </row>
    <row r="305" spans="1:8" x14ac:dyDescent="0.25">
      <c r="A305" s="24" t="s">
        <v>699</v>
      </c>
      <c r="B305" s="24" t="s">
        <v>698</v>
      </c>
      <c r="C305" s="24" t="s">
        <v>700</v>
      </c>
      <c r="D305" s="24" t="s">
        <v>1192</v>
      </c>
      <c r="E305" s="24" t="s">
        <v>1193</v>
      </c>
      <c r="F305" s="24" t="s">
        <v>1194</v>
      </c>
      <c r="G305" s="25" t="str" cm="1">
        <f t="array" ref="G305">INDEX(Gebieden_in_Nederland_2023_2403!H:H,MATCH('municipalities per province'!B305,Gebieden_in_Nederland_2023_2403!B:B,0),0)</f>
        <v>MetropoolregioEindhoven</v>
      </c>
      <c r="H305" s="24" t="str" cm="1">
        <f t="array" ref="H305">INDEX(Gebieden_in_Nederland_2023_2403!G:G,MATCH('municipalities per province'!B305,Gebieden_in_Nederland_2023_2403!B:B,0),0)</f>
        <v>ES26</v>
      </c>
    </row>
    <row r="306" spans="1:8" x14ac:dyDescent="0.25">
      <c r="A306" s="24" t="s">
        <v>702</v>
      </c>
      <c r="B306" s="24" t="s">
        <v>701</v>
      </c>
      <c r="C306" s="24" t="s">
        <v>703</v>
      </c>
      <c r="D306" s="24" t="s">
        <v>1192</v>
      </c>
      <c r="E306" s="24" t="s">
        <v>1193</v>
      </c>
      <c r="F306" s="24" t="s">
        <v>1194</v>
      </c>
      <c r="G306" s="25" t="str" cm="1">
        <f t="array" ref="G306">INDEX(Gebieden_in_Nederland_2023_2403!H:H,MATCH('municipalities per province'!B306,Gebieden_in_Nederland_2023_2403!B:B,0),0)</f>
        <v>HartvanBrabant</v>
      </c>
      <c r="H306" s="24" t="str" cm="1">
        <f t="array" ref="H306">INDEX(Gebieden_in_Nederland_2023_2403!G:G,MATCH('municipalities per province'!B306,Gebieden_in_Nederland_2023_2403!B:B,0),0)</f>
        <v>ES25</v>
      </c>
    </row>
    <row r="307" spans="1:8" x14ac:dyDescent="0.25">
      <c r="A307" s="24" t="s">
        <v>534</v>
      </c>
      <c r="B307" s="24" t="s">
        <v>533</v>
      </c>
      <c r="C307" s="24" t="s">
        <v>535</v>
      </c>
      <c r="D307" s="24" t="s">
        <v>1183</v>
      </c>
      <c r="E307" s="24" t="s">
        <v>1184</v>
      </c>
      <c r="F307" s="24" t="s">
        <v>1185</v>
      </c>
      <c r="G307" s="25" t="str" cm="1">
        <f t="array" ref="G307">INDEX(Gebieden_in_Nederland_2023_2403!H:H,MATCH('municipalities per province'!B307,Gebieden_in_Nederland_2023_2403!B:B,0),0)</f>
        <v>Midden-Holland</v>
      </c>
      <c r="H307" s="24" t="str" cm="1">
        <f t="array" ref="H307">INDEX(Gebieden_in_Nederland_2023_2403!G:G,MATCH('municipalities per province'!B307,Gebieden_in_Nederland_2023_2403!B:B,0),0)</f>
        <v>ES22</v>
      </c>
    </row>
    <row r="308" spans="1:8" x14ac:dyDescent="0.25">
      <c r="A308" s="24" t="s">
        <v>243</v>
      </c>
      <c r="B308" s="24" t="s">
        <v>242</v>
      </c>
      <c r="C308" s="24" t="s">
        <v>244</v>
      </c>
      <c r="D308" s="24" t="s">
        <v>1178</v>
      </c>
      <c r="E308" s="24" t="s">
        <v>1179</v>
      </c>
      <c r="F308" s="24" t="s">
        <v>1180</v>
      </c>
      <c r="G308" s="25" t="str" cm="1">
        <f t="array" ref="G308">INDEX(Gebieden_in_Nederland_2023_2403!H:H,MATCH('municipalities per province'!B308,Gebieden_in_Nederland_2023_2403!B:B,0),0)</f>
        <v>Foodvalley</v>
      </c>
      <c r="H308" s="24" t="str" cm="1">
        <f t="array" ref="H308">INDEX(Gebieden_in_Nederland_2023_2403!G:G,MATCH('municipalities per province'!B308,Gebieden_in_Nederland_2023_2403!B:B,0),0)</f>
        <v>ES09</v>
      </c>
    </row>
    <row r="309" spans="1:8" x14ac:dyDescent="0.25">
      <c r="A309" s="24" t="s">
        <v>537</v>
      </c>
      <c r="B309" s="24" t="s">
        <v>536</v>
      </c>
      <c r="C309" s="24" t="s">
        <v>538</v>
      </c>
      <c r="D309" s="24" t="s">
        <v>1183</v>
      </c>
      <c r="E309" s="24" t="s">
        <v>1184</v>
      </c>
      <c r="F309" s="24" t="s">
        <v>1185</v>
      </c>
      <c r="G309" s="25" t="str" cm="1">
        <f t="array" ref="G309">INDEX(Gebieden_in_Nederland_2023_2403!H:H,MATCH('municipalities per province'!B309,Gebieden_in_Nederland_2023_2403!B:B,0),0)</f>
        <v>Rotterdam/DenHaag</v>
      </c>
      <c r="H309" s="24" t="str" cm="1">
        <f t="array" ref="H309">INDEX(Gebieden_in_Nederland_2023_2403!G:G,MATCH('municipalities per province'!B309,Gebieden_in_Nederland_2023_2403!B:B,0),0)</f>
        <v>ES23</v>
      </c>
    </row>
    <row r="310" spans="1:8" x14ac:dyDescent="0.25">
      <c r="A310" s="24" t="s">
        <v>684</v>
      </c>
      <c r="B310" s="24" t="s">
        <v>683</v>
      </c>
      <c r="C310" s="24" t="s">
        <v>685</v>
      </c>
      <c r="D310" s="24" t="s">
        <v>1175</v>
      </c>
      <c r="E310" s="24" t="s">
        <v>1176</v>
      </c>
      <c r="F310" s="24" t="s">
        <v>1177</v>
      </c>
      <c r="G310" s="25" t="str" cm="1">
        <f t="array" ref="G310">INDEX(Gebieden_in_Nederland_2023_2403!H:H,MATCH('municipalities per province'!B310,Gebieden_in_Nederland_2023_2403!B:B,0),0)</f>
        <v>Noord-HollandZuid</v>
      </c>
      <c r="H310" s="24" t="str" cm="1">
        <f t="array" ref="H310">INDEX(Gebieden_in_Nederland_2023_2403!G:G,MATCH('municipalities per province'!B310,Gebieden_in_Nederland_2023_2403!B:B,0),0)</f>
        <v>ES16</v>
      </c>
    </row>
    <row r="311" spans="1:8" x14ac:dyDescent="0.25">
      <c r="A311" s="24" t="s">
        <v>771</v>
      </c>
      <c r="B311" s="24" t="s">
        <v>770</v>
      </c>
      <c r="C311" s="24" t="s">
        <v>772</v>
      </c>
      <c r="D311" s="24" t="s">
        <v>1197</v>
      </c>
      <c r="E311" s="24" t="s">
        <v>1198</v>
      </c>
      <c r="F311" s="24" t="s">
        <v>1199</v>
      </c>
      <c r="G311" s="25" t="str" cm="1">
        <f t="array" ref="G311">INDEX(Gebieden_in_Nederland_2023_2403!H:H,MATCH('municipalities per province'!B311,Gebieden_in_Nederland_2023_2403!B:B,0),0)</f>
        <v>Noord-enMidden-Limburg</v>
      </c>
      <c r="H311" s="24" t="str" cm="1">
        <f t="array" ref="H311">INDEX(Gebieden_in_Nederland_2023_2403!G:G,MATCH('municipalities per province'!B311,Gebieden_in_Nederland_2023_2403!B:B,0),0)</f>
        <v>ES29</v>
      </c>
    </row>
    <row r="312" spans="1:8" x14ac:dyDescent="0.25">
      <c r="A312" s="24" t="s">
        <v>1011</v>
      </c>
      <c r="B312" s="24" t="s">
        <v>1010</v>
      </c>
      <c r="C312" s="24" t="s">
        <v>1012</v>
      </c>
      <c r="D312" s="24" t="s">
        <v>1178</v>
      </c>
      <c r="E312" s="24" t="s">
        <v>1179</v>
      </c>
      <c r="F312" s="24" t="s">
        <v>1180</v>
      </c>
      <c r="G312" s="25" t="str" cm="1">
        <f t="array" ref="G312">INDEX(Gebieden_in_Nederland_2023_2403!H:H,MATCH('municipalities per province'!B312,Gebieden_in_Nederland_2023_2403!B:B,0),0)</f>
        <v>FruitdeltaRivierenland</v>
      </c>
      <c r="H312" s="24" t="str" cm="1">
        <f t="array" ref="H312">INDEX(Gebieden_in_Nederland_2023_2403!G:G,MATCH('municipalities per province'!B312,Gebieden_in_Nederland_2023_2403!B:B,0),0)</f>
        <v>ES11</v>
      </c>
    </row>
    <row r="313" spans="1:8" x14ac:dyDescent="0.25">
      <c r="A313" s="24" t="s">
        <v>558</v>
      </c>
      <c r="B313" s="24" t="s">
        <v>557</v>
      </c>
      <c r="C313" s="24" t="s">
        <v>559</v>
      </c>
      <c r="D313" s="24" t="s">
        <v>1178</v>
      </c>
      <c r="E313" s="24" t="s">
        <v>1179</v>
      </c>
      <c r="F313" s="24" t="s">
        <v>1180</v>
      </c>
      <c r="G313" s="25" t="str" cm="1">
        <f t="array" ref="G313">INDEX(Gebieden_in_Nederland_2023_2403!H:H,MATCH('municipalities per province'!B313,Gebieden_in_Nederland_2023_2403!B:B,0),0)</f>
        <v>FruitdeltaRivierenland</v>
      </c>
      <c r="H313" s="24" t="str" cm="1">
        <f t="array" ref="H313">INDEX(Gebieden_in_Nederland_2023_2403!G:G,MATCH('municipalities per province'!B313,Gebieden_in_Nederland_2023_2403!B:B,0),0)</f>
        <v>ES11</v>
      </c>
    </row>
    <row r="314" spans="1:8" x14ac:dyDescent="0.25">
      <c r="A314" s="24" t="s">
        <v>1023</v>
      </c>
      <c r="B314" s="24" t="s">
        <v>1022</v>
      </c>
      <c r="C314" s="24" t="s">
        <v>1024</v>
      </c>
      <c r="D314" s="24" t="s">
        <v>1203</v>
      </c>
      <c r="E314" s="24" t="s">
        <v>1204</v>
      </c>
      <c r="F314" s="24" t="s">
        <v>21</v>
      </c>
      <c r="G314" s="25" t="str" cm="1">
        <f t="array" ref="G314">INDEX(Gebieden_in_Nederland_2023_2403!H:H,MATCH('municipalities per province'!B314,Gebieden_in_Nederland_2023_2403!B:B,0),0)</f>
        <v>Groningen</v>
      </c>
      <c r="H314" s="24" t="str" cm="1">
        <f t="array" ref="H314">INDEX(Gebieden_in_Nederland_2023_2403!G:G,MATCH('municipalities per province'!B314,Gebieden_in_Nederland_2023_2403!B:B,0),0)</f>
        <v>ES01</v>
      </c>
    </row>
    <row r="315" spans="1:8" x14ac:dyDescent="0.25">
      <c r="A315" s="24" t="s">
        <v>852</v>
      </c>
      <c r="B315" s="24" t="s">
        <v>851</v>
      </c>
      <c r="C315" s="24" t="s">
        <v>853</v>
      </c>
      <c r="D315" s="24" t="s">
        <v>1172</v>
      </c>
      <c r="E315" s="24" t="s">
        <v>1173</v>
      </c>
      <c r="F315" s="24" t="s">
        <v>1174</v>
      </c>
      <c r="G315" s="25" t="str" cm="1">
        <f t="array" ref="G315">INDEX(Gebieden_in_Nederland_2023_2403!H:H,MATCH('municipalities per province'!B315,Gebieden_in_Nederland_2023_2403!B:B,0),0)</f>
        <v>Drenthe</v>
      </c>
      <c r="H315" s="24" t="str" cm="1">
        <f t="array" ref="H315">INDEX(Gebieden_in_Nederland_2023_2403!G:G,MATCH('municipalities per province'!B315,Gebieden_in_Nederland_2023_2403!B:B,0),0)</f>
        <v>ES03</v>
      </c>
    </row>
    <row r="316" spans="1:8" x14ac:dyDescent="0.25">
      <c r="A316" s="24" t="s">
        <v>246</v>
      </c>
      <c r="B316" s="24" t="s">
        <v>245</v>
      </c>
      <c r="C316" s="24" t="s">
        <v>247</v>
      </c>
      <c r="D316" s="24" t="s">
        <v>1178</v>
      </c>
      <c r="E316" s="24" t="s">
        <v>1179</v>
      </c>
      <c r="F316" s="24" t="s">
        <v>1180</v>
      </c>
      <c r="G316" s="25" t="str" cm="1">
        <f t="array" ref="G316">INDEX(Gebieden_in_Nederland_2023_2403!H:H,MATCH('municipalities per province'!B316,Gebieden_in_Nederland_2023_2403!B:B,0),0)</f>
        <v>Arnhem/Nijmegen</v>
      </c>
      <c r="H316" s="24" t="str" cm="1">
        <f t="array" ref="H316">INDEX(Gebieden_in_Nederland_2023_2403!G:G,MATCH('municipalities per province'!B316,Gebieden_in_Nederland_2023_2403!B:B,0),0)</f>
        <v>ES08</v>
      </c>
    </row>
    <row r="317" spans="1:8" x14ac:dyDescent="0.25">
      <c r="A317" s="24" t="s">
        <v>996</v>
      </c>
      <c r="B317" s="24" t="s">
        <v>995</v>
      </c>
      <c r="C317" s="24" t="s">
        <v>997</v>
      </c>
      <c r="D317" s="24" t="s">
        <v>1203</v>
      </c>
      <c r="E317" s="24" t="s">
        <v>1204</v>
      </c>
      <c r="F317" s="24" t="s">
        <v>21</v>
      </c>
      <c r="G317" s="25" t="str" cm="1">
        <f t="array" ref="G317">INDEX(Gebieden_in_Nederland_2023_2403!H:H,MATCH('municipalities per province'!B317,Gebieden_in_Nederland_2023_2403!B:B,0),0)</f>
        <v>Groningen</v>
      </c>
      <c r="H317" s="24" t="str" cm="1">
        <f t="array" ref="H317">INDEX(Gebieden_in_Nederland_2023_2403!G:G,MATCH('municipalities per province'!B317,Gebieden_in_Nederland_2023_2403!B:B,0),0)</f>
        <v>ES01</v>
      </c>
    </row>
    <row r="318" spans="1:8" x14ac:dyDescent="0.25">
      <c r="A318" s="24" t="s">
        <v>918</v>
      </c>
      <c r="B318" s="24" t="s">
        <v>917</v>
      </c>
      <c r="C318" s="24" t="s">
        <v>919</v>
      </c>
      <c r="D318" s="24" t="s">
        <v>1183</v>
      </c>
      <c r="E318" s="24" t="s">
        <v>1184</v>
      </c>
      <c r="F318" s="24" t="s">
        <v>1185</v>
      </c>
      <c r="G318" s="25" t="str" cm="1">
        <f t="array" ref="G318">INDEX(Gebieden_in_Nederland_2023_2403!H:H,MATCH('municipalities per province'!B318,Gebieden_in_Nederland_2023_2403!B:B,0),0)</f>
        <v>Rotterdam/DenHaag</v>
      </c>
      <c r="H318" s="24" t="str" cm="1">
        <f t="array" ref="H318">INDEX(Gebieden_in_Nederland_2023_2403!G:G,MATCH('municipalities per province'!B318,Gebieden_in_Nederland_2023_2403!B:B,0),0)</f>
        <v>ES23</v>
      </c>
    </row>
    <row r="319" spans="1:8" x14ac:dyDescent="0.25">
      <c r="A319" s="24" t="s">
        <v>69</v>
      </c>
      <c r="B319" s="24" t="s">
        <v>68</v>
      </c>
      <c r="C319" s="24" t="s">
        <v>70</v>
      </c>
      <c r="D319" s="24" t="s">
        <v>1181</v>
      </c>
      <c r="E319" s="24" t="s">
        <v>1182</v>
      </c>
      <c r="F319" s="24" t="s">
        <v>1205</v>
      </c>
      <c r="G319" s="25" t="str" cm="1">
        <f t="array" ref="G319">INDEX(Gebieden_in_Nederland_2023_2403!H:H,MATCH('municipalities per province'!B319,Gebieden_in_Nederland_2023_2403!B:B,0),0)</f>
        <v>Friesland</v>
      </c>
      <c r="H319" s="24" t="str" cm="1">
        <f t="array" ref="H319">INDEX(Gebieden_in_Nederland_2023_2403!G:G,MATCH('municipalities per province'!B319,Gebieden_in_Nederland_2023_2403!B:B,0),0)</f>
        <v>ES02</v>
      </c>
    </row>
    <row r="320" spans="1:8" x14ac:dyDescent="0.25">
      <c r="A320" s="24" t="s">
        <v>141</v>
      </c>
      <c r="B320" s="24" t="s">
        <v>140</v>
      </c>
      <c r="C320" s="24" t="s">
        <v>142</v>
      </c>
      <c r="D320" s="24" t="s">
        <v>1186</v>
      </c>
      <c r="E320" s="24" t="s">
        <v>1187</v>
      </c>
      <c r="F320" s="24" t="s">
        <v>1188</v>
      </c>
      <c r="G320" s="25" t="str" cm="1">
        <f t="array" ref="G320">INDEX(Gebieden_in_Nederland_2023_2403!H:H,MATCH('municipalities per province'!B320,Gebieden_in_Nederland_2023_2403!B:B,0),0)</f>
        <v>Twente</v>
      </c>
      <c r="H320" s="24" t="str" cm="1">
        <f t="array" ref="H320">INDEX(Gebieden_in_Nederland_2023_2403!G:G,MATCH('municipalities per province'!B320,Gebieden_in_Nederland_2023_2403!B:B,0),0)</f>
        <v>ES04</v>
      </c>
    </row>
    <row r="321" spans="1:8" x14ac:dyDescent="0.25">
      <c r="A321" s="24" t="s">
        <v>252</v>
      </c>
      <c r="B321" s="24" t="s">
        <v>251</v>
      </c>
      <c r="C321" s="24" t="s">
        <v>253</v>
      </c>
      <c r="D321" s="24" t="s">
        <v>1178</v>
      </c>
      <c r="E321" s="24" t="s">
        <v>1179</v>
      </c>
      <c r="F321" s="24" t="s">
        <v>1180</v>
      </c>
      <c r="G321" s="25" t="str" cm="1">
        <f t="array" ref="G321">INDEX(Gebieden_in_Nederland_2023_2403!H:H,MATCH('municipalities per province'!B321,Gebieden_in_Nederland_2023_2403!B:B,0),0)</f>
        <v>Arnhem/Nijmegen</v>
      </c>
      <c r="H321" s="24" t="str" cm="1">
        <f t="array" ref="H321">INDEX(Gebieden_in_Nederland_2023_2403!G:G,MATCH('municipalities per province'!B321,Gebieden_in_Nederland_2023_2403!B:B,0),0)</f>
        <v>ES08</v>
      </c>
    </row>
    <row r="322" spans="1:8" x14ac:dyDescent="0.25">
      <c r="A322" s="24" t="s">
        <v>843</v>
      </c>
      <c r="B322" s="24" t="s">
        <v>842</v>
      </c>
      <c r="C322" s="24" t="s">
        <v>844</v>
      </c>
      <c r="D322" s="24" t="s">
        <v>1175</v>
      </c>
      <c r="E322" s="24" t="s">
        <v>1176</v>
      </c>
      <c r="F322" s="24" t="s">
        <v>1177</v>
      </c>
      <c r="G322" s="25" t="str" cm="1">
        <f t="array" ref="G322">INDEX(Gebieden_in_Nederland_2023_2403!H:H,MATCH('municipalities per province'!B322,Gebieden_in_Nederland_2023_2403!B:B,0),0)</f>
        <v>Noord-HollandZuid</v>
      </c>
      <c r="H322" s="24" t="str" cm="1">
        <f t="array" ref="H322">INDEX(Gebieden_in_Nederland_2023_2403!G:G,MATCH('municipalities per province'!B322,Gebieden_in_Nederland_2023_2403!B:B,0),0)</f>
        <v>ES16</v>
      </c>
    </row>
    <row r="323" spans="1:8" x14ac:dyDescent="0.25">
      <c r="A323" s="24" t="s">
        <v>318</v>
      </c>
      <c r="B323" s="24" t="s">
        <v>317</v>
      </c>
      <c r="C323" s="24" t="s">
        <v>319</v>
      </c>
      <c r="D323" s="24" t="s">
        <v>1195</v>
      </c>
      <c r="E323" s="24" t="s">
        <v>1196</v>
      </c>
      <c r="F323" s="24" t="s">
        <v>310</v>
      </c>
      <c r="G323" s="25" t="str" cm="1">
        <f t="array" ref="G323">INDEX(Gebieden_in_Nederland_2023_2403!H:H,MATCH('municipalities per province'!B323,Gebieden_in_Nederland_2023_2403!B:B,0),0)</f>
        <v>U16</v>
      </c>
      <c r="H323" s="24" t="str" cm="1">
        <f t="array" ref="H323">INDEX(Gebieden_in_Nederland_2023_2403!G:G,MATCH('municipalities per province'!B323,Gebieden_in_Nederland_2023_2403!B:B,0),0)</f>
        <v>ES14</v>
      </c>
    </row>
    <row r="324" spans="1:8" x14ac:dyDescent="0.25">
      <c r="A324" s="24" t="s">
        <v>249</v>
      </c>
      <c r="B324" s="24" t="s">
        <v>248</v>
      </c>
      <c r="C324" s="24" t="s">
        <v>250</v>
      </c>
      <c r="D324" s="24" t="s">
        <v>1178</v>
      </c>
      <c r="E324" s="24" t="s">
        <v>1179</v>
      </c>
      <c r="F324" s="24" t="s">
        <v>1180</v>
      </c>
      <c r="G324" s="25" t="str" cm="1">
        <f t="array" ref="G324">INDEX(Gebieden_in_Nederland_2023_2403!H:H,MATCH('municipalities per province'!B324,Gebieden_in_Nederland_2023_2403!B:B,0),0)</f>
        <v>Achterhoek</v>
      </c>
      <c r="H324" s="24" t="str" cm="1">
        <f t="array" ref="H324">INDEX(Gebieden_in_Nederland_2023_2403!G:G,MATCH('municipalities per province'!B324,Gebieden_in_Nederland_2023_2403!B:B,0),0)</f>
        <v>ES07</v>
      </c>
    </row>
    <row r="325" spans="1:8" x14ac:dyDescent="0.25">
      <c r="A325" s="24" t="s">
        <v>705</v>
      </c>
      <c r="B325" s="24" t="s">
        <v>704</v>
      </c>
      <c r="C325" s="24" t="s">
        <v>706</v>
      </c>
      <c r="D325" s="24" t="s">
        <v>1192</v>
      </c>
      <c r="E325" s="24" t="s">
        <v>1193</v>
      </c>
      <c r="F325" s="24" t="s">
        <v>1194</v>
      </c>
      <c r="G325" s="25" t="str" cm="1">
        <f t="array" ref="G325">INDEX(Gebieden_in_Nederland_2023_2403!H:H,MATCH('municipalities per province'!B325,Gebieden_in_Nederland_2023_2403!B:B,0),0)</f>
        <v>West-Brabant</v>
      </c>
      <c r="H325" s="24" t="str" cm="1">
        <f t="array" ref="H325">INDEX(Gebieden_in_Nederland_2023_2403!G:G,MATCH('municipalities per province'!B325,Gebieden_in_Nederland_2023_2403!B:B,0),0)</f>
        <v>ES28</v>
      </c>
    </row>
    <row r="326" spans="1:8" x14ac:dyDescent="0.25">
      <c r="A326" s="24" t="s">
        <v>540</v>
      </c>
      <c r="B326" s="24" t="s">
        <v>539</v>
      </c>
      <c r="C326" s="24" t="s">
        <v>541</v>
      </c>
      <c r="D326" s="24" t="s">
        <v>1195</v>
      </c>
      <c r="E326" s="24" t="s">
        <v>1196</v>
      </c>
      <c r="F326" s="24" t="s">
        <v>310</v>
      </c>
      <c r="G326" s="25" t="str" cm="1">
        <f t="array" ref="G326">INDEX(Gebieden_in_Nederland_2023_2403!H:H,MATCH('municipalities per province'!B326,Gebieden_in_Nederland_2023_2403!B:B,0),0)</f>
        <v>U16</v>
      </c>
      <c r="H326" s="24" t="str" cm="1">
        <f t="array" ref="H326">INDEX(Gebieden_in_Nederland_2023_2403!G:G,MATCH('municipalities per province'!B326,Gebieden_in_Nederland_2023_2403!B:B,0),0)</f>
        <v>ES14</v>
      </c>
    </row>
    <row r="327" spans="1:8" x14ac:dyDescent="0.25">
      <c r="A327" s="24" t="s">
        <v>837</v>
      </c>
      <c r="B327" s="24" t="s">
        <v>836</v>
      </c>
      <c r="C327" s="24" t="s">
        <v>838</v>
      </c>
      <c r="D327" s="24" t="s">
        <v>1172</v>
      </c>
      <c r="E327" s="24" t="s">
        <v>1173</v>
      </c>
      <c r="F327" s="24" t="s">
        <v>1174</v>
      </c>
      <c r="G327" s="25" t="str" cm="1">
        <f t="array" ref="G327">INDEX(Gebieden_in_Nederland_2023_2403!H:H,MATCH('municipalities per province'!B327,Gebieden_in_Nederland_2023_2403!B:B,0),0)</f>
        <v>Drenthe</v>
      </c>
      <c r="H327" s="24" t="str" cm="1">
        <f t="array" ref="H327">INDEX(Gebieden_in_Nederland_2023_2403!G:G,MATCH('municipalities per province'!B327,Gebieden_in_Nederland_2023_2403!B:B,0),0)</f>
        <v>ES03</v>
      </c>
    </row>
    <row r="328" spans="1:8" x14ac:dyDescent="0.25">
      <c r="A328" s="24" t="s">
        <v>711</v>
      </c>
      <c r="B328" s="24" t="s">
        <v>710</v>
      </c>
      <c r="C328" s="24" t="s">
        <v>712</v>
      </c>
      <c r="D328" s="24" t="s">
        <v>1175</v>
      </c>
      <c r="E328" s="24" t="s">
        <v>1176</v>
      </c>
      <c r="F328" s="24" t="s">
        <v>1177</v>
      </c>
      <c r="G328" s="25" t="str" cm="1">
        <f t="array" ref="G328">INDEX(Gebieden_in_Nederland_2023_2403!H:H,MATCH('municipalities per province'!B328,Gebieden_in_Nederland_2023_2403!B:B,0),0)</f>
        <v>Noord-HollandZuid</v>
      </c>
      <c r="H328" s="24" t="str" cm="1">
        <f t="array" ref="H328">INDEX(Gebieden_in_Nederland_2023_2403!G:G,MATCH('municipalities per province'!B328,Gebieden_in_Nederland_2023_2403!B:B,0),0)</f>
        <v>ES16</v>
      </c>
    </row>
    <row r="329" spans="1:8" x14ac:dyDescent="0.25">
      <c r="A329" s="24" t="s">
        <v>315</v>
      </c>
      <c r="B329" s="24" t="s">
        <v>314</v>
      </c>
      <c r="C329" s="24" t="s">
        <v>316</v>
      </c>
      <c r="D329" s="24" t="s">
        <v>1195</v>
      </c>
      <c r="E329" s="24" t="s">
        <v>1196</v>
      </c>
      <c r="F329" s="24" t="s">
        <v>310</v>
      </c>
      <c r="G329" s="25" t="str" cm="1">
        <f t="array" ref="G329">INDEX(Gebieden_in_Nederland_2023_2403!H:H,MATCH('municipalities per province'!B329,Gebieden_in_Nederland_2023_2403!B:B,0),0)</f>
        <v>Amersfoort</v>
      </c>
      <c r="H329" s="24" t="str" cm="1">
        <f t="array" ref="H329">INDEX(Gebieden_in_Nederland_2023_2403!G:G,MATCH('municipalities per province'!B329,Gebieden_in_Nederland_2023_2403!B:B,0),0)</f>
        <v>ES13</v>
      </c>
    </row>
    <row r="330" spans="1:8" x14ac:dyDescent="0.25">
      <c r="A330" s="24" t="s">
        <v>432</v>
      </c>
      <c r="B330" s="24" t="s">
        <v>431</v>
      </c>
      <c r="C330" s="24" t="s">
        <v>433</v>
      </c>
      <c r="D330" s="24" t="s">
        <v>1175</v>
      </c>
      <c r="E330" s="24" t="s">
        <v>1176</v>
      </c>
      <c r="F330" s="24" t="s">
        <v>1177</v>
      </c>
      <c r="G330" s="25" t="str" cm="1">
        <f t="array" ref="G330">INDEX(Gebieden_in_Nederland_2023_2403!H:H,MATCH('municipalities per province'!B330,Gebieden_in_Nederland_2023_2403!B:B,0),0)</f>
        <v>Noord-HollandZuid</v>
      </c>
      <c r="H330" s="24" t="str" cm="1">
        <f t="array" ref="H330">INDEX(Gebieden_in_Nederland_2023_2403!G:G,MATCH('municipalities per province'!B330,Gebieden_in_Nederland_2023_2403!B:B,0),0)</f>
        <v>ES16</v>
      </c>
    </row>
    <row r="331" spans="1:8" x14ac:dyDescent="0.25">
      <c r="A331" s="24" t="s">
        <v>255</v>
      </c>
      <c r="B331" s="24" t="s">
        <v>254</v>
      </c>
      <c r="C331" s="24" t="s">
        <v>256</v>
      </c>
      <c r="D331" s="24" t="s">
        <v>1178</v>
      </c>
      <c r="E331" s="24" t="s">
        <v>1179</v>
      </c>
      <c r="F331" s="24" t="s">
        <v>1180</v>
      </c>
      <c r="G331" s="25" t="str" cm="1">
        <f t="array" ref="G331">INDEX(Gebieden_in_Nederland_2023_2403!H:H,MATCH('municipalities per province'!B331,Gebieden_in_Nederland_2023_2403!B:B,0),0)</f>
        <v>FruitdeltaRivierenland</v>
      </c>
      <c r="H331" s="24" t="str" cm="1">
        <f t="array" ref="H331">INDEX(Gebieden_in_Nederland_2023_2403!G:G,MATCH('municipalities per province'!B331,Gebieden_in_Nederland_2023_2403!B:B,0),0)</f>
        <v>ES11</v>
      </c>
    </row>
    <row r="332" spans="1:8" x14ac:dyDescent="0.25">
      <c r="A332" s="24" t="s">
        <v>429</v>
      </c>
      <c r="B332" s="24" t="s">
        <v>428</v>
      </c>
      <c r="C332" s="24" t="s">
        <v>430</v>
      </c>
      <c r="D332" s="24" t="s">
        <v>1175</v>
      </c>
      <c r="E332" s="24" t="s">
        <v>1176</v>
      </c>
      <c r="F332" s="24" t="s">
        <v>1177</v>
      </c>
      <c r="G332" s="25" t="str" cm="1">
        <f t="array" ref="G332">INDEX(Gebieden_in_Nederland_2023_2403!H:H,MATCH('municipalities per province'!B332,Gebieden_in_Nederland_2023_2403!B:B,0),0)</f>
        <v>Noord-HollandZuid</v>
      </c>
      <c r="H332" s="24" t="str" cm="1">
        <f t="array" ref="H332">INDEX(Gebieden_in_Nederland_2023_2403!G:G,MATCH('municipalities per province'!B332,Gebieden_in_Nederland_2023_2403!B:B,0),0)</f>
        <v>ES16</v>
      </c>
    </row>
    <row r="333" spans="1:8" x14ac:dyDescent="0.25">
      <c r="A333" s="24" t="s">
        <v>33</v>
      </c>
      <c r="B333" s="24" t="s">
        <v>32</v>
      </c>
      <c r="C333" s="24" t="s">
        <v>34</v>
      </c>
      <c r="D333" s="24" t="s">
        <v>1189</v>
      </c>
      <c r="E333" s="24" t="s">
        <v>1190</v>
      </c>
      <c r="F333" s="24" t="s">
        <v>1191</v>
      </c>
      <c r="G333" s="25" t="str" cm="1">
        <f t="array" ref="G333">INDEX(Gebieden_in_Nederland_2023_2403!H:H,MATCH('municipalities per province'!B333,Gebieden_in_Nederland_2023_2403!B:B,0),0)</f>
        <v>Flevoland</v>
      </c>
      <c r="H333" s="24" t="str" cm="1">
        <f t="array" ref="H333">INDEX(Gebieden_in_Nederland_2023_2403!G:G,MATCH('municipalities per province'!B333,Gebieden_in_Nederland_2023_2403!B:B,0),0)</f>
        <v>ES06</v>
      </c>
    </row>
    <row r="334" spans="1:8" x14ac:dyDescent="0.25">
      <c r="A334" s="24" t="s">
        <v>324</v>
      </c>
      <c r="B334" s="24" t="s">
        <v>323</v>
      </c>
      <c r="C334" s="24" t="s">
        <v>325</v>
      </c>
      <c r="D334" s="24" t="s">
        <v>1195</v>
      </c>
      <c r="E334" s="24" t="s">
        <v>1196</v>
      </c>
      <c r="F334" s="24" t="s">
        <v>310</v>
      </c>
      <c r="G334" s="25" t="str" cm="1">
        <f t="array" ref="G334">INDEX(Gebieden_in_Nederland_2023_2403!H:H,MATCH('municipalities per province'!B334,Gebieden_in_Nederland_2023_2403!B:B,0),0)</f>
        <v>U16</v>
      </c>
      <c r="H334" s="24" t="str" cm="1">
        <f t="array" ref="H334">INDEX(Gebieden_in_Nederland_2023_2403!G:G,MATCH('municipalities per province'!B334,Gebieden_in_Nederland_2023_2403!B:B,0),0)</f>
        <v>ES14</v>
      </c>
    </row>
    <row r="335" spans="1:8" x14ac:dyDescent="0.25">
      <c r="A335" s="24" t="s">
        <v>258</v>
      </c>
      <c r="B335" s="24" t="s">
        <v>257</v>
      </c>
      <c r="C335" s="24" t="s">
        <v>259</v>
      </c>
      <c r="D335" s="24" t="s">
        <v>1178</v>
      </c>
      <c r="E335" s="24" t="s">
        <v>1179</v>
      </c>
      <c r="F335" s="24" t="s">
        <v>1180</v>
      </c>
      <c r="G335" s="25" t="str" cm="1">
        <f t="array" ref="G335">INDEX(Gebieden_in_Nederland_2023_2403!H:H,MATCH('municipalities per province'!B335,Gebieden_in_Nederland_2023_2403!B:B,0),0)</f>
        <v>Arnhem/Nijmegen</v>
      </c>
      <c r="H335" s="24" t="str" cm="1">
        <f t="array" ref="H335">INDEX(Gebieden_in_Nederland_2023_2403!G:G,MATCH('municipalities per province'!B335,Gebieden_in_Nederland_2023_2403!B:B,0),0)</f>
        <v>ES08</v>
      </c>
    </row>
    <row r="336" spans="1:8" x14ac:dyDescent="0.25">
      <c r="A336" s="24" t="s">
        <v>543</v>
      </c>
      <c r="B336" s="24" t="s">
        <v>542</v>
      </c>
      <c r="C336" s="24" t="s">
        <v>544</v>
      </c>
      <c r="D336" s="24" t="s">
        <v>1183</v>
      </c>
      <c r="E336" s="24" t="s">
        <v>1184</v>
      </c>
      <c r="F336" s="24" t="s">
        <v>1185</v>
      </c>
      <c r="G336" s="25" t="str" cm="1">
        <f t="array" ref="G336">INDEX(Gebieden_in_Nederland_2023_2403!H:H,MATCH('municipalities per province'!B336,Gebieden_in_Nederland_2023_2403!B:B,0),0)</f>
        <v>Rotterdam/DenHaag</v>
      </c>
      <c r="H336" s="24" t="str" cm="1">
        <f t="array" ref="H336">INDEX(Gebieden_in_Nederland_2023_2403!G:G,MATCH('municipalities per province'!B336,Gebieden_in_Nederland_2023_2403!B:B,0),0)</f>
        <v>ES23</v>
      </c>
    </row>
    <row r="337" spans="1:8" x14ac:dyDescent="0.25">
      <c r="A337" s="24" t="s">
        <v>546</v>
      </c>
      <c r="B337" s="24" t="s">
        <v>545</v>
      </c>
      <c r="C337" s="24" t="s">
        <v>547</v>
      </c>
      <c r="D337" s="24" t="s">
        <v>1183</v>
      </c>
      <c r="E337" s="24" t="s">
        <v>1184</v>
      </c>
      <c r="F337" s="24" t="s">
        <v>1185</v>
      </c>
      <c r="G337" s="25" t="str" cm="1">
        <f t="array" ref="G337">INDEX(Gebieden_in_Nederland_2023_2403!H:H,MATCH('municipalities per province'!B337,Gebieden_in_Nederland_2023_2403!B:B,0),0)</f>
        <v>HollandRijnland</v>
      </c>
      <c r="H337" s="24" t="str" cm="1">
        <f t="array" ref="H337">INDEX(Gebieden_in_Nederland_2023_2403!G:G,MATCH('municipalities per province'!B337,Gebieden_in_Nederland_2023_2403!B:B,0),0)</f>
        <v>ES21</v>
      </c>
    </row>
    <row r="338" spans="1:8" x14ac:dyDescent="0.25">
      <c r="A338" s="24" t="s">
        <v>939</v>
      </c>
      <c r="B338" s="24" t="s">
        <v>938</v>
      </c>
      <c r="C338" s="24" t="s">
        <v>940</v>
      </c>
      <c r="D338" s="24" t="s">
        <v>1183</v>
      </c>
      <c r="E338" s="24" t="s">
        <v>1184</v>
      </c>
      <c r="F338" s="24" t="s">
        <v>1185</v>
      </c>
      <c r="G338" s="25" t="str" cm="1">
        <f t="array" ref="G338">INDEX(Gebieden_in_Nederland_2023_2403!H:H,MATCH('municipalities per province'!B338,Gebieden_in_Nederland_2023_2403!B:B,0),0)</f>
        <v>Midden-Holland</v>
      </c>
      <c r="H338" s="24" t="str" cm="1">
        <f t="array" ref="H338">INDEX(Gebieden_in_Nederland_2023_2403!G:G,MATCH('municipalities per province'!B338,Gebieden_in_Nederland_2023_2403!B:B,0),0)</f>
        <v>ES22</v>
      </c>
    </row>
    <row r="339" spans="1:8" x14ac:dyDescent="0.25">
      <c r="A339" s="24" t="s">
        <v>708</v>
      </c>
      <c r="B339" s="24" t="s">
        <v>707</v>
      </c>
      <c r="C339" s="24" t="s">
        <v>709</v>
      </c>
      <c r="D339" s="24" t="s">
        <v>1192</v>
      </c>
      <c r="E339" s="24" t="s">
        <v>1193</v>
      </c>
      <c r="F339" s="24" t="s">
        <v>1194</v>
      </c>
      <c r="G339" s="25" t="str" cm="1">
        <f t="array" ref="G339">INDEX(Gebieden_in_Nederland_2023_2403!H:H,MATCH('municipalities per province'!B339,Gebieden_in_Nederland_2023_2403!B:B,0),0)</f>
        <v>West-Brabant</v>
      </c>
      <c r="H339" s="24" t="str" cm="1">
        <f t="array" ref="H339">INDEX(Gebieden_in_Nederland_2023_2403!G:G,MATCH('municipalities per province'!B339,Gebieden_in_Nederland_2023_2403!B:B,0),0)</f>
        <v>ES28</v>
      </c>
    </row>
    <row r="340" spans="1:8" x14ac:dyDescent="0.25">
      <c r="A340" s="24" t="s">
        <v>261</v>
      </c>
      <c r="B340" s="24" t="s">
        <v>260</v>
      </c>
      <c r="C340" s="24" t="s">
        <v>262</v>
      </c>
      <c r="D340" s="24" t="s">
        <v>1178</v>
      </c>
      <c r="E340" s="24" t="s">
        <v>1179</v>
      </c>
      <c r="F340" s="24" t="s">
        <v>1180</v>
      </c>
      <c r="G340" s="25" t="str" cm="1">
        <f t="array" ref="G340">INDEX(Gebieden_in_Nederland_2023_2403!H:H,MATCH('municipalities per province'!B340,Gebieden_in_Nederland_2023_2403!B:B,0),0)</f>
        <v>Cleantech</v>
      </c>
      <c r="H340" s="24" t="str" cm="1">
        <f t="array" ref="H340">INDEX(Gebieden_in_Nederland_2023_2403!G:G,MATCH('municipalities per province'!B340,Gebieden_in_Nederland_2023_2403!B:B,0),0)</f>
        <v>ES12</v>
      </c>
    </row>
    <row r="341" spans="1:8" x14ac:dyDescent="0.25">
      <c r="A341" s="24" t="s">
        <v>948</v>
      </c>
      <c r="B341" s="24" t="s">
        <v>947</v>
      </c>
      <c r="C341" s="24" t="s">
        <v>949</v>
      </c>
      <c r="D341" s="24" t="s">
        <v>1186</v>
      </c>
      <c r="E341" s="24" t="s">
        <v>1187</v>
      </c>
      <c r="F341" s="24" t="s">
        <v>1188</v>
      </c>
      <c r="G341" s="25" t="str" cm="1">
        <f t="array" ref="G341">INDEX(Gebieden_in_Nederland_2023_2403!H:H,MATCH('municipalities per province'!B341,Gebieden_in_Nederland_2023_2403!B:B,0),0)</f>
        <v>West-Overijssel</v>
      </c>
      <c r="H341" s="24" t="str" cm="1">
        <f t="array" ref="H341">INDEX(Gebieden_in_Nederland_2023_2403!G:G,MATCH('municipalities per province'!B341,Gebieden_in_Nederland_2023_2403!B:B,0),0)</f>
        <v>ES05</v>
      </c>
    </row>
    <row r="342" spans="1:8" x14ac:dyDescent="0.25">
      <c r="A342" s="24" t="s">
        <v>549</v>
      </c>
      <c r="B342" s="24" t="s">
        <v>548</v>
      </c>
      <c r="C342" s="24" t="s">
        <v>550</v>
      </c>
      <c r="D342" s="24" t="s">
        <v>1183</v>
      </c>
      <c r="E342" s="24" t="s">
        <v>1184</v>
      </c>
      <c r="F342" s="24" t="s">
        <v>1185</v>
      </c>
      <c r="G342" s="25" t="str" cm="1">
        <f t="array" ref="G342">INDEX(Gebieden_in_Nederland_2023_2403!H:H,MATCH('municipalities per province'!B342,Gebieden_in_Nederland_2023_2403!B:B,0),0)</f>
        <v>Drechtsteden</v>
      </c>
      <c r="H342" s="24" t="str" cm="1">
        <f t="array" ref="H342">INDEX(Gebieden_in_Nederland_2023_2403!G:G,MATCH('municipalities per province'!B342,Gebieden_in_Nederland_2023_2403!B:B,0),0)</f>
        <v>ES18</v>
      </c>
    </row>
    <row r="343" spans="1:8" x14ac:dyDescent="0.25">
      <c r="A343" s="24" t="s">
        <v>144</v>
      </c>
      <c r="B343" s="24" t="s">
        <v>143</v>
      </c>
      <c r="C343" s="24" t="s">
        <v>145</v>
      </c>
      <c r="D343" s="24" t="s">
        <v>1186</v>
      </c>
      <c r="E343" s="24" t="s">
        <v>1187</v>
      </c>
      <c r="F343" s="24" t="s">
        <v>1188</v>
      </c>
      <c r="G343" s="25" t="str" cm="1">
        <f t="array" ref="G343">INDEX(Gebieden_in_Nederland_2023_2403!H:H,MATCH('municipalities per province'!B343,Gebieden_in_Nederland_2023_2403!B:B,0),0)</f>
        <v>West-Overijssel</v>
      </c>
      <c r="H343" s="24" t="str" cm="1">
        <f t="array" ref="H343">INDEX(Gebieden_in_Nederland_2023_2403!G:G,MATCH('municipalities per province'!B343,Gebieden_in_Nederland_2023_2403!B:B,0),0)</f>
        <v>ES05</v>
      </c>
    </row>
  </sheetData>
  <autoFilter ref="A1:F343" xr:uid="{7CE7399F-EE48-4F95-B8AE-EC4090929A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1BB8-B9C2-4446-8A97-D15DBEDB8451}">
  <dimension ref="A1:H348"/>
  <sheetViews>
    <sheetView workbookViewId="0">
      <selection activeCell="I17" sqref="I17"/>
    </sheetView>
  </sheetViews>
  <sheetFormatPr defaultRowHeight="15" x14ac:dyDescent="0.25"/>
  <sheetData>
    <row r="1" spans="1:8" x14ac:dyDescent="0.25">
      <c r="A1" t="s">
        <v>1335</v>
      </c>
    </row>
    <row r="3" spans="1:8" x14ac:dyDescent="0.25">
      <c r="B3" t="s">
        <v>1334</v>
      </c>
    </row>
    <row r="4" spans="1:8" x14ac:dyDescent="0.25">
      <c r="B4" t="s">
        <v>1333</v>
      </c>
      <c r="C4" t="s">
        <v>1332</v>
      </c>
      <c r="D4" t="s">
        <v>1331</v>
      </c>
      <c r="E4" t="s">
        <v>1330</v>
      </c>
      <c r="F4" t="s">
        <v>1329</v>
      </c>
      <c r="G4" t="s">
        <v>1328</v>
      </c>
      <c r="H4" t="s">
        <v>1327</v>
      </c>
    </row>
    <row r="5" spans="1:8" x14ac:dyDescent="0.25">
      <c r="A5" t="s">
        <v>1326</v>
      </c>
      <c r="B5" t="s">
        <v>1325</v>
      </c>
      <c r="C5" t="s">
        <v>1324</v>
      </c>
      <c r="D5" t="s">
        <v>1324</v>
      </c>
      <c r="E5" t="s">
        <v>1325</v>
      </c>
      <c r="F5" t="s">
        <v>1324</v>
      </c>
      <c r="G5" t="s">
        <v>1325</v>
      </c>
      <c r="H5" t="s">
        <v>1324</v>
      </c>
    </row>
    <row r="6" spans="1:8" x14ac:dyDescent="0.25">
      <c r="A6" t="s">
        <v>832</v>
      </c>
      <c r="B6" t="s">
        <v>830</v>
      </c>
      <c r="C6" t="s">
        <v>1323</v>
      </c>
      <c r="D6" t="s">
        <v>1323</v>
      </c>
      <c r="E6" t="s">
        <v>1173</v>
      </c>
      <c r="F6" t="s">
        <v>1174</v>
      </c>
      <c r="G6" t="s">
        <v>1065</v>
      </c>
      <c r="H6" t="s">
        <v>1174</v>
      </c>
    </row>
    <row r="7" spans="1:8" x14ac:dyDescent="0.25">
      <c r="A7" t="s">
        <v>331</v>
      </c>
      <c r="B7" t="s">
        <v>329</v>
      </c>
      <c r="C7" t="s">
        <v>331</v>
      </c>
      <c r="D7" t="s">
        <v>331</v>
      </c>
      <c r="E7" t="s">
        <v>1176</v>
      </c>
      <c r="F7" t="s">
        <v>1177</v>
      </c>
      <c r="G7" t="s">
        <v>1076</v>
      </c>
      <c r="H7" t="s">
        <v>1219</v>
      </c>
    </row>
    <row r="8" spans="1:8" x14ac:dyDescent="0.25">
      <c r="A8" t="s">
        <v>148</v>
      </c>
      <c r="B8" t="s">
        <v>146</v>
      </c>
      <c r="C8" t="s">
        <v>148</v>
      </c>
      <c r="D8" t="s">
        <v>148</v>
      </c>
      <c r="E8" t="s">
        <v>1179</v>
      </c>
      <c r="F8" t="s">
        <v>1180</v>
      </c>
      <c r="G8" t="s">
        <v>1070</v>
      </c>
      <c r="H8" t="s">
        <v>1223</v>
      </c>
    </row>
    <row r="9" spans="1:8" x14ac:dyDescent="0.25">
      <c r="A9" t="s">
        <v>37</v>
      </c>
      <c r="B9" t="s">
        <v>35</v>
      </c>
      <c r="C9" t="s">
        <v>37</v>
      </c>
      <c r="D9" t="s">
        <v>37</v>
      </c>
      <c r="E9" t="s">
        <v>1182</v>
      </c>
      <c r="F9" t="s">
        <v>1226</v>
      </c>
      <c r="G9" t="s">
        <v>1064</v>
      </c>
      <c r="H9" t="s">
        <v>1205</v>
      </c>
    </row>
    <row r="10" spans="1:8" x14ac:dyDescent="0.25">
      <c r="A10" t="s">
        <v>436</v>
      </c>
      <c r="B10" t="s">
        <v>434</v>
      </c>
      <c r="C10" t="s">
        <v>436</v>
      </c>
      <c r="D10" t="s">
        <v>436</v>
      </c>
      <c r="E10" t="s">
        <v>1184</v>
      </c>
      <c r="F10" t="s">
        <v>1185</v>
      </c>
      <c r="G10" t="s">
        <v>1101</v>
      </c>
      <c r="H10" t="s">
        <v>1211</v>
      </c>
    </row>
    <row r="11" spans="1:8" x14ac:dyDescent="0.25">
      <c r="A11" t="s">
        <v>526</v>
      </c>
      <c r="B11" t="s">
        <v>524</v>
      </c>
      <c r="C11" t="s">
        <v>526</v>
      </c>
      <c r="D11" t="s">
        <v>526</v>
      </c>
      <c r="E11" t="s">
        <v>1184</v>
      </c>
      <c r="F11" t="s">
        <v>1185</v>
      </c>
      <c r="G11" t="s">
        <v>1077</v>
      </c>
      <c r="H11" t="s">
        <v>1216</v>
      </c>
    </row>
    <row r="12" spans="1:8" x14ac:dyDescent="0.25">
      <c r="A12" t="s">
        <v>334</v>
      </c>
      <c r="B12" t="s">
        <v>332</v>
      </c>
      <c r="C12" t="s">
        <v>334</v>
      </c>
      <c r="D12" t="s">
        <v>334</v>
      </c>
      <c r="E12" t="s">
        <v>1176</v>
      </c>
      <c r="F12" t="s">
        <v>1177</v>
      </c>
      <c r="G12" t="s">
        <v>1075</v>
      </c>
      <c r="H12" t="s">
        <v>1239</v>
      </c>
    </row>
    <row r="13" spans="1:8" x14ac:dyDescent="0.25">
      <c r="A13" t="s">
        <v>88</v>
      </c>
      <c r="B13" t="s">
        <v>86</v>
      </c>
      <c r="C13" t="s">
        <v>88</v>
      </c>
      <c r="D13" t="s">
        <v>88</v>
      </c>
      <c r="E13" t="s">
        <v>1187</v>
      </c>
      <c r="F13" t="s">
        <v>1188</v>
      </c>
      <c r="G13" t="s">
        <v>1067</v>
      </c>
      <c r="H13" t="s">
        <v>1225</v>
      </c>
    </row>
    <row r="14" spans="1:8" x14ac:dyDescent="0.25">
      <c r="A14" t="s">
        <v>25</v>
      </c>
      <c r="B14" t="s">
        <v>23</v>
      </c>
      <c r="C14" t="s">
        <v>25</v>
      </c>
      <c r="D14" t="s">
        <v>25</v>
      </c>
      <c r="E14" t="s">
        <v>1190</v>
      </c>
      <c r="F14" t="s">
        <v>1191</v>
      </c>
      <c r="G14" t="s">
        <v>1093</v>
      </c>
      <c r="H14" t="s">
        <v>1191</v>
      </c>
    </row>
    <row r="15" spans="1:8" x14ac:dyDescent="0.25">
      <c r="A15" t="s">
        <v>439</v>
      </c>
      <c r="B15" t="s">
        <v>437</v>
      </c>
      <c r="C15" t="s">
        <v>1322</v>
      </c>
      <c r="D15" t="s">
        <v>1322</v>
      </c>
      <c r="E15" t="s">
        <v>1184</v>
      </c>
      <c r="F15" t="s">
        <v>1185</v>
      </c>
      <c r="G15" t="s">
        <v>1078</v>
      </c>
      <c r="H15" t="s">
        <v>1215</v>
      </c>
    </row>
    <row r="16" spans="1:8" x14ac:dyDescent="0.25">
      <c r="A16" t="s">
        <v>880</v>
      </c>
      <c r="B16" t="s">
        <v>878</v>
      </c>
      <c r="C16" t="s">
        <v>880</v>
      </c>
      <c r="D16" t="s">
        <v>1321</v>
      </c>
      <c r="E16" t="s">
        <v>1193</v>
      </c>
      <c r="F16" t="s">
        <v>1194</v>
      </c>
      <c r="G16" t="s">
        <v>1082</v>
      </c>
      <c r="H16" t="s">
        <v>1213</v>
      </c>
    </row>
    <row r="17" spans="1:8" x14ac:dyDescent="0.25">
      <c r="A17" t="s">
        <v>1009</v>
      </c>
      <c r="B17" t="s">
        <v>1007</v>
      </c>
      <c r="C17" t="s">
        <v>1009</v>
      </c>
      <c r="D17" t="s">
        <v>1009</v>
      </c>
      <c r="E17" t="s">
        <v>1193</v>
      </c>
      <c r="F17" t="s">
        <v>1194</v>
      </c>
      <c r="G17" t="s">
        <v>1082</v>
      </c>
      <c r="H17" t="s">
        <v>1213</v>
      </c>
    </row>
    <row r="18" spans="1:8" x14ac:dyDescent="0.25">
      <c r="A18" t="s">
        <v>40</v>
      </c>
      <c r="B18" t="s">
        <v>38</v>
      </c>
      <c r="C18" t="s">
        <v>40</v>
      </c>
      <c r="D18" t="s">
        <v>40</v>
      </c>
      <c r="E18" t="s">
        <v>1182</v>
      </c>
      <c r="F18" t="s">
        <v>1226</v>
      </c>
      <c r="G18" t="s">
        <v>1064</v>
      </c>
      <c r="H18" t="s">
        <v>1205</v>
      </c>
    </row>
    <row r="19" spans="1:8" x14ac:dyDescent="0.25">
      <c r="A19" t="s">
        <v>271</v>
      </c>
      <c r="B19" t="s">
        <v>269</v>
      </c>
      <c r="C19" t="s">
        <v>271</v>
      </c>
      <c r="D19" t="s">
        <v>271</v>
      </c>
      <c r="E19" t="s">
        <v>1196</v>
      </c>
      <c r="F19" t="s">
        <v>310</v>
      </c>
      <c r="G19" t="s">
        <v>1072</v>
      </c>
      <c r="H19" t="s">
        <v>271</v>
      </c>
    </row>
    <row r="20" spans="1:8" x14ac:dyDescent="0.25">
      <c r="A20" t="s">
        <v>337</v>
      </c>
      <c r="B20" t="s">
        <v>335</v>
      </c>
      <c r="C20" t="s">
        <v>337</v>
      </c>
      <c r="D20" t="s">
        <v>337</v>
      </c>
      <c r="E20" t="s">
        <v>1176</v>
      </c>
      <c r="F20" t="s">
        <v>1177</v>
      </c>
      <c r="G20" t="s">
        <v>1076</v>
      </c>
      <c r="H20" t="s">
        <v>1219</v>
      </c>
    </row>
    <row r="21" spans="1:8" x14ac:dyDescent="0.25">
      <c r="A21" t="s">
        <v>340</v>
      </c>
      <c r="B21" t="s">
        <v>338</v>
      </c>
      <c r="C21" t="s">
        <v>340</v>
      </c>
      <c r="D21" t="s">
        <v>340</v>
      </c>
      <c r="E21" t="s">
        <v>1176</v>
      </c>
      <c r="F21" t="s">
        <v>1177</v>
      </c>
      <c r="G21" t="s">
        <v>1076</v>
      </c>
      <c r="H21" t="s">
        <v>1219</v>
      </c>
    </row>
    <row r="22" spans="1:8" x14ac:dyDescent="0.25">
      <c r="A22" t="s">
        <v>151</v>
      </c>
      <c r="B22" t="s">
        <v>149</v>
      </c>
      <c r="C22" t="s">
        <v>151</v>
      </c>
      <c r="D22" t="s">
        <v>151</v>
      </c>
      <c r="E22" t="s">
        <v>1179</v>
      </c>
      <c r="F22" t="s">
        <v>1180</v>
      </c>
      <c r="G22" t="s">
        <v>1068</v>
      </c>
      <c r="H22" t="s">
        <v>1212</v>
      </c>
    </row>
    <row r="23" spans="1:8" x14ac:dyDescent="0.25">
      <c r="A23" t="s">
        <v>154</v>
      </c>
      <c r="B23" t="s">
        <v>152</v>
      </c>
      <c r="C23" t="s">
        <v>154</v>
      </c>
      <c r="D23" t="s">
        <v>154</v>
      </c>
      <c r="E23" t="s">
        <v>1179</v>
      </c>
      <c r="F23" t="s">
        <v>1180</v>
      </c>
      <c r="G23" t="s">
        <v>1073</v>
      </c>
      <c r="H23" t="s">
        <v>1217</v>
      </c>
    </row>
    <row r="24" spans="1:8" x14ac:dyDescent="0.25">
      <c r="A24" t="s">
        <v>73</v>
      </c>
      <c r="B24" t="s">
        <v>71</v>
      </c>
      <c r="C24" t="s">
        <v>73</v>
      </c>
      <c r="D24" t="s">
        <v>73</v>
      </c>
      <c r="E24" t="s">
        <v>1173</v>
      </c>
      <c r="F24" t="s">
        <v>1174</v>
      </c>
      <c r="G24" t="s">
        <v>1065</v>
      </c>
      <c r="H24" t="s">
        <v>1174</v>
      </c>
    </row>
    <row r="25" spans="1:8" x14ac:dyDescent="0.25">
      <c r="A25" t="s">
        <v>592</v>
      </c>
      <c r="B25" t="s">
        <v>590</v>
      </c>
      <c r="C25" t="s">
        <v>592</v>
      </c>
      <c r="D25" t="s">
        <v>592</v>
      </c>
      <c r="E25" t="s">
        <v>1193</v>
      </c>
      <c r="F25" t="s">
        <v>1194</v>
      </c>
      <c r="G25" t="s">
        <v>1081</v>
      </c>
      <c r="H25" t="s">
        <v>1232</v>
      </c>
    </row>
    <row r="26" spans="1:8" x14ac:dyDescent="0.25">
      <c r="A26" t="s">
        <v>595</v>
      </c>
      <c r="B26" t="s">
        <v>593</v>
      </c>
      <c r="C26" t="s">
        <v>595</v>
      </c>
      <c r="D26" t="s">
        <v>1320</v>
      </c>
      <c r="E26" t="s">
        <v>1193</v>
      </c>
      <c r="F26" t="s">
        <v>1194</v>
      </c>
      <c r="G26" t="s">
        <v>1082</v>
      </c>
      <c r="H26" t="s">
        <v>1213</v>
      </c>
    </row>
    <row r="27" spans="1:8" x14ac:dyDescent="0.25">
      <c r="A27" t="s">
        <v>274</v>
      </c>
      <c r="B27" t="s">
        <v>272</v>
      </c>
      <c r="C27" t="s">
        <v>274</v>
      </c>
      <c r="D27" t="s">
        <v>274</v>
      </c>
      <c r="E27" t="s">
        <v>1196</v>
      </c>
      <c r="F27" t="s">
        <v>310</v>
      </c>
      <c r="G27" t="s">
        <v>1072</v>
      </c>
      <c r="H27" t="s">
        <v>271</v>
      </c>
    </row>
    <row r="28" spans="1:8" x14ac:dyDescent="0.25">
      <c r="A28" t="s">
        <v>442</v>
      </c>
      <c r="B28" t="s">
        <v>440</v>
      </c>
      <c r="C28" t="s">
        <v>442</v>
      </c>
      <c r="D28" t="s">
        <v>442</v>
      </c>
      <c r="E28" t="s">
        <v>1184</v>
      </c>
      <c r="F28" t="s">
        <v>1185</v>
      </c>
      <c r="G28" t="s">
        <v>1077</v>
      </c>
      <c r="H28" t="s">
        <v>1216</v>
      </c>
    </row>
    <row r="29" spans="1:8" x14ac:dyDescent="0.25">
      <c r="A29" t="s">
        <v>157</v>
      </c>
      <c r="B29" t="s">
        <v>155</v>
      </c>
      <c r="C29" t="s">
        <v>157</v>
      </c>
      <c r="D29" t="s">
        <v>157</v>
      </c>
      <c r="E29" t="s">
        <v>1179</v>
      </c>
      <c r="F29" t="s">
        <v>1180</v>
      </c>
      <c r="G29" t="s">
        <v>1071</v>
      </c>
      <c r="H29" t="s">
        <v>1230</v>
      </c>
    </row>
    <row r="30" spans="1:8" x14ac:dyDescent="0.25">
      <c r="A30" t="s">
        <v>1319</v>
      </c>
      <c r="B30" t="s">
        <v>716</v>
      </c>
      <c r="C30" t="s">
        <v>718</v>
      </c>
      <c r="D30" t="s">
        <v>718</v>
      </c>
      <c r="E30" t="s">
        <v>1198</v>
      </c>
      <c r="F30" t="s">
        <v>1199</v>
      </c>
      <c r="G30" t="s">
        <v>1083</v>
      </c>
      <c r="H30" t="s">
        <v>1235</v>
      </c>
    </row>
    <row r="31" spans="1:8" x14ac:dyDescent="0.25">
      <c r="A31" t="s">
        <v>1003</v>
      </c>
      <c r="B31" t="s">
        <v>1001</v>
      </c>
      <c r="C31" t="s">
        <v>1003</v>
      </c>
      <c r="D31" t="s">
        <v>1003</v>
      </c>
      <c r="E31" t="s">
        <v>1198</v>
      </c>
      <c r="F31" t="s">
        <v>1199</v>
      </c>
      <c r="G31" t="s">
        <v>1083</v>
      </c>
      <c r="H31" t="s">
        <v>1235</v>
      </c>
    </row>
    <row r="32" spans="1:8" x14ac:dyDescent="0.25">
      <c r="A32" t="s">
        <v>721</v>
      </c>
      <c r="B32" t="s">
        <v>719</v>
      </c>
      <c r="C32" t="s">
        <v>721</v>
      </c>
      <c r="D32" t="s">
        <v>721</v>
      </c>
      <c r="E32" t="s">
        <v>1198</v>
      </c>
      <c r="F32" t="s">
        <v>1199</v>
      </c>
      <c r="G32" t="s">
        <v>1085</v>
      </c>
      <c r="H32" t="s">
        <v>1229</v>
      </c>
    </row>
    <row r="33" spans="1:8" x14ac:dyDescent="0.25">
      <c r="A33" t="s">
        <v>988</v>
      </c>
      <c r="B33" t="s">
        <v>986</v>
      </c>
      <c r="C33" t="s">
        <v>1318</v>
      </c>
      <c r="D33" t="s">
        <v>1318</v>
      </c>
      <c r="E33" t="s">
        <v>1179</v>
      </c>
      <c r="F33" t="s">
        <v>1180</v>
      </c>
      <c r="G33" t="s">
        <v>1073</v>
      </c>
      <c r="H33" t="s">
        <v>1217</v>
      </c>
    </row>
    <row r="34" spans="1:8" x14ac:dyDescent="0.25">
      <c r="A34" t="s">
        <v>883</v>
      </c>
      <c r="B34" t="s">
        <v>881</v>
      </c>
      <c r="C34" t="s">
        <v>883</v>
      </c>
      <c r="D34" t="s">
        <v>883</v>
      </c>
      <c r="E34" t="s">
        <v>1193</v>
      </c>
      <c r="F34" t="s">
        <v>1194</v>
      </c>
      <c r="G34" t="s">
        <v>1081</v>
      </c>
      <c r="H34" t="s">
        <v>1232</v>
      </c>
    </row>
    <row r="35" spans="1:8" x14ac:dyDescent="0.25">
      <c r="A35" t="s">
        <v>724</v>
      </c>
      <c r="B35" t="s">
        <v>722</v>
      </c>
      <c r="C35" t="s">
        <v>1317</v>
      </c>
      <c r="D35" t="s">
        <v>1317</v>
      </c>
      <c r="E35" t="s">
        <v>1198</v>
      </c>
      <c r="F35" t="s">
        <v>1199</v>
      </c>
      <c r="G35" t="s">
        <v>1085</v>
      </c>
      <c r="H35" t="s">
        <v>1229</v>
      </c>
    </row>
    <row r="36" spans="1:8" x14ac:dyDescent="0.25">
      <c r="A36" t="s">
        <v>343</v>
      </c>
      <c r="B36" t="s">
        <v>341</v>
      </c>
      <c r="C36" t="s">
        <v>1316</v>
      </c>
      <c r="D36" t="s">
        <v>1316</v>
      </c>
      <c r="E36" t="s">
        <v>1176</v>
      </c>
      <c r="F36" t="s">
        <v>1177</v>
      </c>
      <c r="G36" t="s">
        <v>1075</v>
      </c>
      <c r="H36" t="s">
        <v>1239</v>
      </c>
    </row>
    <row r="37" spans="1:8" x14ac:dyDescent="0.25">
      <c r="A37" t="s">
        <v>598</v>
      </c>
      <c r="B37" t="s">
        <v>596</v>
      </c>
      <c r="C37" t="s">
        <v>1315</v>
      </c>
      <c r="D37" t="s">
        <v>1315</v>
      </c>
      <c r="E37" t="s">
        <v>1193</v>
      </c>
      <c r="F37" t="s">
        <v>1194</v>
      </c>
      <c r="G37" t="s">
        <v>1082</v>
      </c>
      <c r="H37" t="s">
        <v>1213</v>
      </c>
    </row>
    <row r="38" spans="1:8" x14ac:dyDescent="0.25">
      <c r="A38" t="s">
        <v>925</v>
      </c>
      <c r="B38" t="s">
        <v>923</v>
      </c>
      <c r="C38" t="s">
        <v>925</v>
      </c>
      <c r="D38" t="s">
        <v>925</v>
      </c>
      <c r="E38" t="s">
        <v>1179</v>
      </c>
      <c r="F38" t="s">
        <v>1180</v>
      </c>
      <c r="G38" t="s">
        <v>1070</v>
      </c>
      <c r="H38" t="s">
        <v>1223</v>
      </c>
    </row>
    <row r="39" spans="1:8" x14ac:dyDescent="0.25">
      <c r="A39" t="s">
        <v>877</v>
      </c>
      <c r="B39" t="s">
        <v>875</v>
      </c>
      <c r="C39" t="s">
        <v>877</v>
      </c>
      <c r="D39" t="s">
        <v>877</v>
      </c>
      <c r="E39" t="s">
        <v>1193</v>
      </c>
      <c r="F39" t="s">
        <v>1194</v>
      </c>
      <c r="G39" t="s">
        <v>1080</v>
      </c>
      <c r="H39" t="s">
        <v>1233</v>
      </c>
    </row>
    <row r="40" spans="1:8" x14ac:dyDescent="0.25">
      <c r="A40" t="s">
        <v>601</v>
      </c>
      <c r="B40" t="s">
        <v>599</v>
      </c>
      <c r="C40" t="s">
        <v>601</v>
      </c>
      <c r="D40" t="s">
        <v>601</v>
      </c>
      <c r="E40" t="s">
        <v>1193</v>
      </c>
      <c r="F40" t="s">
        <v>1194</v>
      </c>
      <c r="G40" t="s">
        <v>1081</v>
      </c>
      <c r="H40" t="s">
        <v>1232</v>
      </c>
    </row>
    <row r="41" spans="1:8" x14ac:dyDescent="0.25">
      <c r="A41" t="s">
        <v>160</v>
      </c>
      <c r="B41" t="s">
        <v>158</v>
      </c>
      <c r="C41" t="s">
        <v>160</v>
      </c>
      <c r="D41" t="s">
        <v>160</v>
      </c>
      <c r="E41" t="s">
        <v>1179</v>
      </c>
      <c r="F41" t="s">
        <v>1180</v>
      </c>
      <c r="G41" t="s">
        <v>1073</v>
      </c>
      <c r="H41" t="s">
        <v>1217</v>
      </c>
    </row>
    <row r="42" spans="1:8" x14ac:dyDescent="0.25">
      <c r="A42" t="s">
        <v>346</v>
      </c>
      <c r="B42" t="s">
        <v>344</v>
      </c>
      <c r="C42" t="s">
        <v>346</v>
      </c>
      <c r="D42" t="s">
        <v>346</v>
      </c>
      <c r="E42" t="s">
        <v>1176</v>
      </c>
      <c r="F42" t="s">
        <v>1177</v>
      </c>
      <c r="G42" t="s">
        <v>1076</v>
      </c>
      <c r="H42" t="s">
        <v>1219</v>
      </c>
    </row>
    <row r="43" spans="1:8" x14ac:dyDescent="0.25">
      <c r="A43" t="s">
        <v>277</v>
      </c>
      <c r="B43" t="s">
        <v>275</v>
      </c>
      <c r="C43" t="s">
        <v>1314</v>
      </c>
      <c r="D43" t="s">
        <v>1313</v>
      </c>
      <c r="E43" t="s">
        <v>1196</v>
      </c>
      <c r="F43" t="s">
        <v>310</v>
      </c>
      <c r="G43" t="s">
        <v>1074</v>
      </c>
      <c r="H43" t="s">
        <v>1218</v>
      </c>
    </row>
    <row r="44" spans="1:8" x14ac:dyDescent="0.25">
      <c r="A44" t="s">
        <v>886</v>
      </c>
      <c r="B44" t="s">
        <v>884</v>
      </c>
      <c r="C44" t="s">
        <v>886</v>
      </c>
      <c r="D44" t="s">
        <v>886</v>
      </c>
      <c r="E44" t="s">
        <v>1193</v>
      </c>
      <c r="F44" t="s">
        <v>1194</v>
      </c>
      <c r="G44" t="s">
        <v>1081</v>
      </c>
      <c r="H44" t="s">
        <v>1232</v>
      </c>
    </row>
    <row r="45" spans="1:8" x14ac:dyDescent="0.25">
      <c r="A45" t="s">
        <v>349</v>
      </c>
      <c r="B45" t="s">
        <v>347</v>
      </c>
      <c r="C45" t="s">
        <v>349</v>
      </c>
      <c r="D45" t="s">
        <v>349</v>
      </c>
      <c r="E45" t="s">
        <v>1176</v>
      </c>
      <c r="F45" t="s">
        <v>1177</v>
      </c>
      <c r="G45" t="s">
        <v>1076</v>
      </c>
      <c r="H45" t="s">
        <v>1219</v>
      </c>
    </row>
    <row r="46" spans="1:8" x14ac:dyDescent="0.25">
      <c r="A46" t="s">
        <v>352</v>
      </c>
      <c r="B46" t="s">
        <v>350</v>
      </c>
      <c r="C46" t="s">
        <v>352</v>
      </c>
      <c r="D46" t="s">
        <v>352</v>
      </c>
      <c r="E46" t="s">
        <v>1176</v>
      </c>
      <c r="F46" t="s">
        <v>1177</v>
      </c>
      <c r="G46" t="s">
        <v>1076</v>
      </c>
      <c r="H46" t="s">
        <v>1219</v>
      </c>
    </row>
    <row r="47" spans="1:8" x14ac:dyDescent="0.25">
      <c r="A47" t="s">
        <v>955</v>
      </c>
      <c r="B47" t="s">
        <v>953</v>
      </c>
      <c r="C47" t="s">
        <v>955</v>
      </c>
      <c r="D47" t="s">
        <v>1312</v>
      </c>
      <c r="E47" t="s">
        <v>1184</v>
      </c>
      <c r="F47" t="s">
        <v>1185</v>
      </c>
      <c r="G47" t="s">
        <v>1087</v>
      </c>
      <c r="H47" t="s">
        <v>1214</v>
      </c>
    </row>
    <row r="48" spans="1:8" x14ac:dyDescent="0.25">
      <c r="A48" t="s">
        <v>604</v>
      </c>
      <c r="B48" t="s">
        <v>602</v>
      </c>
      <c r="C48" t="s">
        <v>604</v>
      </c>
      <c r="D48" t="s">
        <v>604</v>
      </c>
      <c r="E48" t="s">
        <v>1193</v>
      </c>
      <c r="F48" t="s">
        <v>1194</v>
      </c>
      <c r="G48" t="s">
        <v>1080</v>
      </c>
      <c r="H48" t="s">
        <v>1233</v>
      </c>
    </row>
    <row r="49" spans="1:8" x14ac:dyDescent="0.25">
      <c r="A49" t="s">
        <v>835</v>
      </c>
      <c r="B49" t="s">
        <v>833</v>
      </c>
      <c r="C49" t="s">
        <v>835</v>
      </c>
      <c r="D49" t="s">
        <v>1311</v>
      </c>
      <c r="E49" t="s">
        <v>1173</v>
      </c>
      <c r="F49" t="s">
        <v>1174</v>
      </c>
      <c r="G49" t="s">
        <v>1065</v>
      </c>
      <c r="H49" t="s">
        <v>1174</v>
      </c>
    </row>
    <row r="50" spans="1:8" x14ac:dyDescent="0.25">
      <c r="A50" t="s">
        <v>91</v>
      </c>
      <c r="B50" t="s">
        <v>89</v>
      </c>
      <c r="C50" t="s">
        <v>91</v>
      </c>
      <c r="D50" t="s">
        <v>91</v>
      </c>
      <c r="E50" t="s">
        <v>1187</v>
      </c>
      <c r="F50" t="s">
        <v>1188</v>
      </c>
      <c r="G50" t="s">
        <v>1067</v>
      </c>
      <c r="H50" t="s">
        <v>1225</v>
      </c>
    </row>
    <row r="51" spans="1:8" x14ac:dyDescent="0.25">
      <c r="A51" t="s">
        <v>553</v>
      </c>
      <c r="B51" t="s">
        <v>551</v>
      </c>
      <c r="C51" t="s">
        <v>553</v>
      </c>
      <c r="D51" t="s">
        <v>553</v>
      </c>
      <c r="E51" t="s">
        <v>1201</v>
      </c>
      <c r="F51" t="s">
        <v>1202</v>
      </c>
      <c r="G51" t="s">
        <v>1079</v>
      </c>
      <c r="H51" t="s">
        <v>1202</v>
      </c>
    </row>
    <row r="52" spans="1:8" x14ac:dyDescent="0.25">
      <c r="A52" t="s">
        <v>607</v>
      </c>
      <c r="B52" t="s">
        <v>605</v>
      </c>
      <c r="C52" t="s">
        <v>607</v>
      </c>
      <c r="D52" t="s">
        <v>607</v>
      </c>
      <c r="E52" t="s">
        <v>1193</v>
      </c>
      <c r="F52" t="s">
        <v>1194</v>
      </c>
      <c r="G52" t="s">
        <v>1080</v>
      </c>
      <c r="H52" t="s">
        <v>1233</v>
      </c>
    </row>
    <row r="53" spans="1:8" x14ac:dyDescent="0.25">
      <c r="A53" t="s">
        <v>610</v>
      </c>
      <c r="B53" t="s">
        <v>608</v>
      </c>
      <c r="C53" t="s">
        <v>610</v>
      </c>
      <c r="D53" t="s">
        <v>610</v>
      </c>
      <c r="E53" t="s">
        <v>1193</v>
      </c>
      <c r="F53" t="s">
        <v>1194</v>
      </c>
      <c r="G53" t="s">
        <v>1082</v>
      </c>
      <c r="H53" t="s">
        <v>1213</v>
      </c>
    </row>
    <row r="54" spans="1:8" x14ac:dyDescent="0.25">
      <c r="A54" t="s">
        <v>928</v>
      </c>
      <c r="B54" t="s">
        <v>926</v>
      </c>
      <c r="C54" t="s">
        <v>928</v>
      </c>
      <c r="D54" t="s">
        <v>928</v>
      </c>
      <c r="E54" t="s">
        <v>1179</v>
      </c>
      <c r="F54" t="s">
        <v>1180</v>
      </c>
      <c r="G54" t="s">
        <v>1070</v>
      </c>
      <c r="H54" t="s">
        <v>1223</v>
      </c>
    </row>
    <row r="55" spans="1:8" x14ac:dyDescent="0.25">
      <c r="A55" t="s">
        <v>163</v>
      </c>
      <c r="B55" t="s">
        <v>161</v>
      </c>
      <c r="C55" t="s">
        <v>163</v>
      </c>
      <c r="D55" t="s">
        <v>163</v>
      </c>
      <c r="E55" t="s">
        <v>1179</v>
      </c>
      <c r="F55" t="s">
        <v>1180</v>
      </c>
      <c r="G55" t="s">
        <v>1068</v>
      </c>
      <c r="H55" t="s">
        <v>1212</v>
      </c>
    </row>
    <row r="56" spans="1:8" x14ac:dyDescent="0.25">
      <c r="A56" t="s">
        <v>727</v>
      </c>
      <c r="B56" t="s">
        <v>725</v>
      </c>
      <c r="C56" t="s">
        <v>727</v>
      </c>
      <c r="D56" t="s">
        <v>727</v>
      </c>
      <c r="E56" t="s">
        <v>1198</v>
      </c>
      <c r="F56" t="s">
        <v>1199</v>
      </c>
      <c r="G56" t="s">
        <v>1083</v>
      </c>
      <c r="H56" t="s">
        <v>1235</v>
      </c>
    </row>
    <row r="57" spans="1:8" x14ac:dyDescent="0.25">
      <c r="A57" t="s">
        <v>280</v>
      </c>
      <c r="B57" t="s">
        <v>278</v>
      </c>
      <c r="C57" t="s">
        <v>280</v>
      </c>
      <c r="D57" t="s">
        <v>280</v>
      </c>
      <c r="E57" t="s">
        <v>1196</v>
      </c>
      <c r="F57" t="s">
        <v>310</v>
      </c>
      <c r="G57" t="s">
        <v>1074</v>
      </c>
      <c r="H57" t="s">
        <v>1218</v>
      </c>
    </row>
    <row r="58" spans="1:8" x14ac:dyDescent="0.25">
      <c r="A58" t="s">
        <v>283</v>
      </c>
      <c r="B58" t="s">
        <v>281</v>
      </c>
      <c r="C58" t="s">
        <v>283</v>
      </c>
      <c r="D58" t="s">
        <v>283</v>
      </c>
      <c r="E58" t="s">
        <v>1196</v>
      </c>
      <c r="F58" t="s">
        <v>310</v>
      </c>
      <c r="G58" t="s">
        <v>1072</v>
      </c>
      <c r="H58" t="s">
        <v>271</v>
      </c>
    </row>
    <row r="59" spans="1:8" x14ac:dyDescent="0.25">
      <c r="A59" t="s">
        <v>166</v>
      </c>
      <c r="B59" t="s">
        <v>164</v>
      </c>
      <c r="C59" t="s">
        <v>166</v>
      </c>
      <c r="D59" t="s">
        <v>166</v>
      </c>
      <c r="E59" t="s">
        <v>1179</v>
      </c>
      <c r="F59" t="s">
        <v>1180</v>
      </c>
      <c r="G59" t="s">
        <v>1069</v>
      </c>
      <c r="H59" t="s">
        <v>1220</v>
      </c>
    </row>
    <row r="60" spans="1:8" x14ac:dyDescent="0.25">
      <c r="A60" t="s">
        <v>448</v>
      </c>
      <c r="B60" t="s">
        <v>446</v>
      </c>
      <c r="C60" t="s">
        <v>1310</v>
      </c>
      <c r="D60" t="s">
        <v>1310</v>
      </c>
      <c r="E60" t="s">
        <v>1184</v>
      </c>
      <c r="F60" t="s">
        <v>1185</v>
      </c>
      <c r="G60" t="s">
        <v>1077</v>
      </c>
      <c r="H60" t="s">
        <v>1216</v>
      </c>
    </row>
    <row r="61" spans="1:8" x14ac:dyDescent="0.25">
      <c r="A61" t="s">
        <v>355</v>
      </c>
      <c r="B61" t="s">
        <v>353</v>
      </c>
      <c r="C61" t="s">
        <v>355</v>
      </c>
      <c r="D61" t="s">
        <v>355</v>
      </c>
      <c r="E61" t="s">
        <v>1176</v>
      </c>
      <c r="F61" t="s">
        <v>1177</v>
      </c>
      <c r="G61" t="s">
        <v>1075</v>
      </c>
      <c r="H61" t="s">
        <v>1239</v>
      </c>
    </row>
    <row r="62" spans="1:8" x14ac:dyDescent="0.25">
      <c r="A62" t="s">
        <v>76</v>
      </c>
      <c r="B62" t="s">
        <v>74</v>
      </c>
      <c r="C62" t="s">
        <v>76</v>
      </c>
      <c r="D62" t="s">
        <v>76</v>
      </c>
      <c r="E62" t="s">
        <v>1173</v>
      </c>
      <c r="F62" t="s">
        <v>1174</v>
      </c>
      <c r="G62" t="s">
        <v>1065</v>
      </c>
      <c r="H62" t="s">
        <v>1174</v>
      </c>
    </row>
    <row r="63" spans="1:8" x14ac:dyDescent="0.25">
      <c r="A63" t="s">
        <v>859</v>
      </c>
      <c r="B63" t="s">
        <v>857</v>
      </c>
      <c r="C63" t="s">
        <v>859</v>
      </c>
      <c r="D63" t="s">
        <v>859</v>
      </c>
      <c r="E63" t="s">
        <v>1193</v>
      </c>
      <c r="F63" t="s">
        <v>1194</v>
      </c>
      <c r="G63" t="s">
        <v>1081</v>
      </c>
      <c r="H63" t="s">
        <v>1232</v>
      </c>
    </row>
    <row r="64" spans="1:8" x14ac:dyDescent="0.25">
      <c r="A64" t="s">
        <v>169</v>
      </c>
      <c r="B64" t="s">
        <v>167</v>
      </c>
      <c r="C64" t="s">
        <v>169</v>
      </c>
      <c r="D64" t="s">
        <v>169</v>
      </c>
      <c r="E64" t="s">
        <v>1179</v>
      </c>
      <c r="F64" t="s">
        <v>1180</v>
      </c>
      <c r="G64" t="s">
        <v>1069</v>
      </c>
      <c r="H64" t="s">
        <v>1220</v>
      </c>
    </row>
    <row r="65" spans="1:8" x14ac:dyDescent="0.25">
      <c r="A65" t="s">
        <v>94</v>
      </c>
      <c r="B65" t="s">
        <v>92</v>
      </c>
      <c r="C65" t="s">
        <v>94</v>
      </c>
      <c r="D65" t="s">
        <v>94</v>
      </c>
      <c r="E65" t="s">
        <v>1187</v>
      </c>
      <c r="F65" t="s">
        <v>1188</v>
      </c>
      <c r="G65" t="s">
        <v>1066</v>
      </c>
      <c r="H65" t="s">
        <v>1210</v>
      </c>
    </row>
    <row r="66" spans="1:8" x14ac:dyDescent="0.25">
      <c r="A66" t="s">
        <v>937</v>
      </c>
      <c r="B66" t="s">
        <v>935</v>
      </c>
      <c r="C66" t="s">
        <v>937</v>
      </c>
      <c r="D66" t="s">
        <v>937</v>
      </c>
      <c r="E66" t="s">
        <v>1182</v>
      </c>
      <c r="F66" t="s">
        <v>1226</v>
      </c>
      <c r="G66" t="s">
        <v>1064</v>
      </c>
      <c r="H66" t="s">
        <v>1205</v>
      </c>
    </row>
    <row r="67" spans="1:8" x14ac:dyDescent="0.25">
      <c r="A67" t="s">
        <v>451</v>
      </c>
      <c r="B67" t="s">
        <v>449</v>
      </c>
      <c r="C67" t="s">
        <v>451</v>
      </c>
      <c r="D67" t="s">
        <v>451</v>
      </c>
      <c r="E67" t="s">
        <v>1184</v>
      </c>
      <c r="F67" t="s">
        <v>1185</v>
      </c>
      <c r="G67" t="s">
        <v>1077</v>
      </c>
      <c r="H67" t="s">
        <v>1216</v>
      </c>
    </row>
    <row r="68" spans="1:8" x14ac:dyDescent="0.25">
      <c r="A68" t="s">
        <v>613</v>
      </c>
      <c r="B68" t="s">
        <v>611</v>
      </c>
      <c r="C68" t="s">
        <v>613</v>
      </c>
      <c r="D68" t="s">
        <v>613</v>
      </c>
      <c r="E68" t="s">
        <v>1193</v>
      </c>
      <c r="F68" t="s">
        <v>1194</v>
      </c>
      <c r="G68" t="s">
        <v>1081</v>
      </c>
      <c r="H68" t="s">
        <v>1232</v>
      </c>
    </row>
    <row r="69" spans="1:8" x14ac:dyDescent="0.25">
      <c r="A69" t="s">
        <v>97</v>
      </c>
      <c r="B69" t="s">
        <v>95</v>
      </c>
      <c r="C69" t="s">
        <v>97</v>
      </c>
      <c r="D69" t="s">
        <v>97</v>
      </c>
      <c r="E69" t="s">
        <v>1187</v>
      </c>
      <c r="F69" t="s">
        <v>1188</v>
      </c>
      <c r="G69" t="s">
        <v>1066</v>
      </c>
      <c r="H69" t="s">
        <v>1210</v>
      </c>
    </row>
    <row r="70" spans="1:8" x14ac:dyDescent="0.25">
      <c r="A70" t="s">
        <v>358</v>
      </c>
      <c r="B70" t="s">
        <v>356</v>
      </c>
      <c r="C70" t="s">
        <v>358</v>
      </c>
      <c r="D70" t="s">
        <v>358</v>
      </c>
      <c r="E70" t="s">
        <v>1176</v>
      </c>
      <c r="F70" t="s">
        <v>1177</v>
      </c>
      <c r="G70" t="s">
        <v>1076</v>
      </c>
      <c r="H70" t="s">
        <v>1219</v>
      </c>
    </row>
    <row r="71" spans="1:8" x14ac:dyDescent="0.25">
      <c r="A71" t="s">
        <v>1036</v>
      </c>
      <c r="B71" t="s">
        <v>1034</v>
      </c>
      <c r="C71" t="s">
        <v>1309</v>
      </c>
      <c r="D71" t="s">
        <v>1308</v>
      </c>
      <c r="E71" t="s">
        <v>1176</v>
      </c>
      <c r="F71" t="s">
        <v>1177</v>
      </c>
      <c r="G71" t="s">
        <v>1075</v>
      </c>
      <c r="H71" t="s">
        <v>1239</v>
      </c>
    </row>
    <row r="72" spans="1:8" x14ac:dyDescent="0.25">
      <c r="A72" t="s">
        <v>916</v>
      </c>
      <c r="B72" t="s">
        <v>914</v>
      </c>
      <c r="C72" t="s">
        <v>916</v>
      </c>
      <c r="D72" t="s">
        <v>916</v>
      </c>
      <c r="E72" t="s">
        <v>1187</v>
      </c>
      <c r="F72" t="s">
        <v>1188</v>
      </c>
      <c r="G72" t="s">
        <v>1067</v>
      </c>
      <c r="H72" t="s">
        <v>1225</v>
      </c>
    </row>
    <row r="73" spans="1:8" x14ac:dyDescent="0.25">
      <c r="A73" t="s">
        <v>172</v>
      </c>
      <c r="B73" t="s">
        <v>170</v>
      </c>
      <c r="C73" t="s">
        <v>172</v>
      </c>
      <c r="D73" t="s">
        <v>172</v>
      </c>
      <c r="E73" t="s">
        <v>1179</v>
      </c>
      <c r="F73" t="s">
        <v>1180</v>
      </c>
      <c r="G73" t="s">
        <v>1073</v>
      </c>
      <c r="H73" t="s">
        <v>1217</v>
      </c>
    </row>
    <row r="74" spans="1:8" x14ac:dyDescent="0.25">
      <c r="A74" t="s">
        <v>175</v>
      </c>
      <c r="B74" t="s">
        <v>173</v>
      </c>
      <c r="C74" t="s">
        <v>175</v>
      </c>
      <c r="D74" t="s">
        <v>175</v>
      </c>
      <c r="E74" t="s">
        <v>1179</v>
      </c>
      <c r="F74" t="s">
        <v>1180</v>
      </c>
      <c r="G74" t="s">
        <v>1070</v>
      </c>
      <c r="H74" t="s">
        <v>1223</v>
      </c>
    </row>
    <row r="75" spans="1:8" x14ac:dyDescent="0.25">
      <c r="A75" t="s">
        <v>619</v>
      </c>
      <c r="B75" t="s">
        <v>617</v>
      </c>
      <c r="C75" t="s">
        <v>619</v>
      </c>
      <c r="D75" t="s">
        <v>619</v>
      </c>
      <c r="E75" t="s">
        <v>1193</v>
      </c>
      <c r="F75" t="s">
        <v>1194</v>
      </c>
      <c r="G75" t="s">
        <v>1084</v>
      </c>
      <c r="H75" t="s">
        <v>1231</v>
      </c>
    </row>
    <row r="76" spans="1:8" x14ac:dyDescent="0.25">
      <c r="A76" t="s">
        <v>454</v>
      </c>
      <c r="B76" t="s">
        <v>452</v>
      </c>
      <c r="C76" t="s">
        <v>454</v>
      </c>
      <c r="D76" t="s">
        <v>454</v>
      </c>
      <c r="E76" t="s">
        <v>1184</v>
      </c>
      <c r="F76" t="s">
        <v>1185</v>
      </c>
      <c r="G76" t="s">
        <v>1101</v>
      </c>
      <c r="H76" t="s">
        <v>1211</v>
      </c>
    </row>
    <row r="77" spans="1:8" x14ac:dyDescent="0.25">
      <c r="A77" t="s">
        <v>445</v>
      </c>
      <c r="B77" t="s">
        <v>443</v>
      </c>
      <c r="C77" t="s">
        <v>445</v>
      </c>
      <c r="D77" t="s">
        <v>445</v>
      </c>
      <c r="E77" t="s">
        <v>1176</v>
      </c>
      <c r="F77" t="s">
        <v>1177</v>
      </c>
      <c r="G77" t="s">
        <v>1075</v>
      </c>
      <c r="H77" t="s">
        <v>1239</v>
      </c>
    </row>
    <row r="78" spans="1:8" x14ac:dyDescent="0.25">
      <c r="A78" t="s">
        <v>874</v>
      </c>
      <c r="B78" t="s">
        <v>872</v>
      </c>
      <c r="C78" t="s">
        <v>874</v>
      </c>
      <c r="D78" t="s">
        <v>874</v>
      </c>
      <c r="E78" t="s">
        <v>1193</v>
      </c>
      <c r="F78" t="s">
        <v>1194</v>
      </c>
      <c r="G78" t="s">
        <v>1082</v>
      </c>
      <c r="H78" t="s">
        <v>1213</v>
      </c>
    </row>
    <row r="79" spans="1:8" x14ac:dyDescent="0.25">
      <c r="A79" t="s">
        <v>268</v>
      </c>
      <c r="B79" t="s">
        <v>266</v>
      </c>
      <c r="C79" t="s">
        <v>268</v>
      </c>
      <c r="D79" t="s">
        <v>268</v>
      </c>
      <c r="E79" t="s">
        <v>1190</v>
      </c>
      <c r="F79" t="s">
        <v>1191</v>
      </c>
      <c r="G79" t="s">
        <v>1093</v>
      </c>
      <c r="H79" t="s">
        <v>1191</v>
      </c>
    </row>
    <row r="80" spans="1:8" x14ac:dyDescent="0.25">
      <c r="A80" t="s">
        <v>178</v>
      </c>
      <c r="B80" t="s">
        <v>176</v>
      </c>
      <c r="C80" t="s">
        <v>178</v>
      </c>
      <c r="D80" t="s">
        <v>178</v>
      </c>
      <c r="E80" t="s">
        <v>1179</v>
      </c>
      <c r="F80" t="s">
        <v>1180</v>
      </c>
      <c r="G80" t="s">
        <v>1073</v>
      </c>
      <c r="H80" t="s">
        <v>1217</v>
      </c>
    </row>
    <row r="81" spans="1:8" x14ac:dyDescent="0.25">
      <c r="A81" t="s">
        <v>181</v>
      </c>
      <c r="B81" t="s">
        <v>179</v>
      </c>
      <c r="C81" t="s">
        <v>181</v>
      </c>
      <c r="D81" t="s">
        <v>181</v>
      </c>
      <c r="E81" t="s">
        <v>1179</v>
      </c>
      <c r="F81" t="s">
        <v>1180</v>
      </c>
      <c r="G81" t="s">
        <v>1073</v>
      </c>
      <c r="H81" t="s">
        <v>1217</v>
      </c>
    </row>
    <row r="82" spans="1:8" x14ac:dyDescent="0.25">
      <c r="A82" t="s">
        <v>868</v>
      </c>
      <c r="B82" t="s">
        <v>866</v>
      </c>
      <c r="C82" t="s">
        <v>868</v>
      </c>
      <c r="D82" t="s">
        <v>1307</v>
      </c>
      <c r="E82" t="s">
        <v>1198</v>
      </c>
      <c r="F82" t="s">
        <v>1199</v>
      </c>
      <c r="G82" t="s">
        <v>1085</v>
      </c>
      <c r="H82" t="s">
        <v>1229</v>
      </c>
    </row>
    <row r="83" spans="1:8" x14ac:dyDescent="0.25">
      <c r="A83" t="s">
        <v>361</v>
      </c>
      <c r="B83" t="s">
        <v>359</v>
      </c>
      <c r="C83" t="s">
        <v>361</v>
      </c>
      <c r="D83" t="s">
        <v>1306</v>
      </c>
      <c r="E83" t="s">
        <v>1176</v>
      </c>
      <c r="F83" t="s">
        <v>1177</v>
      </c>
      <c r="G83" t="s">
        <v>1076</v>
      </c>
      <c r="H83" t="s">
        <v>1219</v>
      </c>
    </row>
    <row r="84" spans="1:8" x14ac:dyDescent="0.25">
      <c r="A84" t="s">
        <v>184</v>
      </c>
      <c r="B84" t="s">
        <v>182</v>
      </c>
      <c r="C84" t="s">
        <v>184</v>
      </c>
      <c r="D84" t="s">
        <v>184</v>
      </c>
      <c r="E84" t="s">
        <v>1179</v>
      </c>
      <c r="F84" t="s">
        <v>1180</v>
      </c>
      <c r="G84" t="s">
        <v>1071</v>
      </c>
      <c r="H84" t="s">
        <v>1230</v>
      </c>
    </row>
    <row r="85" spans="1:8" x14ac:dyDescent="0.25">
      <c r="A85" t="s">
        <v>286</v>
      </c>
      <c r="B85" t="s">
        <v>284</v>
      </c>
      <c r="C85" t="s">
        <v>286</v>
      </c>
      <c r="D85" t="s">
        <v>286</v>
      </c>
      <c r="E85" t="s">
        <v>1196</v>
      </c>
      <c r="F85" t="s">
        <v>310</v>
      </c>
      <c r="G85" t="s">
        <v>1072</v>
      </c>
      <c r="H85" t="s">
        <v>271</v>
      </c>
    </row>
    <row r="86" spans="1:8" x14ac:dyDescent="0.25">
      <c r="A86" t="s">
        <v>1033</v>
      </c>
      <c r="B86" t="s">
        <v>1031</v>
      </c>
      <c r="C86" t="s">
        <v>1033</v>
      </c>
      <c r="D86" t="s">
        <v>1033</v>
      </c>
      <c r="E86" t="s">
        <v>1204</v>
      </c>
      <c r="F86" t="s">
        <v>21</v>
      </c>
      <c r="G86" t="s">
        <v>1086</v>
      </c>
      <c r="H86" t="s">
        <v>21</v>
      </c>
    </row>
    <row r="87" spans="1:8" x14ac:dyDescent="0.25">
      <c r="A87" t="s">
        <v>622</v>
      </c>
      <c r="B87" t="s">
        <v>620</v>
      </c>
      <c r="C87" t="s">
        <v>622</v>
      </c>
      <c r="D87" t="s">
        <v>622</v>
      </c>
      <c r="E87" t="s">
        <v>1193</v>
      </c>
      <c r="F87" t="s">
        <v>1194</v>
      </c>
      <c r="G87" t="s">
        <v>1081</v>
      </c>
      <c r="H87" t="s">
        <v>1232</v>
      </c>
    </row>
    <row r="88" spans="1:8" x14ac:dyDescent="0.25">
      <c r="A88" t="s">
        <v>958</v>
      </c>
      <c r="B88" t="s">
        <v>956</v>
      </c>
      <c r="C88" t="s">
        <v>958</v>
      </c>
      <c r="D88" t="s">
        <v>1305</v>
      </c>
      <c r="E88" t="s">
        <v>1198</v>
      </c>
      <c r="F88" t="s">
        <v>1199</v>
      </c>
      <c r="G88" t="s">
        <v>1083</v>
      </c>
      <c r="H88" t="s">
        <v>1235</v>
      </c>
    </row>
    <row r="89" spans="1:8" x14ac:dyDescent="0.25">
      <c r="A89" t="s">
        <v>625</v>
      </c>
      <c r="B89" t="s">
        <v>623</v>
      </c>
      <c r="C89" t="s">
        <v>625</v>
      </c>
      <c r="D89" t="s">
        <v>625</v>
      </c>
      <c r="E89" t="s">
        <v>1193</v>
      </c>
      <c r="F89" t="s">
        <v>1194</v>
      </c>
      <c r="G89" t="s">
        <v>1081</v>
      </c>
      <c r="H89" t="s">
        <v>1232</v>
      </c>
    </row>
    <row r="90" spans="1:8" x14ac:dyDescent="0.25">
      <c r="A90" t="s">
        <v>187</v>
      </c>
      <c r="B90" t="s">
        <v>185</v>
      </c>
      <c r="C90" t="s">
        <v>187</v>
      </c>
      <c r="D90" t="s">
        <v>187</v>
      </c>
      <c r="E90" t="s">
        <v>1179</v>
      </c>
      <c r="F90" t="s">
        <v>1180</v>
      </c>
      <c r="G90" t="s">
        <v>1094</v>
      </c>
      <c r="H90" t="s">
        <v>1254</v>
      </c>
    </row>
    <row r="91" spans="1:8" x14ac:dyDescent="0.25">
      <c r="A91" t="s">
        <v>79</v>
      </c>
      <c r="B91" t="s">
        <v>77</v>
      </c>
      <c r="C91" t="s">
        <v>79</v>
      </c>
      <c r="D91" t="s">
        <v>79</v>
      </c>
      <c r="E91" t="s">
        <v>1173</v>
      </c>
      <c r="F91" t="s">
        <v>1174</v>
      </c>
      <c r="G91" t="s">
        <v>1065</v>
      </c>
      <c r="H91" t="s">
        <v>1174</v>
      </c>
    </row>
    <row r="92" spans="1:8" x14ac:dyDescent="0.25">
      <c r="A92" t="s">
        <v>364</v>
      </c>
      <c r="B92" t="s">
        <v>362</v>
      </c>
      <c r="C92" t="s">
        <v>364</v>
      </c>
      <c r="D92" t="s">
        <v>364</v>
      </c>
      <c r="E92" t="s">
        <v>1176</v>
      </c>
      <c r="F92" t="s">
        <v>1177</v>
      </c>
      <c r="G92" t="s">
        <v>1075</v>
      </c>
      <c r="H92" t="s">
        <v>1239</v>
      </c>
    </row>
    <row r="93" spans="1:8" x14ac:dyDescent="0.25">
      <c r="A93" t="s">
        <v>100</v>
      </c>
      <c r="B93" t="s">
        <v>98</v>
      </c>
      <c r="C93" t="s">
        <v>100</v>
      </c>
      <c r="D93" t="s">
        <v>100</v>
      </c>
      <c r="E93" t="s">
        <v>1187</v>
      </c>
      <c r="F93" t="s">
        <v>1188</v>
      </c>
      <c r="G93" t="s">
        <v>1067</v>
      </c>
      <c r="H93" t="s">
        <v>1225</v>
      </c>
    </row>
    <row r="94" spans="1:8" x14ac:dyDescent="0.25">
      <c r="A94" t="s">
        <v>190</v>
      </c>
      <c r="B94" t="s">
        <v>188</v>
      </c>
      <c r="C94" t="s">
        <v>190</v>
      </c>
      <c r="D94" t="s">
        <v>190</v>
      </c>
      <c r="E94" t="s">
        <v>1179</v>
      </c>
      <c r="F94" t="s">
        <v>1180</v>
      </c>
      <c r="G94" t="s">
        <v>1068</v>
      </c>
      <c r="H94" t="s">
        <v>1212</v>
      </c>
    </row>
    <row r="95" spans="1:8" x14ac:dyDescent="0.25">
      <c r="A95" t="s">
        <v>193</v>
      </c>
      <c r="B95" t="s">
        <v>191</v>
      </c>
      <c r="C95" t="s">
        <v>193</v>
      </c>
      <c r="D95" t="s">
        <v>193</v>
      </c>
      <c r="E95" t="s">
        <v>1179</v>
      </c>
      <c r="F95" t="s">
        <v>1180</v>
      </c>
      <c r="G95" t="s">
        <v>1094</v>
      </c>
      <c r="H95" t="s">
        <v>1254</v>
      </c>
    </row>
    <row r="96" spans="1:8" x14ac:dyDescent="0.25">
      <c r="A96" t="s">
        <v>628</v>
      </c>
      <c r="B96" t="s">
        <v>626</v>
      </c>
      <c r="C96" t="s">
        <v>628</v>
      </c>
      <c r="D96" t="s">
        <v>1304</v>
      </c>
      <c r="E96" t="s">
        <v>1193</v>
      </c>
      <c r="F96" t="s">
        <v>1194</v>
      </c>
      <c r="G96" t="s">
        <v>1082</v>
      </c>
      <c r="H96" t="s">
        <v>1213</v>
      </c>
    </row>
    <row r="97" spans="1:8" x14ac:dyDescent="0.25">
      <c r="A97" t="s">
        <v>982</v>
      </c>
      <c r="B97" t="s">
        <v>980</v>
      </c>
      <c r="C97" t="s">
        <v>1303</v>
      </c>
      <c r="D97" t="s">
        <v>1302</v>
      </c>
      <c r="E97" t="s">
        <v>1182</v>
      </c>
      <c r="F97" t="s">
        <v>1226</v>
      </c>
      <c r="G97" t="s">
        <v>1064</v>
      </c>
      <c r="H97" t="s">
        <v>1205</v>
      </c>
    </row>
    <row r="98" spans="1:8" x14ac:dyDescent="0.25">
      <c r="A98" t="s">
        <v>631</v>
      </c>
      <c r="B98" t="s">
        <v>629</v>
      </c>
      <c r="C98" t="s">
        <v>631</v>
      </c>
      <c r="D98" t="s">
        <v>631</v>
      </c>
      <c r="E98" t="s">
        <v>1193</v>
      </c>
      <c r="F98" t="s">
        <v>1194</v>
      </c>
      <c r="G98" t="s">
        <v>1082</v>
      </c>
      <c r="H98" t="s">
        <v>1213</v>
      </c>
    </row>
    <row r="99" spans="1:8" x14ac:dyDescent="0.25">
      <c r="A99" t="s">
        <v>910</v>
      </c>
      <c r="B99" t="s">
        <v>908</v>
      </c>
      <c r="C99" t="s">
        <v>910</v>
      </c>
      <c r="D99" t="s">
        <v>1301</v>
      </c>
      <c r="E99" t="s">
        <v>1193</v>
      </c>
      <c r="F99" t="s">
        <v>1194</v>
      </c>
      <c r="G99" t="s">
        <v>1081</v>
      </c>
      <c r="H99" t="s">
        <v>1232</v>
      </c>
    </row>
    <row r="100" spans="1:8" x14ac:dyDescent="0.25">
      <c r="A100" t="s">
        <v>808</v>
      </c>
      <c r="B100" t="s">
        <v>806</v>
      </c>
      <c r="C100" t="s">
        <v>808</v>
      </c>
      <c r="D100" t="s">
        <v>1300</v>
      </c>
      <c r="E100" t="s">
        <v>1193</v>
      </c>
      <c r="F100" t="s">
        <v>1194</v>
      </c>
      <c r="G100" t="s">
        <v>1081</v>
      </c>
      <c r="H100" t="s">
        <v>1232</v>
      </c>
    </row>
    <row r="101" spans="1:8" x14ac:dyDescent="0.25">
      <c r="A101" t="s">
        <v>730</v>
      </c>
      <c r="B101" t="s">
        <v>728</v>
      </c>
      <c r="C101" t="s">
        <v>730</v>
      </c>
      <c r="D101" t="s">
        <v>730</v>
      </c>
      <c r="E101" t="s">
        <v>1198</v>
      </c>
      <c r="F101" t="s">
        <v>1199</v>
      </c>
      <c r="G101" t="s">
        <v>1085</v>
      </c>
      <c r="H101" t="s">
        <v>1229</v>
      </c>
    </row>
    <row r="102" spans="1:8" x14ac:dyDescent="0.25">
      <c r="A102" t="s">
        <v>634</v>
      </c>
      <c r="B102" t="s">
        <v>632</v>
      </c>
      <c r="C102" t="s">
        <v>1299</v>
      </c>
      <c r="D102" t="s">
        <v>1299</v>
      </c>
      <c r="E102" t="s">
        <v>1193</v>
      </c>
      <c r="F102" t="s">
        <v>1194</v>
      </c>
      <c r="G102" t="s">
        <v>1084</v>
      </c>
      <c r="H102" t="s">
        <v>1231</v>
      </c>
    </row>
    <row r="103" spans="1:8" x14ac:dyDescent="0.25">
      <c r="A103" t="s">
        <v>970</v>
      </c>
      <c r="B103" t="s">
        <v>968</v>
      </c>
      <c r="C103" t="s">
        <v>970</v>
      </c>
      <c r="D103" t="s">
        <v>1298</v>
      </c>
      <c r="E103" t="s">
        <v>1184</v>
      </c>
      <c r="F103" t="s">
        <v>1185</v>
      </c>
      <c r="G103" t="s">
        <v>1130</v>
      </c>
      <c r="H103" t="s">
        <v>970</v>
      </c>
    </row>
    <row r="104" spans="1:8" x14ac:dyDescent="0.25">
      <c r="A104" t="s">
        <v>556</v>
      </c>
      <c r="B104" t="s">
        <v>554</v>
      </c>
      <c r="C104" t="s">
        <v>556</v>
      </c>
      <c r="D104" t="s">
        <v>556</v>
      </c>
      <c r="E104" t="s">
        <v>1201</v>
      </c>
      <c r="F104" t="s">
        <v>1202</v>
      </c>
      <c r="G104" t="s">
        <v>1079</v>
      </c>
      <c r="H104" t="s">
        <v>1202</v>
      </c>
    </row>
    <row r="105" spans="1:8" x14ac:dyDescent="0.25">
      <c r="A105" t="s">
        <v>637</v>
      </c>
      <c r="B105" t="s">
        <v>635</v>
      </c>
      <c r="C105" t="s">
        <v>637</v>
      </c>
      <c r="D105" t="s">
        <v>637</v>
      </c>
      <c r="E105" t="s">
        <v>1193</v>
      </c>
      <c r="F105" t="s">
        <v>1194</v>
      </c>
      <c r="G105" t="s">
        <v>1084</v>
      </c>
      <c r="H105" t="s">
        <v>1231</v>
      </c>
    </row>
    <row r="106" spans="1:8" x14ac:dyDescent="0.25">
      <c r="A106" t="s">
        <v>985</v>
      </c>
      <c r="B106" t="s">
        <v>983</v>
      </c>
      <c r="C106" t="s">
        <v>1297</v>
      </c>
      <c r="D106" t="s">
        <v>1297</v>
      </c>
      <c r="E106" t="s">
        <v>1176</v>
      </c>
      <c r="F106" t="s">
        <v>1177</v>
      </c>
      <c r="G106" t="s">
        <v>1076</v>
      </c>
      <c r="H106" t="s">
        <v>1219</v>
      </c>
    </row>
    <row r="107" spans="1:8" x14ac:dyDescent="0.25">
      <c r="A107" t="s">
        <v>457</v>
      </c>
      <c r="B107" t="s">
        <v>455</v>
      </c>
      <c r="C107" t="s">
        <v>457</v>
      </c>
      <c r="D107" t="s">
        <v>457</v>
      </c>
      <c r="E107" t="s">
        <v>1184</v>
      </c>
      <c r="F107" t="s">
        <v>1185</v>
      </c>
      <c r="G107" t="s">
        <v>1090</v>
      </c>
      <c r="H107" t="s">
        <v>1265</v>
      </c>
    </row>
    <row r="108" spans="1:8" x14ac:dyDescent="0.25">
      <c r="A108" t="s">
        <v>460</v>
      </c>
      <c r="B108" t="s">
        <v>458</v>
      </c>
      <c r="C108" t="s">
        <v>460</v>
      </c>
      <c r="D108" t="s">
        <v>460</v>
      </c>
      <c r="E108" t="s">
        <v>1184</v>
      </c>
      <c r="F108" t="s">
        <v>1185</v>
      </c>
      <c r="G108" t="s">
        <v>1087</v>
      </c>
      <c r="H108" t="s">
        <v>1214</v>
      </c>
    </row>
    <row r="109" spans="1:8" x14ac:dyDescent="0.25">
      <c r="A109" t="s">
        <v>1296</v>
      </c>
      <c r="B109" t="s">
        <v>461</v>
      </c>
      <c r="C109" t="s">
        <v>463</v>
      </c>
      <c r="D109" t="s">
        <v>1295</v>
      </c>
      <c r="E109" t="s">
        <v>1184</v>
      </c>
      <c r="F109" t="s">
        <v>1185</v>
      </c>
      <c r="G109" t="s">
        <v>1077</v>
      </c>
      <c r="H109" t="s">
        <v>1216</v>
      </c>
    </row>
    <row r="110" spans="1:8" x14ac:dyDescent="0.25">
      <c r="A110" t="s">
        <v>1294</v>
      </c>
      <c r="B110" t="s">
        <v>19</v>
      </c>
      <c r="C110" t="s">
        <v>21</v>
      </c>
      <c r="D110" t="s">
        <v>21</v>
      </c>
      <c r="E110" t="s">
        <v>1204</v>
      </c>
      <c r="F110" t="s">
        <v>21</v>
      </c>
      <c r="G110" t="s">
        <v>1086</v>
      </c>
      <c r="H110" t="s">
        <v>21</v>
      </c>
    </row>
    <row r="111" spans="1:8" x14ac:dyDescent="0.25">
      <c r="A111" t="s">
        <v>889</v>
      </c>
      <c r="B111" t="s">
        <v>887</v>
      </c>
      <c r="C111" t="s">
        <v>889</v>
      </c>
      <c r="D111" t="s">
        <v>1293</v>
      </c>
      <c r="E111" t="s">
        <v>1198</v>
      </c>
      <c r="F111" t="s">
        <v>1199</v>
      </c>
      <c r="G111" t="s">
        <v>1083</v>
      </c>
      <c r="H111" t="s">
        <v>1235</v>
      </c>
    </row>
    <row r="112" spans="1:8" x14ac:dyDescent="0.25">
      <c r="A112" t="s">
        <v>103</v>
      </c>
      <c r="B112" t="s">
        <v>101</v>
      </c>
      <c r="C112" t="s">
        <v>103</v>
      </c>
      <c r="D112" t="s">
        <v>103</v>
      </c>
      <c r="E112" t="s">
        <v>1187</v>
      </c>
      <c r="F112" t="s">
        <v>1188</v>
      </c>
      <c r="G112" t="s">
        <v>1067</v>
      </c>
      <c r="H112" t="s">
        <v>1225</v>
      </c>
    </row>
    <row r="113" spans="1:8" x14ac:dyDescent="0.25">
      <c r="A113" t="s">
        <v>367</v>
      </c>
      <c r="B113" t="s">
        <v>365</v>
      </c>
      <c r="C113" t="s">
        <v>367</v>
      </c>
      <c r="D113" t="s">
        <v>367</v>
      </c>
      <c r="E113" t="s">
        <v>1176</v>
      </c>
      <c r="F113" t="s">
        <v>1177</v>
      </c>
      <c r="G113" t="s">
        <v>1076</v>
      </c>
      <c r="H113" t="s">
        <v>1219</v>
      </c>
    </row>
    <row r="114" spans="1:8" x14ac:dyDescent="0.25">
      <c r="A114" t="s">
        <v>370</v>
      </c>
      <c r="B114" t="s">
        <v>368</v>
      </c>
      <c r="C114" t="s">
        <v>370</v>
      </c>
      <c r="D114" t="s">
        <v>370</v>
      </c>
      <c r="E114" t="s">
        <v>1176</v>
      </c>
      <c r="F114" t="s">
        <v>1177</v>
      </c>
      <c r="G114" t="s">
        <v>1076</v>
      </c>
      <c r="H114" t="s">
        <v>1219</v>
      </c>
    </row>
    <row r="115" spans="1:8" x14ac:dyDescent="0.25">
      <c r="A115" t="s">
        <v>811</v>
      </c>
      <c r="B115" t="s">
        <v>809</v>
      </c>
      <c r="C115" t="s">
        <v>811</v>
      </c>
      <c r="D115" t="s">
        <v>811</v>
      </c>
      <c r="E115" t="s">
        <v>1193</v>
      </c>
      <c r="F115" t="s">
        <v>1194</v>
      </c>
      <c r="G115" t="s">
        <v>1082</v>
      </c>
      <c r="H115" t="s">
        <v>1213</v>
      </c>
    </row>
    <row r="116" spans="1:8" x14ac:dyDescent="0.25">
      <c r="A116" t="s">
        <v>106</v>
      </c>
      <c r="B116" t="s">
        <v>104</v>
      </c>
      <c r="C116" t="s">
        <v>106</v>
      </c>
      <c r="D116" t="s">
        <v>106</v>
      </c>
      <c r="E116" t="s">
        <v>1187</v>
      </c>
      <c r="F116" t="s">
        <v>1188</v>
      </c>
      <c r="G116" t="s">
        <v>1066</v>
      </c>
      <c r="H116" t="s">
        <v>1210</v>
      </c>
    </row>
    <row r="117" spans="1:8" x14ac:dyDescent="0.25">
      <c r="A117" t="s">
        <v>196</v>
      </c>
      <c r="B117" t="s">
        <v>194</v>
      </c>
      <c r="C117" t="s">
        <v>196</v>
      </c>
      <c r="D117" t="s">
        <v>196</v>
      </c>
      <c r="E117" t="s">
        <v>1179</v>
      </c>
      <c r="F117" t="s">
        <v>1180</v>
      </c>
      <c r="G117" t="s">
        <v>1094</v>
      </c>
      <c r="H117" t="s">
        <v>1254</v>
      </c>
    </row>
    <row r="118" spans="1:8" x14ac:dyDescent="0.25">
      <c r="A118" t="s">
        <v>466</v>
      </c>
      <c r="B118" t="s">
        <v>464</v>
      </c>
      <c r="C118" t="s">
        <v>466</v>
      </c>
      <c r="D118" t="s">
        <v>1292</v>
      </c>
      <c r="E118" t="s">
        <v>1184</v>
      </c>
      <c r="F118" t="s">
        <v>1185</v>
      </c>
      <c r="G118" t="s">
        <v>1101</v>
      </c>
      <c r="H118" t="s">
        <v>1211</v>
      </c>
    </row>
    <row r="119" spans="1:8" x14ac:dyDescent="0.25">
      <c r="A119" t="s">
        <v>43</v>
      </c>
      <c r="B119" t="s">
        <v>41</v>
      </c>
      <c r="C119" t="s">
        <v>43</v>
      </c>
      <c r="D119" t="s">
        <v>43</v>
      </c>
      <c r="E119" t="s">
        <v>1182</v>
      </c>
      <c r="F119" t="s">
        <v>1226</v>
      </c>
      <c r="G119" t="s">
        <v>1064</v>
      </c>
      <c r="H119" t="s">
        <v>1205</v>
      </c>
    </row>
    <row r="120" spans="1:8" x14ac:dyDescent="0.25">
      <c r="A120" t="s">
        <v>199</v>
      </c>
      <c r="B120" t="s">
        <v>197</v>
      </c>
      <c r="C120" t="s">
        <v>199</v>
      </c>
      <c r="D120" t="s">
        <v>199</v>
      </c>
      <c r="E120" t="s">
        <v>1179</v>
      </c>
      <c r="F120" t="s">
        <v>1180</v>
      </c>
      <c r="G120" t="s">
        <v>1094</v>
      </c>
      <c r="H120" t="s">
        <v>1254</v>
      </c>
    </row>
    <row r="121" spans="1:8" x14ac:dyDescent="0.25">
      <c r="A121" t="s">
        <v>373</v>
      </c>
      <c r="B121" t="s">
        <v>371</v>
      </c>
      <c r="C121" t="s">
        <v>373</v>
      </c>
      <c r="D121" t="s">
        <v>373</v>
      </c>
      <c r="E121" t="s">
        <v>1176</v>
      </c>
      <c r="F121" t="s">
        <v>1177</v>
      </c>
      <c r="G121" t="s">
        <v>1076</v>
      </c>
      <c r="H121" t="s">
        <v>1219</v>
      </c>
    </row>
    <row r="122" spans="1:8" x14ac:dyDescent="0.25">
      <c r="A122" t="s">
        <v>376</v>
      </c>
      <c r="B122" t="s">
        <v>374</v>
      </c>
      <c r="C122" t="s">
        <v>376</v>
      </c>
      <c r="D122" t="s">
        <v>376</v>
      </c>
      <c r="E122" t="s">
        <v>1176</v>
      </c>
      <c r="F122" t="s">
        <v>1177</v>
      </c>
      <c r="G122" t="s">
        <v>1076</v>
      </c>
      <c r="H122" t="s">
        <v>1219</v>
      </c>
    </row>
    <row r="123" spans="1:8" x14ac:dyDescent="0.25">
      <c r="A123" t="s">
        <v>202</v>
      </c>
      <c r="B123" t="s">
        <v>200</v>
      </c>
      <c r="C123" t="s">
        <v>202</v>
      </c>
      <c r="D123" t="s">
        <v>202</v>
      </c>
      <c r="E123" t="s">
        <v>1179</v>
      </c>
      <c r="F123" t="s">
        <v>1180</v>
      </c>
      <c r="G123" t="s">
        <v>1068</v>
      </c>
      <c r="H123" t="s">
        <v>1212</v>
      </c>
    </row>
    <row r="124" spans="1:8" x14ac:dyDescent="0.25">
      <c r="A124" t="s">
        <v>46</v>
      </c>
      <c r="B124" t="s">
        <v>44</v>
      </c>
      <c r="C124" t="s">
        <v>46</v>
      </c>
      <c r="D124" t="s">
        <v>46</v>
      </c>
      <c r="E124" t="s">
        <v>1182</v>
      </c>
      <c r="F124" t="s">
        <v>1226</v>
      </c>
      <c r="G124" t="s">
        <v>1064</v>
      </c>
      <c r="H124" t="s">
        <v>1205</v>
      </c>
    </row>
    <row r="125" spans="1:8" x14ac:dyDescent="0.25">
      <c r="A125" t="s">
        <v>733</v>
      </c>
      <c r="B125" t="s">
        <v>731</v>
      </c>
      <c r="C125" t="s">
        <v>733</v>
      </c>
      <c r="D125" t="s">
        <v>733</v>
      </c>
      <c r="E125" t="s">
        <v>1198</v>
      </c>
      <c r="F125" t="s">
        <v>1199</v>
      </c>
      <c r="G125" t="s">
        <v>1083</v>
      </c>
      <c r="H125" t="s">
        <v>1235</v>
      </c>
    </row>
    <row r="126" spans="1:8" x14ac:dyDescent="0.25">
      <c r="A126" t="s">
        <v>814</v>
      </c>
      <c r="B126" t="s">
        <v>812</v>
      </c>
      <c r="C126" t="s">
        <v>814</v>
      </c>
      <c r="D126" t="s">
        <v>1291</v>
      </c>
      <c r="E126" t="s">
        <v>1193</v>
      </c>
      <c r="F126" t="s">
        <v>1194</v>
      </c>
      <c r="G126" t="s">
        <v>1081</v>
      </c>
      <c r="H126" t="s">
        <v>1232</v>
      </c>
    </row>
    <row r="127" spans="1:8" x14ac:dyDescent="0.25">
      <c r="A127" t="s">
        <v>379</v>
      </c>
      <c r="B127" t="s">
        <v>377</v>
      </c>
      <c r="C127" t="s">
        <v>379</v>
      </c>
      <c r="D127" t="s">
        <v>379</v>
      </c>
      <c r="E127" t="s">
        <v>1176</v>
      </c>
      <c r="F127" t="s">
        <v>1177</v>
      </c>
      <c r="G127" t="s">
        <v>1075</v>
      </c>
      <c r="H127" t="s">
        <v>1239</v>
      </c>
    </row>
    <row r="128" spans="1:8" x14ac:dyDescent="0.25">
      <c r="A128" t="s">
        <v>382</v>
      </c>
      <c r="B128" t="s">
        <v>380</v>
      </c>
      <c r="C128" t="s">
        <v>1290</v>
      </c>
      <c r="D128" t="s">
        <v>1289</v>
      </c>
      <c r="E128" t="s">
        <v>1176</v>
      </c>
      <c r="F128" t="s">
        <v>1177</v>
      </c>
      <c r="G128" t="s">
        <v>1075</v>
      </c>
      <c r="H128" t="s">
        <v>1239</v>
      </c>
    </row>
    <row r="129" spans="1:8" x14ac:dyDescent="0.25">
      <c r="A129" t="s">
        <v>109</v>
      </c>
      <c r="B129" t="s">
        <v>107</v>
      </c>
      <c r="C129" t="s">
        <v>109</v>
      </c>
      <c r="D129" t="s">
        <v>109</v>
      </c>
      <c r="E129" t="s">
        <v>1187</v>
      </c>
      <c r="F129" t="s">
        <v>1188</v>
      </c>
      <c r="G129" t="s">
        <v>1067</v>
      </c>
      <c r="H129" t="s">
        <v>1225</v>
      </c>
    </row>
    <row r="130" spans="1:8" x14ac:dyDescent="0.25">
      <c r="A130" t="s">
        <v>640</v>
      </c>
      <c r="B130" t="s">
        <v>638</v>
      </c>
      <c r="C130" t="s">
        <v>640</v>
      </c>
      <c r="D130" t="s">
        <v>640</v>
      </c>
      <c r="E130" t="s">
        <v>1193</v>
      </c>
      <c r="F130" t="s">
        <v>1194</v>
      </c>
      <c r="G130" t="s">
        <v>1081</v>
      </c>
      <c r="H130" t="s">
        <v>1232</v>
      </c>
    </row>
    <row r="131" spans="1:8" x14ac:dyDescent="0.25">
      <c r="A131" t="s">
        <v>469</v>
      </c>
      <c r="B131" t="s">
        <v>467</v>
      </c>
      <c r="C131" t="s">
        <v>469</v>
      </c>
      <c r="D131" t="s">
        <v>1288</v>
      </c>
      <c r="E131" t="s">
        <v>1184</v>
      </c>
      <c r="F131" t="s">
        <v>1185</v>
      </c>
      <c r="G131" t="s">
        <v>1101</v>
      </c>
      <c r="H131" t="s">
        <v>1211</v>
      </c>
    </row>
    <row r="132" spans="1:8" x14ac:dyDescent="0.25">
      <c r="A132" t="s">
        <v>1287</v>
      </c>
      <c r="B132" t="s">
        <v>110</v>
      </c>
      <c r="C132" t="s">
        <v>112</v>
      </c>
      <c r="D132" t="s">
        <v>112</v>
      </c>
      <c r="E132" t="s">
        <v>1187</v>
      </c>
      <c r="F132" t="s">
        <v>1188</v>
      </c>
      <c r="G132" t="s">
        <v>1067</v>
      </c>
      <c r="H132" t="s">
        <v>1225</v>
      </c>
    </row>
    <row r="133" spans="1:8" x14ac:dyDescent="0.25">
      <c r="A133" t="s">
        <v>643</v>
      </c>
      <c r="B133" t="s">
        <v>641</v>
      </c>
      <c r="C133" t="s">
        <v>643</v>
      </c>
      <c r="D133" t="s">
        <v>1286</v>
      </c>
      <c r="E133" t="s">
        <v>1193</v>
      </c>
      <c r="F133" t="s">
        <v>1194</v>
      </c>
      <c r="G133" t="s">
        <v>1080</v>
      </c>
      <c r="H133" t="s">
        <v>1233</v>
      </c>
    </row>
    <row r="134" spans="1:8" x14ac:dyDescent="0.25">
      <c r="A134" t="s">
        <v>205</v>
      </c>
      <c r="B134" t="s">
        <v>203</v>
      </c>
      <c r="C134" t="s">
        <v>205</v>
      </c>
      <c r="D134" t="s">
        <v>205</v>
      </c>
      <c r="E134" t="s">
        <v>1179</v>
      </c>
      <c r="F134" t="s">
        <v>1180</v>
      </c>
      <c r="G134" t="s">
        <v>1073</v>
      </c>
      <c r="H134" t="s">
        <v>1217</v>
      </c>
    </row>
    <row r="135" spans="1:8" x14ac:dyDescent="0.25">
      <c r="A135" t="s">
        <v>646</v>
      </c>
      <c r="B135" t="s">
        <v>644</v>
      </c>
      <c r="C135" t="s">
        <v>646</v>
      </c>
      <c r="D135" t="s">
        <v>646</v>
      </c>
      <c r="E135" t="s">
        <v>1193</v>
      </c>
      <c r="F135" t="s">
        <v>1194</v>
      </c>
      <c r="G135" t="s">
        <v>1084</v>
      </c>
      <c r="H135" t="s">
        <v>1231</v>
      </c>
    </row>
    <row r="136" spans="1:8" x14ac:dyDescent="0.25">
      <c r="A136" t="s">
        <v>475</v>
      </c>
      <c r="B136" t="s">
        <v>473</v>
      </c>
      <c r="C136" t="s">
        <v>475</v>
      </c>
      <c r="D136" t="s">
        <v>475</v>
      </c>
      <c r="E136" t="s">
        <v>1184</v>
      </c>
      <c r="F136" t="s">
        <v>1185</v>
      </c>
      <c r="G136" t="s">
        <v>1078</v>
      </c>
      <c r="H136" t="s">
        <v>1215</v>
      </c>
    </row>
    <row r="137" spans="1:8" x14ac:dyDescent="0.25">
      <c r="A137" t="s">
        <v>649</v>
      </c>
      <c r="B137" t="s">
        <v>647</v>
      </c>
      <c r="C137" t="s">
        <v>649</v>
      </c>
      <c r="D137" t="s">
        <v>649</v>
      </c>
      <c r="E137" t="s">
        <v>1193</v>
      </c>
      <c r="F137" t="s">
        <v>1194</v>
      </c>
      <c r="G137" t="s">
        <v>1084</v>
      </c>
      <c r="H137" t="s">
        <v>1231</v>
      </c>
    </row>
    <row r="138" spans="1:8" x14ac:dyDescent="0.25">
      <c r="A138" t="s">
        <v>385</v>
      </c>
      <c r="B138" t="s">
        <v>383</v>
      </c>
      <c r="C138" t="s">
        <v>385</v>
      </c>
      <c r="D138" t="s">
        <v>385</v>
      </c>
      <c r="E138" t="s">
        <v>1176</v>
      </c>
      <c r="F138" t="s">
        <v>1177</v>
      </c>
      <c r="G138" t="s">
        <v>1076</v>
      </c>
      <c r="H138" t="s">
        <v>1219</v>
      </c>
    </row>
    <row r="139" spans="1:8" x14ac:dyDescent="0.25">
      <c r="A139" t="s">
        <v>1018</v>
      </c>
      <c r="B139" t="s">
        <v>1016</v>
      </c>
      <c r="C139" t="s">
        <v>1285</v>
      </c>
      <c r="D139" t="s">
        <v>1284</v>
      </c>
      <c r="E139" t="s">
        <v>1184</v>
      </c>
      <c r="F139" t="s">
        <v>1185</v>
      </c>
      <c r="G139" t="s">
        <v>1131</v>
      </c>
      <c r="H139" t="s">
        <v>1283</v>
      </c>
    </row>
    <row r="140" spans="1:8" x14ac:dyDescent="0.25">
      <c r="A140" t="s">
        <v>901</v>
      </c>
      <c r="B140" t="s">
        <v>899</v>
      </c>
      <c r="C140" t="s">
        <v>1282</v>
      </c>
      <c r="D140" t="s">
        <v>1282</v>
      </c>
      <c r="E140" t="s">
        <v>1187</v>
      </c>
      <c r="F140" t="s">
        <v>1188</v>
      </c>
      <c r="G140" t="s">
        <v>1067</v>
      </c>
      <c r="H140" t="s">
        <v>1225</v>
      </c>
    </row>
    <row r="141" spans="1:8" x14ac:dyDescent="0.25">
      <c r="A141" t="s">
        <v>1021</v>
      </c>
      <c r="B141" t="s">
        <v>1019</v>
      </c>
      <c r="C141" t="s">
        <v>1281</v>
      </c>
      <c r="D141" t="s">
        <v>1280</v>
      </c>
      <c r="E141" t="s">
        <v>1204</v>
      </c>
      <c r="F141" t="s">
        <v>21</v>
      </c>
      <c r="G141" t="s">
        <v>1086</v>
      </c>
      <c r="H141" t="s">
        <v>21</v>
      </c>
    </row>
    <row r="142" spans="1:8" x14ac:dyDescent="0.25">
      <c r="A142" t="s">
        <v>964</v>
      </c>
      <c r="B142" t="s">
        <v>962</v>
      </c>
      <c r="C142" t="s">
        <v>1279</v>
      </c>
      <c r="D142" t="s">
        <v>1279</v>
      </c>
      <c r="E142" t="s">
        <v>1176</v>
      </c>
      <c r="F142" t="s">
        <v>1177</v>
      </c>
      <c r="G142" t="s">
        <v>1075</v>
      </c>
      <c r="H142" t="s">
        <v>1239</v>
      </c>
    </row>
    <row r="143" spans="1:8" x14ac:dyDescent="0.25">
      <c r="A143" t="s">
        <v>82</v>
      </c>
      <c r="B143" t="s">
        <v>80</v>
      </c>
      <c r="C143" t="s">
        <v>82</v>
      </c>
      <c r="D143" t="s">
        <v>82</v>
      </c>
      <c r="E143" t="s">
        <v>1173</v>
      </c>
      <c r="F143" t="s">
        <v>1174</v>
      </c>
      <c r="G143" t="s">
        <v>1065</v>
      </c>
      <c r="H143" t="s">
        <v>1174</v>
      </c>
    </row>
    <row r="144" spans="1:8" x14ac:dyDescent="0.25">
      <c r="A144" t="s">
        <v>388</v>
      </c>
      <c r="B144" t="s">
        <v>386</v>
      </c>
      <c r="C144" t="s">
        <v>388</v>
      </c>
      <c r="D144" t="s">
        <v>388</v>
      </c>
      <c r="E144" t="s">
        <v>1176</v>
      </c>
      <c r="F144" t="s">
        <v>1177</v>
      </c>
      <c r="G144" t="s">
        <v>1075</v>
      </c>
      <c r="H144" t="s">
        <v>1239</v>
      </c>
    </row>
    <row r="145" spans="1:8" x14ac:dyDescent="0.25">
      <c r="A145" t="s">
        <v>781</v>
      </c>
      <c r="B145" t="s">
        <v>779</v>
      </c>
      <c r="C145" t="s">
        <v>1278</v>
      </c>
      <c r="D145" t="s">
        <v>1278</v>
      </c>
      <c r="E145" t="s">
        <v>1198</v>
      </c>
      <c r="F145" t="s">
        <v>1199</v>
      </c>
      <c r="G145" t="s">
        <v>1085</v>
      </c>
      <c r="H145" t="s">
        <v>1229</v>
      </c>
    </row>
    <row r="146" spans="1:8" x14ac:dyDescent="0.25">
      <c r="A146" t="s">
        <v>289</v>
      </c>
      <c r="B146" t="s">
        <v>287</v>
      </c>
      <c r="C146" t="s">
        <v>289</v>
      </c>
      <c r="D146" t="s">
        <v>289</v>
      </c>
      <c r="E146" t="s">
        <v>1196</v>
      </c>
      <c r="F146" t="s">
        <v>310</v>
      </c>
      <c r="G146" t="s">
        <v>1074</v>
      </c>
      <c r="H146" t="s">
        <v>1218</v>
      </c>
    </row>
    <row r="147" spans="1:8" x14ac:dyDescent="0.25">
      <c r="A147" t="s">
        <v>391</v>
      </c>
      <c r="B147" t="s">
        <v>389</v>
      </c>
      <c r="C147" t="s">
        <v>391</v>
      </c>
      <c r="D147" t="s">
        <v>391</v>
      </c>
      <c r="E147" t="s">
        <v>1176</v>
      </c>
      <c r="F147" t="s">
        <v>1177</v>
      </c>
      <c r="G147" t="s">
        <v>1076</v>
      </c>
      <c r="H147" t="s">
        <v>1219</v>
      </c>
    </row>
    <row r="148" spans="1:8" x14ac:dyDescent="0.25">
      <c r="A148" t="s">
        <v>562</v>
      </c>
      <c r="B148" t="s">
        <v>560</v>
      </c>
      <c r="C148" t="s">
        <v>562</v>
      </c>
      <c r="D148" t="s">
        <v>562</v>
      </c>
      <c r="E148" t="s">
        <v>1201</v>
      </c>
      <c r="F148" t="s">
        <v>1202</v>
      </c>
      <c r="G148" t="s">
        <v>1079</v>
      </c>
      <c r="H148" t="s">
        <v>1202</v>
      </c>
    </row>
    <row r="149" spans="1:8" x14ac:dyDescent="0.25">
      <c r="A149" t="s">
        <v>322</v>
      </c>
      <c r="B149" t="s">
        <v>320</v>
      </c>
      <c r="C149" t="s">
        <v>322</v>
      </c>
      <c r="D149" t="s">
        <v>322</v>
      </c>
      <c r="E149" t="s">
        <v>1196</v>
      </c>
      <c r="F149" t="s">
        <v>310</v>
      </c>
      <c r="G149" t="s">
        <v>1074</v>
      </c>
      <c r="H149" t="s">
        <v>1218</v>
      </c>
    </row>
    <row r="150" spans="1:8" x14ac:dyDescent="0.25">
      <c r="A150" t="s">
        <v>934</v>
      </c>
      <c r="B150" t="s">
        <v>932</v>
      </c>
      <c r="C150" t="s">
        <v>1277</v>
      </c>
      <c r="D150" t="s">
        <v>1276</v>
      </c>
      <c r="E150" t="s">
        <v>1184</v>
      </c>
      <c r="F150" t="s">
        <v>1185</v>
      </c>
      <c r="G150" t="s">
        <v>1078</v>
      </c>
      <c r="H150" t="s">
        <v>1215</v>
      </c>
    </row>
    <row r="151" spans="1:8" x14ac:dyDescent="0.25">
      <c r="A151" t="s">
        <v>115</v>
      </c>
      <c r="B151" t="s">
        <v>113</v>
      </c>
      <c r="C151" t="s">
        <v>115</v>
      </c>
      <c r="D151" t="s">
        <v>115</v>
      </c>
      <c r="E151" t="s">
        <v>1187</v>
      </c>
      <c r="F151" t="s">
        <v>1188</v>
      </c>
      <c r="G151" t="s">
        <v>1066</v>
      </c>
      <c r="H151" t="s">
        <v>1210</v>
      </c>
    </row>
    <row r="152" spans="1:8" x14ac:dyDescent="0.25">
      <c r="A152" t="s">
        <v>565</v>
      </c>
      <c r="B152" t="s">
        <v>563</v>
      </c>
      <c r="C152" t="s">
        <v>565</v>
      </c>
      <c r="D152" t="s">
        <v>565</v>
      </c>
      <c r="E152" t="s">
        <v>1201</v>
      </c>
      <c r="F152" t="s">
        <v>1202</v>
      </c>
      <c r="G152" t="s">
        <v>1079</v>
      </c>
      <c r="H152" t="s">
        <v>1202</v>
      </c>
    </row>
    <row r="153" spans="1:8" x14ac:dyDescent="0.25">
      <c r="A153" t="s">
        <v>478</v>
      </c>
      <c r="B153" t="s">
        <v>476</v>
      </c>
      <c r="C153" t="s">
        <v>478</v>
      </c>
      <c r="D153" t="s">
        <v>478</v>
      </c>
      <c r="E153" t="s">
        <v>1184</v>
      </c>
      <c r="F153" t="s">
        <v>1185</v>
      </c>
      <c r="G153" t="s">
        <v>1078</v>
      </c>
      <c r="H153" t="s">
        <v>1215</v>
      </c>
    </row>
    <row r="154" spans="1:8" x14ac:dyDescent="0.25">
      <c r="A154" t="s">
        <v>736</v>
      </c>
      <c r="B154" t="s">
        <v>734</v>
      </c>
      <c r="C154" t="s">
        <v>736</v>
      </c>
      <c r="D154" t="s">
        <v>736</v>
      </c>
      <c r="E154" t="s">
        <v>1198</v>
      </c>
      <c r="F154" t="s">
        <v>1199</v>
      </c>
      <c r="G154" t="s">
        <v>1083</v>
      </c>
      <c r="H154" t="s">
        <v>1235</v>
      </c>
    </row>
    <row r="155" spans="1:8" x14ac:dyDescent="0.25">
      <c r="A155" t="s">
        <v>796</v>
      </c>
      <c r="B155" t="s">
        <v>794</v>
      </c>
      <c r="C155" t="s">
        <v>796</v>
      </c>
      <c r="D155" t="s">
        <v>796</v>
      </c>
      <c r="E155" t="s">
        <v>1176</v>
      </c>
      <c r="F155" t="s">
        <v>1177</v>
      </c>
      <c r="G155" t="s">
        <v>1075</v>
      </c>
      <c r="H155" t="s">
        <v>1239</v>
      </c>
    </row>
    <row r="156" spans="1:8" x14ac:dyDescent="0.25">
      <c r="A156" t="s">
        <v>481</v>
      </c>
      <c r="B156" t="s">
        <v>479</v>
      </c>
      <c r="C156" t="s">
        <v>1275</v>
      </c>
      <c r="D156" t="s">
        <v>1275</v>
      </c>
      <c r="E156" t="s">
        <v>1184</v>
      </c>
      <c r="F156" t="s">
        <v>1185</v>
      </c>
      <c r="G156" t="s">
        <v>1077</v>
      </c>
      <c r="H156" t="s">
        <v>1216</v>
      </c>
    </row>
    <row r="157" spans="1:8" x14ac:dyDescent="0.25">
      <c r="A157" t="s">
        <v>979</v>
      </c>
      <c r="B157" t="s">
        <v>977</v>
      </c>
      <c r="C157" t="s">
        <v>979</v>
      </c>
      <c r="D157" t="s">
        <v>979</v>
      </c>
      <c r="E157" t="s">
        <v>1184</v>
      </c>
      <c r="F157" t="s">
        <v>1185</v>
      </c>
      <c r="G157" t="s">
        <v>1087</v>
      </c>
      <c r="H157" t="s">
        <v>1214</v>
      </c>
    </row>
    <row r="158" spans="1:8" x14ac:dyDescent="0.25">
      <c r="A158" t="s">
        <v>817</v>
      </c>
      <c r="B158" t="s">
        <v>815</v>
      </c>
      <c r="C158" t="s">
        <v>817</v>
      </c>
      <c r="D158" t="s">
        <v>817</v>
      </c>
      <c r="E158" t="s">
        <v>1193</v>
      </c>
      <c r="F158" t="s">
        <v>1194</v>
      </c>
      <c r="G158" t="s">
        <v>1081</v>
      </c>
      <c r="H158" t="s">
        <v>1232</v>
      </c>
    </row>
    <row r="159" spans="1:8" x14ac:dyDescent="0.25">
      <c r="A159" t="s">
        <v>1039</v>
      </c>
      <c r="B159" t="s">
        <v>1037</v>
      </c>
      <c r="C159" t="s">
        <v>1274</v>
      </c>
      <c r="D159" t="s">
        <v>1273</v>
      </c>
      <c r="E159" t="s">
        <v>1193</v>
      </c>
      <c r="F159" t="s">
        <v>1194</v>
      </c>
      <c r="G159" t="s">
        <v>1080</v>
      </c>
      <c r="H159" t="s">
        <v>1233</v>
      </c>
    </row>
    <row r="160" spans="1:8" x14ac:dyDescent="0.25">
      <c r="A160" t="s">
        <v>715</v>
      </c>
      <c r="B160" t="s">
        <v>713</v>
      </c>
      <c r="C160" t="s">
        <v>715</v>
      </c>
      <c r="D160" t="s">
        <v>715</v>
      </c>
      <c r="E160" t="s">
        <v>1198</v>
      </c>
      <c r="F160" t="s">
        <v>1199</v>
      </c>
      <c r="G160" t="s">
        <v>1083</v>
      </c>
      <c r="H160" t="s">
        <v>1235</v>
      </c>
    </row>
    <row r="161" spans="1:8" x14ac:dyDescent="0.25">
      <c r="A161" t="s">
        <v>394</v>
      </c>
      <c r="B161" t="s">
        <v>392</v>
      </c>
      <c r="C161" t="s">
        <v>394</v>
      </c>
      <c r="D161" t="s">
        <v>394</v>
      </c>
      <c r="E161" t="s">
        <v>1176</v>
      </c>
      <c r="F161" t="s">
        <v>1177</v>
      </c>
      <c r="G161" t="s">
        <v>1076</v>
      </c>
      <c r="H161" t="s">
        <v>1219</v>
      </c>
    </row>
    <row r="162" spans="1:8" x14ac:dyDescent="0.25">
      <c r="A162" t="s">
        <v>799</v>
      </c>
      <c r="B162" t="s">
        <v>797</v>
      </c>
      <c r="C162" t="s">
        <v>799</v>
      </c>
      <c r="D162" t="s">
        <v>799</v>
      </c>
      <c r="E162" t="s">
        <v>1184</v>
      </c>
      <c r="F162" t="s">
        <v>1185</v>
      </c>
      <c r="G162" t="s">
        <v>1077</v>
      </c>
      <c r="H162" t="s">
        <v>1216</v>
      </c>
    </row>
    <row r="163" spans="1:8" x14ac:dyDescent="0.25">
      <c r="A163" t="s">
        <v>1272</v>
      </c>
      <c r="B163" t="s">
        <v>395</v>
      </c>
      <c r="C163" t="s">
        <v>397</v>
      </c>
      <c r="D163" t="s">
        <v>397</v>
      </c>
      <c r="E163" t="s">
        <v>1176</v>
      </c>
      <c r="F163" t="s">
        <v>1177</v>
      </c>
      <c r="G163" t="s">
        <v>1076</v>
      </c>
      <c r="H163" t="s">
        <v>1219</v>
      </c>
    </row>
    <row r="164" spans="1:8" x14ac:dyDescent="0.25">
      <c r="A164" t="s">
        <v>49</v>
      </c>
      <c r="B164" t="s">
        <v>47</v>
      </c>
      <c r="C164" t="s">
        <v>49</v>
      </c>
      <c r="D164" t="s">
        <v>49</v>
      </c>
      <c r="E164" t="s">
        <v>1182</v>
      </c>
      <c r="F164" t="s">
        <v>1226</v>
      </c>
      <c r="G164" t="s">
        <v>1064</v>
      </c>
      <c r="H164" t="s">
        <v>1205</v>
      </c>
    </row>
    <row r="165" spans="1:8" x14ac:dyDescent="0.25">
      <c r="A165" t="s">
        <v>484</v>
      </c>
      <c r="B165" t="s">
        <v>482</v>
      </c>
      <c r="C165" t="s">
        <v>484</v>
      </c>
      <c r="D165" t="s">
        <v>484</v>
      </c>
      <c r="E165" t="s">
        <v>1184</v>
      </c>
      <c r="F165" t="s">
        <v>1185</v>
      </c>
      <c r="G165" t="s">
        <v>1078</v>
      </c>
      <c r="H165" t="s">
        <v>1215</v>
      </c>
    </row>
    <row r="166" spans="1:8" x14ac:dyDescent="0.25">
      <c r="A166" t="s">
        <v>487</v>
      </c>
      <c r="B166" t="s">
        <v>485</v>
      </c>
      <c r="C166" t="s">
        <v>487</v>
      </c>
      <c r="D166" t="s">
        <v>487</v>
      </c>
      <c r="E166" t="s">
        <v>1184</v>
      </c>
      <c r="F166" t="s">
        <v>1185</v>
      </c>
      <c r="G166" t="s">
        <v>1078</v>
      </c>
      <c r="H166" t="s">
        <v>1215</v>
      </c>
    </row>
    <row r="167" spans="1:8" x14ac:dyDescent="0.25">
      <c r="A167" t="s">
        <v>967</v>
      </c>
      <c r="B167" t="s">
        <v>965</v>
      </c>
      <c r="C167" t="s">
        <v>967</v>
      </c>
      <c r="D167" t="s">
        <v>1271</v>
      </c>
      <c r="E167" t="s">
        <v>1184</v>
      </c>
      <c r="F167" t="s">
        <v>1185</v>
      </c>
      <c r="G167" t="s">
        <v>1077</v>
      </c>
      <c r="H167" t="s">
        <v>1216</v>
      </c>
    </row>
    <row r="168" spans="1:8" x14ac:dyDescent="0.25">
      <c r="A168" t="s">
        <v>778</v>
      </c>
      <c r="B168" t="s">
        <v>776</v>
      </c>
      <c r="C168" t="s">
        <v>778</v>
      </c>
      <c r="D168" t="s">
        <v>778</v>
      </c>
      <c r="E168" t="s">
        <v>1190</v>
      </c>
      <c r="F168" t="s">
        <v>1191</v>
      </c>
      <c r="G168" t="s">
        <v>1093</v>
      </c>
      <c r="H168" t="s">
        <v>1191</v>
      </c>
    </row>
    <row r="169" spans="1:8" x14ac:dyDescent="0.25">
      <c r="A169" t="s">
        <v>802</v>
      </c>
      <c r="B169" t="s">
        <v>800</v>
      </c>
      <c r="C169" t="s">
        <v>802</v>
      </c>
      <c r="D169" t="s">
        <v>802</v>
      </c>
      <c r="E169" t="s">
        <v>1198</v>
      </c>
      <c r="F169" t="s">
        <v>1199</v>
      </c>
      <c r="G169" t="s">
        <v>1085</v>
      </c>
      <c r="H169" t="s">
        <v>1229</v>
      </c>
    </row>
    <row r="170" spans="1:8" x14ac:dyDescent="0.25">
      <c r="A170" t="s">
        <v>292</v>
      </c>
      <c r="B170" t="s">
        <v>290</v>
      </c>
      <c r="C170" t="s">
        <v>292</v>
      </c>
      <c r="D170" t="s">
        <v>292</v>
      </c>
      <c r="E170" t="s">
        <v>1196</v>
      </c>
      <c r="F170" t="s">
        <v>310</v>
      </c>
      <c r="G170" t="s">
        <v>1072</v>
      </c>
      <c r="H170" t="s">
        <v>271</v>
      </c>
    </row>
    <row r="171" spans="1:8" x14ac:dyDescent="0.25">
      <c r="A171" t="s">
        <v>856</v>
      </c>
      <c r="B171" t="s">
        <v>854</v>
      </c>
      <c r="C171" t="s">
        <v>856</v>
      </c>
      <c r="D171" t="s">
        <v>856</v>
      </c>
      <c r="E171" t="s">
        <v>1179</v>
      </c>
      <c r="F171" t="s">
        <v>1180</v>
      </c>
      <c r="G171" t="s">
        <v>1073</v>
      </c>
      <c r="H171" t="s">
        <v>1217</v>
      </c>
    </row>
    <row r="172" spans="1:8" x14ac:dyDescent="0.25">
      <c r="A172" t="s">
        <v>490</v>
      </c>
      <c r="B172" t="s">
        <v>488</v>
      </c>
      <c r="C172" t="s">
        <v>490</v>
      </c>
      <c r="D172" t="s">
        <v>490</v>
      </c>
      <c r="E172" t="s">
        <v>1184</v>
      </c>
      <c r="F172" t="s">
        <v>1185</v>
      </c>
      <c r="G172" t="s">
        <v>1078</v>
      </c>
      <c r="H172" t="s">
        <v>1215</v>
      </c>
    </row>
    <row r="173" spans="1:8" x14ac:dyDescent="0.25">
      <c r="A173" t="s">
        <v>208</v>
      </c>
      <c r="B173" t="s">
        <v>206</v>
      </c>
      <c r="C173" t="s">
        <v>208</v>
      </c>
      <c r="D173" t="s">
        <v>208</v>
      </c>
      <c r="E173" t="s">
        <v>1179</v>
      </c>
      <c r="F173" t="s">
        <v>1180</v>
      </c>
      <c r="G173" t="s">
        <v>1068</v>
      </c>
      <c r="H173" t="s">
        <v>1212</v>
      </c>
    </row>
    <row r="174" spans="1:8" x14ac:dyDescent="0.25">
      <c r="A174" t="s">
        <v>652</v>
      </c>
      <c r="B174" t="s">
        <v>650</v>
      </c>
      <c r="C174" t="s">
        <v>1270</v>
      </c>
      <c r="D174" t="s">
        <v>1270</v>
      </c>
      <c r="E174" t="s">
        <v>1193</v>
      </c>
      <c r="F174" t="s">
        <v>1194</v>
      </c>
      <c r="G174" t="s">
        <v>1084</v>
      </c>
      <c r="H174" t="s">
        <v>1231</v>
      </c>
    </row>
    <row r="175" spans="1:8" x14ac:dyDescent="0.25">
      <c r="A175" t="s">
        <v>295</v>
      </c>
      <c r="B175" t="s">
        <v>293</v>
      </c>
      <c r="C175" t="s">
        <v>295</v>
      </c>
      <c r="D175" t="s">
        <v>295</v>
      </c>
      <c r="E175" t="s">
        <v>1196</v>
      </c>
      <c r="F175" t="s">
        <v>310</v>
      </c>
      <c r="G175" t="s">
        <v>1074</v>
      </c>
      <c r="H175" t="s">
        <v>1218</v>
      </c>
    </row>
    <row r="176" spans="1:8" x14ac:dyDescent="0.25">
      <c r="A176" t="s">
        <v>118</v>
      </c>
      <c r="B176" t="s">
        <v>116</v>
      </c>
      <c r="C176" t="s">
        <v>118</v>
      </c>
      <c r="D176" t="s">
        <v>118</v>
      </c>
      <c r="E176" t="s">
        <v>1187</v>
      </c>
      <c r="F176" t="s">
        <v>1188</v>
      </c>
      <c r="G176" t="s">
        <v>1067</v>
      </c>
      <c r="H176" t="s">
        <v>1225</v>
      </c>
    </row>
    <row r="177" spans="1:8" x14ac:dyDescent="0.25">
      <c r="A177" t="s">
        <v>211</v>
      </c>
      <c r="B177" t="s">
        <v>209</v>
      </c>
      <c r="C177" t="s">
        <v>211</v>
      </c>
      <c r="D177" t="s">
        <v>211</v>
      </c>
      <c r="E177" t="s">
        <v>1179</v>
      </c>
      <c r="F177" t="s">
        <v>1180</v>
      </c>
      <c r="G177" t="s">
        <v>1069</v>
      </c>
      <c r="H177" t="s">
        <v>1220</v>
      </c>
    </row>
    <row r="178" spans="1:8" x14ac:dyDescent="0.25">
      <c r="A178" t="s">
        <v>805</v>
      </c>
      <c r="B178" t="s">
        <v>803</v>
      </c>
      <c r="C178" t="s">
        <v>805</v>
      </c>
      <c r="D178" t="s">
        <v>805</v>
      </c>
      <c r="E178" t="s">
        <v>1198</v>
      </c>
      <c r="F178" t="s">
        <v>1199</v>
      </c>
      <c r="G178" t="s">
        <v>1085</v>
      </c>
      <c r="H178" t="s">
        <v>1229</v>
      </c>
    </row>
    <row r="179" spans="1:8" x14ac:dyDescent="0.25">
      <c r="A179" t="s">
        <v>1042</v>
      </c>
      <c r="B179" t="s">
        <v>1040</v>
      </c>
      <c r="C179" t="s">
        <v>1042</v>
      </c>
      <c r="D179" t="s">
        <v>1042</v>
      </c>
      <c r="E179" t="s">
        <v>1193</v>
      </c>
      <c r="F179" t="s">
        <v>1194</v>
      </c>
      <c r="G179" t="s">
        <v>1080</v>
      </c>
      <c r="H179" t="s">
        <v>1233</v>
      </c>
    </row>
    <row r="180" spans="1:8" x14ac:dyDescent="0.25">
      <c r="A180" t="s">
        <v>493</v>
      </c>
      <c r="B180" t="s">
        <v>491</v>
      </c>
      <c r="C180" t="s">
        <v>493</v>
      </c>
      <c r="D180" t="s">
        <v>493</v>
      </c>
      <c r="E180" t="s">
        <v>1184</v>
      </c>
      <c r="F180" t="s">
        <v>1185</v>
      </c>
      <c r="G180" t="s">
        <v>1077</v>
      </c>
      <c r="H180" t="s">
        <v>1216</v>
      </c>
    </row>
    <row r="181" spans="1:8" x14ac:dyDescent="0.25">
      <c r="A181" t="s">
        <v>739</v>
      </c>
      <c r="B181" t="s">
        <v>737</v>
      </c>
      <c r="C181" t="s">
        <v>739</v>
      </c>
      <c r="D181" t="s">
        <v>739</v>
      </c>
      <c r="E181" t="s">
        <v>1198</v>
      </c>
      <c r="F181" t="s">
        <v>1199</v>
      </c>
      <c r="G181" t="s">
        <v>1083</v>
      </c>
      <c r="H181" t="s">
        <v>1235</v>
      </c>
    </row>
    <row r="182" spans="1:8" x14ac:dyDescent="0.25">
      <c r="A182" t="s">
        <v>400</v>
      </c>
      <c r="B182" t="s">
        <v>398</v>
      </c>
      <c r="C182" t="s">
        <v>400</v>
      </c>
      <c r="D182" t="s">
        <v>400</v>
      </c>
      <c r="E182" t="s">
        <v>1176</v>
      </c>
      <c r="F182" t="s">
        <v>1177</v>
      </c>
      <c r="G182" t="s">
        <v>1075</v>
      </c>
      <c r="H182" t="s">
        <v>1239</v>
      </c>
    </row>
    <row r="183" spans="1:8" x14ac:dyDescent="0.25">
      <c r="A183" t="s">
        <v>742</v>
      </c>
      <c r="B183" t="s">
        <v>740</v>
      </c>
      <c r="C183" t="s">
        <v>742</v>
      </c>
      <c r="D183" t="s">
        <v>742</v>
      </c>
      <c r="E183" t="s">
        <v>1198</v>
      </c>
      <c r="F183" t="s">
        <v>1199</v>
      </c>
      <c r="G183" t="s">
        <v>1083</v>
      </c>
      <c r="H183" t="s">
        <v>1235</v>
      </c>
    </row>
    <row r="184" spans="1:8" x14ac:dyDescent="0.25">
      <c r="A184" t="s">
        <v>991</v>
      </c>
      <c r="B184" t="s">
        <v>989</v>
      </c>
      <c r="C184" t="s">
        <v>991</v>
      </c>
      <c r="D184" t="s">
        <v>991</v>
      </c>
      <c r="E184" t="s">
        <v>1193</v>
      </c>
      <c r="F184" t="s">
        <v>1194</v>
      </c>
      <c r="G184" t="s">
        <v>1080</v>
      </c>
      <c r="H184" t="s">
        <v>1233</v>
      </c>
    </row>
    <row r="185" spans="1:8" x14ac:dyDescent="0.25">
      <c r="A185" t="s">
        <v>85</v>
      </c>
      <c r="B185" t="s">
        <v>83</v>
      </c>
      <c r="C185" t="s">
        <v>85</v>
      </c>
      <c r="D185" t="s">
        <v>85</v>
      </c>
      <c r="E185" t="s">
        <v>1173</v>
      </c>
      <c r="F185" t="s">
        <v>1174</v>
      </c>
      <c r="G185" t="s">
        <v>1065</v>
      </c>
      <c r="H185" t="s">
        <v>1174</v>
      </c>
    </row>
    <row r="186" spans="1:8" x14ac:dyDescent="0.25">
      <c r="A186" t="s">
        <v>1269</v>
      </c>
      <c r="B186" t="s">
        <v>566</v>
      </c>
      <c r="C186" t="s">
        <v>568</v>
      </c>
      <c r="D186" t="s">
        <v>568</v>
      </c>
      <c r="E186" t="s">
        <v>1201</v>
      </c>
      <c r="F186" t="s">
        <v>1202</v>
      </c>
      <c r="G186" t="s">
        <v>1079</v>
      </c>
      <c r="H186" t="s">
        <v>1202</v>
      </c>
    </row>
    <row r="187" spans="1:8" x14ac:dyDescent="0.25">
      <c r="A187" t="s">
        <v>922</v>
      </c>
      <c r="B187" t="s">
        <v>920</v>
      </c>
      <c r="C187" t="s">
        <v>922</v>
      </c>
      <c r="D187" t="s">
        <v>1268</v>
      </c>
      <c r="E187" t="s">
        <v>1184</v>
      </c>
      <c r="F187" t="s">
        <v>1185</v>
      </c>
      <c r="G187" t="s">
        <v>1077</v>
      </c>
      <c r="H187" t="s">
        <v>1216</v>
      </c>
    </row>
    <row r="188" spans="1:8" x14ac:dyDescent="0.25">
      <c r="A188" t="s">
        <v>895</v>
      </c>
      <c r="B188" t="s">
        <v>893</v>
      </c>
      <c r="C188" t="s">
        <v>895</v>
      </c>
      <c r="D188" t="s">
        <v>1267</v>
      </c>
      <c r="E188" t="s">
        <v>1173</v>
      </c>
      <c r="F188" t="s">
        <v>1174</v>
      </c>
      <c r="G188" t="s">
        <v>1065</v>
      </c>
      <c r="H188" t="s">
        <v>1174</v>
      </c>
    </row>
    <row r="189" spans="1:8" x14ac:dyDescent="0.25">
      <c r="A189" t="s">
        <v>1000</v>
      </c>
      <c r="B189" t="s">
        <v>998</v>
      </c>
      <c r="C189" t="s">
        <v>1000</v>
      </c>
      <c r="D189" t="s">
        <v>1266</v>
      </c>
      <c r="E189" t="s">
        <v>1204</v>
      </c>
      <c r="F189" t="s">
        <v>21</v>
      </c>
      <c r="G189" t="s">
        <v>1086</v>
      </c>
      <c r="H189" t="s">
        <v>21</v>
      </c>
    </row>
    <row r="190" spans="1:8" x14ac:dyDescent="0.25">
      <c r="A190" t="s">
        <v>865</v>
      </c>
      <c r="B190" t="s">
        <v>863</v>
      </c>
      <c r="C190" t="s">
        <v>865</v>
      </c>
      <c r="D190" t="s">
        <v>865</v>
      </c>
      <c r="E190" t="s">
        <v>1193</v>
      </c>
      <c r="F190" t="s">
        <v>1194</v>
      </c>
      <c r="G190" t="s">
        <v>1082</v>
      </c>
      <c r="H190" t="s">
        <v>1213</v>
      </c>
    </row>
    <row r="191" spans="1:8" x14ac:dyDescent="0.25">
      <c r="A191" t="s">
        <v>1030</v>
      </c>
      <c r="B191" t="s">
        <v>1028</v>
      </c>
      <c r="C191" t="s">
        <v>1030</v>
      </c>
      <c r="D191" t="s">
        <v>1030</v>
      </c>
      <c r="E191" t="s">
        <v>1184</v>
      </c>
      <c r="F191" t="s">
        <v>1185</v>
      </c>
      <c r="G191" t="s">
        <v>1090</v>
      </c>
      <c r="H191" t="s">
        <v>1265</v>
      </c>
    </row>
    <row r="192" spans="1:8" x14ac:dyDescent="0.25">
      <c r="A192" t="s">
        <v>1006</v>
      </c>
      <c r="B192" t="s">
        <v>1004</v>
      </c>
      <c r="C192" t="s">
        <v>1006</v>
      </c>
      <c r="D192" t="s">
        <v>1006</v>
      </c>
      <c r="E192" t="s">
        <v>1179</v>
      </c>
      <c r="F192" t="s">
        <v>1180</v>
      </c>
      <c r="G192" t="s">
        <v>1070</v>
      </c>
      <c r="H192" t="s">
        <v>1223</v>
      </c>
    </row>
    <row r="193" spans="1:8" x14ac:dyDescent="0.25">
      <c r="A193" t="s">
        <v>298</v>
      </c>
      <c r="B193" t="s">
        <v>296</v>
      </c>
      <c r="C193" t="s">
        <v>298</v>
      </c>
      <c r="D193" t="s">
        <v>298</v>
      </c>
      <c r="E193" t="s">
        <v>1196</v>
      </c>
      <c r="F193" t="s">
        <v>310</v>
      </c>
      <c r="G193" t="s">
        <v>1074</v>
      </c>
      <c r="H193" t="s">
        <v>1218</v>
      </c>
    </row>
    <row r="194" spans="1:8" x14ac:dyDescent="0.25">
      <c r="A194" t="s">
        <v>745</v>
      </c>
      <c r="B194" t="s">
        <v>743</v>
      </c>
      <c r="C194" t="s">
        <v>1264</v>
      </c>
      <c r="D194" t="s">
        <v>1264</v>
      </c>
      <c r="E194" t="s">
        <v>1198</v>
      </c>
      <c r="F194" t="s">
        <v>1199</v>
      </c>
      <c r="G194" t="s">
        <v>1085</v>
      </c>
      <c r="H194" t="s">
        <v>1229</v>
      </c>
    </row>
    <row r="195" spans="1:8" x14ac:dyDescent="0.25">
      <c r="A195" t="s">
        <v>904</v>
      </c>
      <c r="B195" t="s">
        <v>902</v>
      </c>
      <c r="C195" t="s">
        <v>904</v>
      </c>
      <c r="D195" t="s">
        <v>1263</v>
      </c>
      <c r="E195" t="s">
        <v>1179</v>
      </c>
      <c r="F195" t="s">
        <v>1180</v>
      </c>
      <c r="G195" t="s">
        <v>1069</v>
      </c>
      <c r="H195" t="s">
        <v>1220</v>
      </c>
    </row>
    <row r="196" spans="1:8" x14ac:dyDescent="0.25">
      <c r="A196" t="s">
        <v>748</v>
      </c>
      <c r="B196" t="s">
        <v>746</v>
      </c>
      <c r="C196" t="s">
        <v>748</v>
      </c>
      <c r="D196" t="s">
        <v>748</v>
      </c>
      <c r="E196" t="s">
        <v>1198</v>
      </c>
      <c r="F196" t="s">
        <v>1199</v>
      </c>
      <c r="G196" t="s">
        <v>1085</v>
      </c>
      <c r="H196" t="s">
        <v>1229</v>
      </c>
    </row>
    <row r="197" spans="1:8" x14ac:dyDescent="0.25">
      <c r="A197" t="s">
        <v>328</v>
      </c>
      <c r="B197" t="s">
        <v>326</v>
      </c>
      <c r="C197" t="s">
        <v>328</v>
      </c>
      <c r="D197" t="s">
        <v>328</v>
      </c>
      <c r="E197" t="s">
        <v>1196</v>
      </c>
      <c r="F197" t="s">
        <v>310</v>
      </c>
      <c r="G197" t="s">
        <v>1074</v>
      </c>
      <c r="H197" t="s">
        <v>1218</v>
      </c>
    </row>
    <row r="198" spans="1:8" x14ac:dyDescent="0.25">
      <c r="A198" t="s">
        <v>496</v>
      </c>
      <c r="B198" t="s">
        <v>494</v>
      </c>
      <c r="C198" t="s">
        <v>496</v>
      </c>
      <c r="D198" t="s">
        <v>496</v>
      </c>
      <c r="E198" t="s">
        <v>1184</v>
      </c>
      <c r="F198" t="s">
        <v>1185</v>
      </c>
      <c r="G198" t="s">
        <v>1078</v>
      </c>
      <c r="H198" t="s">
        <v>1215</v>
      </c>
    </row>
    <row r="199" spans="1:8" x14ac:dyDescent="0.25">
      <c r="A199" t="s">
        <v>214</v>
      </c>
      <c r="B199" t="s">
        <v>212</v>
      </c>
      <c r="C199" t="s">
        <v>214</v>
      </c>
      <c r="D199" t="s">
        <v>214</v>
      </c>
      <c r="E199" t="s">
        <v>1179</v>
      </c>
      <c r="F199" t="s">
        <v>1180</v>
      </c>
      <c r="G199" t="s">
        <v>1071</v>
      </c>
      <c r="H199" t="s">
        <v>1230</v>
      </c>
    </row>
    <row r="200" spans="1:8" x14ac:dyDescent="0.25">
      <c r="A200" t="s">
        <v>217</v>
      </c>
      <c r="B200" t="s">
        <v>215</v>
      </c>
      <c r="C200" t="s">
        <v>217</v>
      </c>
      <c r="D200" t="s">
        <v>217</v>
      </c>
      <c r="E200" t="s">
        <v>1179</v>
      </c>
      <c r="F200" t="s">
        <v>1180</v>
      </c>
      <c r="G200" t="s">
        <v>1073</v>
      </c>
      <c r="H200" t="s">
        <v>1217</v>
      </c>
    </row>
    <row r="201" spans="1:8" x14ac:dyDescent="0.25">
      <c r="A201" t="s">
        <v>976</v>
      </c>
      <c r="B201" t="s">
        <v>974</v>
      </c>
      <c r="C201" t="s">
        <v>976</v>
      </c>
      <c r="D201" t="s">
        <v>976</v>
      </c>
      <c r="E201" t="s">
        <v>1184</v>
      </c>
      <c r="F201" t="s">
        <v>1185</v>
      </c>
      <c r="G201" t="s">
        <v>1077</v>
      </c>
      <c r="H201" t="s">
        <v>1216</v>
      </c>
    </row>
    <row r="202" spans="1:8" x14ac:dyDescent="0.25">
      <c r="A202" t="s">
        <v>1027</v>
      </c>
      <c r="B202" t="s">
        <v>1025</v>
      </c>
      <c r="C202" t="s">
        <v>1027</v>
      </c>
      <c r="D202" t="s">
        <v>1262</v>
      </c>
      <c r="E202" t="s">
        <v>1182</v>
      </c>
      <c r="F202" t="s">
        <v>1226</v>
      </c>
      <c r="G202" t="s">
        <v>1064</v>
      </c>
      <c r="H202" t="s">
        <v>1205</v>
      </c>
    </row>
    <row r="203" spans="1:8" x14ac:dyDescent="0.25">
      <c r="A203" t="s">
        <v>841</v>
      </c>
      <c r="B203" t="s">
        <v>839</v>
      </c>
      <c r="C203" t="s">
        <v>841</v>
      </c>
      <c r="D203" t="s">
        <v>1261</v>
      </c>
      <c r="E203" t="s">
        <v>1201</v>
      </c>
      <c r="F203" t="s">
        <v>1202</v>
      </c>
      <c r="G203" t="s">
        <v>1079</v>
      </c>
      <c r="H203" t="s">
        <v>1202</v>
      </c>
    </row>
    <row r="204" spans="1:8" x14ac:dyDescent="0.25">
      <c r="A204" t="s">
        <v>847</v>
      </c>
      <c r="B204" t="s">
        <v>845</v>
      </c>
      <c r="C204" t="s">
        <v>847</v>
      </c>
      <c r="D204" t="s">
        <v>847</v>
      </c>
      <c r="E204" t="s">
        <v>1173</v>
      </c>
      <c r="F204" t="s">
        <v>1174</v>
      </c>
      <c r="G204" t="s">
        <v>1065</v>
      </c>
      <c r="H204" t="s">
        <v>1174</v>
      </c>
    </row>
    <row r="205" spans="1:8" x14ac:dyDescent="0.25">
      <c r="A205" t="s">
        <v>121</v>
      </c>
      <c r="B205" t="s">
        <v>119</v>
      </c>
      <c r="C205" t="s">
        <v>121</v>
      </c>
      <c r="D205" t="s">
        <v>121</v>
      </c>
      <c r="E205" t="s">
        <v>1190</v>
      </c>
      <c r="F205" t="s">
        <v>1191</v>
      </c>
      <c r="G205" t="s">
        <v>1093</v>
      </c>
      <c r="H205" t="s">
        <v>1191</v>
      </c>
    </row>
    <row r="206" spans="1:8" x14ac:dyDescent="0.25">
      <c r="A206" t="s">
        <v>499</v>
      </c>
      <c r="B206" t="s">
        <v>497</v>
      </c>
      <c r="C206" t="s">
        <v>499</v>
      </c>
      <c r="D206" t="s">
        <v>499</v>
      </c>
      <c r="E206" t="s">
        <v>1184</v>
      </c>
      <c r="F206" t="s">
        <v>1185</v>
      </c>
      <c r="G206" t="s">
        <v>1078</v>
      </c>
      <c r="H206" t="s">
        <v>1215</v>
      </c>
    </row>
    <row r="207" spans="1:8" x14ac:dyDescent="0.25">
      <c r="A207" t="s">
        <v>655</v>
      </c>
      <c r="B207" t="s">
        <v>653</v>
      </c>
      <c r="C207" t="s">
        <v>655</v>
      </c>
      <c r="E207" t="s">
        <v>1193</v>
      </c>
      <c r="F207" t="s">
        <v>1194</v>
      </c>
      <c r="G207" t="s">
        <v>1081</v>
      </c>
      <c r="H207" t="s">
        <v>1232</v>
      </c>
    </row>
    <row r="208" spans="1:8" x14ac:dyDescent="0.25">
      <c r="A208" t="s">
        <v>265</v>
      </c>
      <c r="B208" t="s">
        <v>263</v>
      </c>
      <c r="C208" t="s">
        <v>265</v>
      </c>
      <c r="D208" t="s">
        <v>265</v>
      </c>
      <c r="E208" t="s">
        <v>1179</v>
      </c>
      <c r="F208" t="s">
        <v>1180</v>
      </c>
      <c r="G208" t="s">
        <v>1094</v>
      </c>
      <c r="H208" t="s">
        <v>1254</v>
      </c>
    </row>
    <row r="209" spans="1:8" x14ac:dyDescent="0.25">
      <c r="A209" t="s">
        <v>502</v>
      </c>
      <c r="B209" t="s">
        <v>500</v>
      </c>
      <c r="C209" t="s">
        <v>502</v>
      </c>
      <c r="D209" t="s">
        <v>502</v>
      </c>
      <c r="E209" t="s">
        <v>1184</v>
      </c>
      <c r="F209" t="s">
        <v>1185</v>
      </c>
      <c r="G209" t="s">
        <v>1078</v>
      </c>
      <c r="H209" t="s">
        <v>1215</v>
      </c>
    </row>
    <row r="210" spans="1:8" x14ac:dyDescent="0.25">
      <c r="A210" t="s">
        <v>658</v>
      </c>
      <c r="B210" t="s">
        <v>656</v>
      </c>
      <c r="C210" t="s">
        <v>658</v>
      </c>
      <c r="D210" t="s">
        <v>658</v>
      </c>
      <c r="E210" t="s">
        <v>1193</v>
      </c>
      <c r="F210" t="s">
        <v>1194</v>
      </c>
      <c r="G210" t="s">
        <v>1081</v>
      </c>
      <c r="H210" t="s">
        <v>1232</v>
      </c>
    </row>
    <row r="211" spans="1:8" x14ac:dyDescent="0.25">
      <c r="A211" t="s">
        <v>661</v>
      </c>
      <c r="B211" t="s">
        <v>659</v>
      </c>
      <c r="C211" t="s">
        <v>661</v>
      </c>
      <c r="D211" t="s">
        <v>661</v>
      </c>
      <c r="E211" t="s">
        <v>1193</v>
      </c>
      <c r="F211" t="s">
        <v>1194</v>
      </c>
      <c r="G211" t="s">
        <v>1084</v>
      </c>
      <c r="H211" t="s">
        <v>1231</v>
      </c>
    </row>
    <row r="212" spans="1:8" x14ac:dyDescent="0.25">
      <c r="A212" t="s">
        <v>946</v>
      </c>
      <c r="B212" t="s">
        <v>944</v>
      </c>
      <c r="C212" t="s">
        <v>946</v>
      </c>
      <c r="D212" t="s">
        <v>946</v>
      </c>
      <c r="E212" t="s">
        <v>1204</v>
      </c>
      <c r="F212" t="s">
        <v>21</v>
      </c>
      <c r="G212" t="s">
        <v>1086</v>
      </c>
      <c r="H212" t="s">
        <v>21</v>
      </c>
    </row>
    <row r="213" spans="1:8" x14ac:dyDescent="0.25">
      <c r="A213" t="s">
        <v>220</v>
      </c>
      <c r="B213" t="s">
        <v>218</v>
      </c>
      <c r="C213" t="s">
        <v>220</v>
      </c>
      <c r="D213" t="s">
        <v>220</v>
      </c>
      <c r="E213" t="s">
        <v>1179</v>
      </c>
      <c r="F213" t="s">
        <v>1180</v>
      </c>
      <c r="G213" t="s">
        <v>1094</v>
      </c>
      <c r="H213" t="s">
        <v>1254</v>
      </c>
    </row>
    <row r="214" spans="1:8" x14ac:dyDescent="0.25">
      <c r="A214" t="s">
        <v>124</v>
      </c>
      <c r="B214" t="s">
        <v>122</v>
      </c>
      <c r="C214" t="s">
        <v>124</v>
      </c>
      <c r="D214" t="s">
        <v>124</v>
      </c>
      <c r="E214" t="s">
        <v>1187</v>
      </c>
      <c r="F214" t="s">
        <v>1188</v>
      </c>
      <c r="G214" t="s">
        <v>1067</v>
      </c>
      <c r="H214" t="s">
        <v>1225</v>
      </c>
    </row>
    <row r="215" spans="1:8" x14ac:dyDescent="0.25">
      <c r="A215" t="s">
        <v>913</v>
      </c>
      <c r="B215" t="s">
        <v>911</v>
      </c>
      <c r="C215" t="s">
        <v>913</v>
      </c>
      <c r="D215" t="s">
        <v>1260</v>
      </c>
      <c r="E215" t="s">
        <v>1187</v>
      </c>
      <c r="F215" t="s">
        <v>1188</v>
      </c>
      <c r="G215" t="s">
        <v>1066</v>
      </c>
      <c r="H215" t="s">
        <v>1210</v>
      </c>
    </row>
    <row r="216" spans="1:8" x14ac:dyDescent="0.25">
      <c r="A216" t="s">
        <v>127</v>
      </c>
      <c r="B216" t="s">
        <v>125</v>
      </c>
      <c r="C216" t="s">
        <v>127</v>
      </c>
      <c r="D216" t="s">
        <v>127</v>
      </c>
      <c r="E216" t="s">
        <v>1187</v>
      </c>
      <c r="F216" t="s">
        <v>1188</v>
      </c>
      <c r="G216" t="s">
        <v>1066</v>
      </c>
      <c r="H216" t="s">
        <v>1210</v>
      </c>
    </row>
    <row r="217" spans="1:8" x14ac:dyDescent="0.25">
      <c r="A217" t="s">
        <v>793</v>
      </c>
      <c r="B217" t="s">
        <v>791</v>
      </c>
      <c r="C217" t="s">
        <v>1259</v>
      </c>
      <c r="D217" t="s">
        <v>1259</v>
      </c>
      <c r="E217" t="s">
        <v>1179</v>
      </c>
      <c r="F217" t="s">
        <v>1180</v>
      </c>
      <c r="G217" t="s">
        <v>1070</v>
      </c>
      <c r="H217" t="s">
        <v>1223</v>
      </c>
    </row>
    <row r="218" spans="1:8" x14ac:dyDescent="0.25">
      <c r="A218" t="s">
        <v>664</v>
      </c>
      <c r="B218" t="s">
        <v>662</v>
      </c>
      <c r="C218" t="s">
        <v>664</v>
      </c>
      <c r="D218" t="s">
        <v>664</v>
      </c>
      <c r="E218" t="s">
        <v>1193</v>
      </c>
      <c r="F218" t="s">
        <v>1194</v>
      </c>
      <c r="G218" t="s">
        <v>1082</v>
      </c>
      <c r="H218" t="s">
        <v>1213</v>
      </c>
    </row>
    <row r="219" spans="1:8" x14ac:dyDescent="0.25">
      <c r="A219" t="s">
        <v>52</v>
      </c>
      <c r="B219" t="s">
        <v>50</v>
      </c>
      <c r="C219" t="s">
        <v>52</v>
      </c>
      <c r="D219" t="s">
        <v>52</v>
      </c>
      <c r="E219" t="s">
        <v>1182</v>
      </c>
      <c r="F219" t="s">
        <v>1226</v>
      </c>
      <c r="G219" t="s">
        <v>1064</v>
      </c>
      <c r="H219" t="s">
        <v>1205</v>
      </c>
    </row>
    <row r="220" spans="1:8" x14ac:dyDescent="0.25">
      <c r="A220" t="s">
        <v>403</v>
      </c>
      <c r="B220" t="s">
        <v>401</v>
      </c>
      <c r="C220" t="s">
        <v>403</v>
      </c>
      <c r="D220" t="s">
        <v>403</v>
      </c>
      <c r="E220" t="s">
        <v>1176</v>
      </c>
      <c r="F220" t="s">
        <v>1177</v>
      </c>
      <c r="G220" t="s">
        <v>1076</v>
      </c>
      <c r="H220" t="s">
        <v>1219</v>
      </c>
    </row>
    <row r="221" spans="1:8" x14ac:dyDescent="0.25">
      <c r="A221" t="s">
        <v>406</v>
      </c>
      <c r="B221" t="s">
        <v>404</v>
      </c>
      <c r="C221" t="s">
        <v>406</v>
      </c>
      <c r="D221" t="s">
        <v>406</v>
      </c>
      <c r="E221" t="s">
        <v>1176</v>
      </c>
      <c r="F221" t="s">
        <v>1177</v>
      </c>
      <c r="G221" t="s">
        <v>1075</v>
      </c>
      <c r="H221" t="s">
        <v>1239</v>
      </c>
    </row>
    <row r="222" spans="1:8" x14ac:dyDescent="0.25">
      <c r="A222" t="s">
        <v>55</v>
      </c>
      <c r="B222" t="s">
        <v>53</v>
      </c>
      <c r="C222" t="s">
        <v>55</v>
      </c>
      <c r="D222" t="s">
        <v>55</v>
      </c>
      <c r="E222" t="s">
        <v>1182</v>
      </c>
      <c r="F222" t="s">
        <v>1226</v>
      </c>
      <c r="G222" t="s">
        <v>1064</v>
      </c>
      <c r="H222" t="s">
        <v>1205</v>
      </c>
    </row>
    <row r="223" spans="1:8" x14ac:dyDescent="0.25">
      <c r="A223" t="s">
        <v>667</v>
      </c>
      <c r="B223" t="s">
        <v>665</v>
      </c>
      <c r="C223" t="s">
        <v>667</v>
      </c>
      <c r="D223" t="s">
        <v>667</v>
      </c>
      <c r="E223" t="s">
        <v>1193</v>
      </c>
      <c r="F223" t="s">
        <v>1194</v>
      </c>
      <c r="G223" t="s">
        <v>1080</v>
      </c>
      <c r="H223" t="s">
        <v>1233</v>
      </c>
    </row>
    <row r="224" spans="1:8" x14ac:dyDescent="0.25">
      <c r="A224" t="s">
        <v>784</v>
      </c>
      <c r="B224" t="s">
        <v>782</v>
      </c>
      <c r="C224" t="s">
        <v>1258</v>
      </c>
      <c r="D224" t="s">
        <v>1258</v>
      </c>
      <c r="E224" t="s">
        <v>1179</v>
      </c>
      <c r="F224" t="s">
        <v>1180</v>
      </c>
      <c r="G224" t="s">
        <v>1070</v>
      </c>
      <c r="H224" t="s">
        <v>1223</v>
      </c>
    </row>
    <row r="225" spans="1:8" x14ac:dyDescent="0.25">
      <c r="A225" t="s">
        <v>409</v>
      </c>
      <c r="B225" t="s">
        <v>407</v>
      </c>
      <c r="C225" t="s">
        <v>409</v>
      </c>
      <c r="D225" t="s">
        <v>1257</v>
      </c>
      <c r="E225" t="s">
        <v>1176</v>
      </c>
      <c r="F225" t="s">
        <v>1177</v>
      </c>
      <c r="G225" t="s">
        <v>1076</v>
      </c>
      <c r="H225" t="s">
        <v>1219</v>
      </c>
    </row>
    <row r="226" spans="1:8" x14ac:dyDescent="0.25">
      <c r="A226" t="s">
        <v>505</v>
      </c>
      <c r="B226" t="s">
        <v>503</v>
      </c>
      <c r="C226" t="s">
        <v>505</v>
      </c>
      <c r="D226" t="s">
        <v>505</v>
      </c>
      <c r="E226" t="s">
        <v>1196</v>
      </c>
      <c r="F226" t="s">
        <v>310</v>
      </c>
      <c r="G226" t="s">
        <v>1074</v>
      </c>
      <c r="H226" t="s">
        <v>1218</v>
      </c>
    </row>
    <row r="227" spans="1:8" x14ac:dyDescent="0.25">
      <c r="A227" t="s">
        <v>898</v>
      </c>
      <c r="B227" t="s">
        <v>896</v>
      </c>
      <c r="C227" t="s">
        <v>898</v>
      </c>
      <c r="D227" t="s">
        <v>898</v>
      </c>
      <c r="E227" t="s">
        <v>1179</v>
      </c>
      <c r="F227" t="s">
        <v>1180</v>
      </c>
      <c r="G227" t="s">
        <v>1073</v>
      </c>
      <c r="H227" t="s">
        <v>1217</v>
      </c>
    </row>
    <row r="228" spans="1:8" x14ac:dyDescent="0.25">
      <c r="A228" t="s">
        <v>508</v>
      </c>
      <c r="B228" t="s">
        <v>506</v>
      </c>
      <c r="C228" t="s">
        <v>508</v>
      </c>
      <c r="D228" t="s">
        <v>508</v>
      </c>
      <c r="E228" t="s">
        <v>1184</v>
      </c>
      <c r="F228" t="s">
        <v>1185</v>
      </c>
      <c r="G228" t="s">
        <v>1101</v>
      </c>
      <c r="H228" t="s">
        <v>1211</v>
      </c>
    </row>
    <row r="229" spans="1:8" x14ac:dyDescent="0.25">
      <c r="A229" t="s">
        <v>943</v>
      </c>
      <c r="B229" t="s">
        <v>941</v>
      </c>
      <c r="C229" t="s">
        <v>1256</v>
      </c>
      <c r="D229" t="s">
        <v>1256</v>
      </c>
      <c r="E229" t="s">
        <v>1198</v>
      </c>
      <c r="F229" t="s">
        <v>1199</v>
      </c>
      <c r="G229" t="s">
        <v>1085</v>
      </c>
      <c r="H229" t="s">
        <v>1229</v>
      </c>
    </row>
    <row r="230" spans="1:8" x14ac:dyDescent="0.25">
      <c r="A230" t="s">
        <v>616</v>
      </c>
      <c r="B230" t="s">
        <v>614</v>
      </c>
      <c r="C230" t="s">
        <v>616</v>
      </c>
      <c r="D230" t="s">
        <v>616</v>
      </c>
      <c r="E230" t="s">
        <v>1204</v>
      </c>
      <c r="F230" t="s">
        <v>21</v>
      </c>
      <c r="G230" t="s">
        <v>1086</v>
      </c>
      <c r="H230" t="s">
        <v>21</v>
      </c>
    </row>
    <row r="231" spans="1:8" x14ac:dyDescent="0.25">
      <c r="A231" t="s">
        <v>973</v>
      </c>
      <c r="B231" t="s">
        <v>971</v>
      </c>
      <c r="C231" t="s">
        <v>973</v>
      </c>
      <c r="D231" t="s">
        <v>1255</v>
      </c>
      <c r="E231" t="s">
        <v>1184</v>
      </c>
      <c r="F231" t="s">
        <v>1185</v>
      </c>
      <c r="G231" t="s">
        <v>1077</v>
      </c>
      <c r="H231" t="s">
        <v>1216</v>
      </c>
    </row>
    <row r="232" spans="1:8" x14ac:dyDescent="0.25">
      <c r="A232" t="s">
        <v>412</v>
      </c>
      <c r="B232" t="s">
        <v>410</v>
      </c>
      <c r="C232" t="s">
        <v>412</v>
      </c>
      <c r="D232" t="s">
        <v>412</v>
      </c>
      <c r="E232" t="s">
        <v>1176</v>
      </c>
      <c r="F232" t="s">
        <v>1177</v>
      </c>
      <c r="G232" t="s">
        <v>1076</v>
      </c>
      <c r="H232" t="s">
        <v>1219</v>
      </c>
    </row>
    <row r="233" spans="1:8" x14ac:dyDescent="0.25">
      <c r="A233" t="s">
        <v>223</v>
      </c>
      <c r="B233" t="s">
        <v>221</v>
      </c>
      <c r="C233" t="s">
        <v>223</v>
      </c>
      <c r="D233" t="s">
        <v>223</v>
      </c>
      <c r="E233" t="s">
        <v>1179</v>
      </c>
      <c r="F233" t="s">
        <v>1180</v>
      </c>
      <c r="G233" t="s">
        <v>1094</v>
      </c>
      <c r="H233" t="s">
        <v>1254</v>
      </c>
    </row>
    <row r="234" spans="1:8" x14ac:dyDescent="0.25">
      <c r="A234" t="s">
        <v>130</v>
      </c>
      <c r="B234" t="s">
        <v>128</v>
      </c>
      <c r="C234" t="s">
        <v>130</v>
      </c>
      <c r="D234" t="s">
        <v>130</v>
      </c>
      <c r="E234" t="s">
        <v>1187</v>
      </c>
      <c r="F234" t="s">
        <v>1188</v>
      </c>
      <c r="G234" t="s">
        <v>1066</v>
      </c>
      <c r="H234" t="s">
        <v>1210</v>
      </c>
    </row>
    <row r="235" spans="1:8" x14ac:dyDescent="0.25">
      <c r="A235" t="s">
        <v>571</v>
      </c>
      <c r="B235" t="s">
        <v>569</v>
      </c>
      <c r="C235" t="s">
        <v>571</v>
      </c>
      <c r="D235" t="s">
        <v>571</v>
      </c>
      <c r="E235" t="s">
        <v>1201</v>
      </c>
      <c r="F235" t="s">
        <v>1202</v>
      </c>
      <c r="G235" t="s">
        <v>1079</v>
      </c>
      <c r="H235" t="s">
        <v>1202</v>
      </c>
    </row>
    <row r="236" spans="1:8" x14ac:dyDescent="0.25">
      <c r="A236" t="s">
        <v>226</v>
      </c>
      <c r="B236" t="s">
        <v>224</v>
      </c>
      <c r="C236" t="s">
        <v>226</v>
      </c>
      <c r="D236" t="s">
        <v>226</v>
      </c>
      <c r="E236" t="s">
        <v>1179</v>
      </c>
      <c r="F236" t="s">
        <v>1180</v>
      </c>
      <c r="G236" t="s">
        <v>1073</v>
      </c>
      <c r="H236" t="s">
        <v>1217</v>
      </c>
    </row>
    <row r="237" spans="1:8" x14ac:dyDescent="0.25">
      <c r="A237" t="s">
        <v>301</v>
      </c>
      <c r="B237" t="s">
        <v>299</v>
      </c>
      <c r="C237" t="s">
        <v>301</v>
      </c>
      <c r="D237" t="s">
        <v>301</v>
      </c>
      <c r="E237" t="s">
        <v>1196</v>
      </c>
      <c r="F237" t="s">
        <v>310</v>
      </c>
      <c r="G237" t="s">
        <v>1071</v>
      </c>
      <c r="H237" t="s">
        <v>1230</v>
      </c>
    </row>
    <row r="238" spans="1:8" x14ac:dyDescent="0.25">
      <c r="A238" t="s">
        <v>820</v>
      </c>
      <c r="B238" t="s">
        <v>818</v>
      </c>
      <c r="C238" t="s">
        <v>1253</v>
      </c>
      <c r="D238" t="s">
        <v>1252</v>
      </c>
      <c r="E238" t="s">
        <v>1193</v>
      </c>
      <c r="F238" t="s">
        <v>1194</v>
      </c>
      <c r="G238" t="s">
        <v>1081</v>
      </c>
      <c r="H238" t="s">
        <v>1232</v>
      </c>
    </row>
    <row r="239" spans="1:8" x14ac:dyDescent="0.25">
      <c r="A239" t="s">
        <v>229</v>
      </c>
      <c r="B239" t="s">
        <v>227</v>
      </c>
      <c r="C239" t="s">
        <v>229</v>
      </c>
      <c r="D239" t="s">
        <v>229</v>
      </c>
      <c r="E239" t="s">
        <v>1179</v>
      </c>
      <c r="F239" t="s">
        <v>1180</v>
      </c>
      <c r="G239" t="s">
        <v>1073</v>
      </c>
      <c r="H239" t="s">
        <v>1217</v>
      </c>
    </row>
    <row r="240" spans="1:8" x14ac:dyDescent="0.25">
      <c r="A240" t="s">
        <v>304</v>
      </c>
      <c r="B240" t="s">
        <v>302</v>
      </c>
      <c r="C240" t="s">
        <v>304</v>
      </c>
      <c r="D240" t="s">
        <v>304</v>
      </c>
      <c r="E240" t="s">
        <v>1196</v>
      </c>
      <c r="F240" t="s">
        <v>310</v>
      </c>
      <c r="G240" t="s">
        <v>1071</v>
      </c>
      <c r="H240" t="s">
        <v>1230</v>
      </c>
    </row>
    <row r="241" spans="1:8" x14ac:dyDescent="0.25">
      <c r="A241" t="s">
        <v>511</v>
      </c>
      <c r="B241" t="s">
        <v>509</v>
      </c>
      <c r="C241" t="s">
        <v>511</v>
      </c>
      <c r="D241" t="s">
        <v>511</v>
      </c>
      <c r="E241" t="s">
        <v>1184</v>
      </c>
      <c r="F241" t="s">
        <v>1185</v>
      </c>
      <c r="G241" t="s">
        <v>1077</v>
      </c>
      <c r="H241" t="s">
        <v>1216</v>
      </c>
    </row>
    <row r="242" spans="1:8" x14ac:dyDescent="0.25">
      <c r="A242" t="s">
        <v>907</v>
      </c>
      <c r="B242" t="s">
        <v>905</v>
      </c>
      <c r="C242" t="s">
        <v>907</v>
      </c>
      <c r="D242" t="s">
        <v>1251</v>
      </c>
      <c r="E242" t="s">
        <v>1187</v>
      </c>
      <c r="F242" t="s">
        <v>1188</v>
      </c>
      <c r="G242" t="s">
        <v>1067</v>
      </c>
      <c r="H242" t="s">
        <v>1225</v>
      </c>
    </row>
    <row r="243" spans="1:8" x14ac:dyDescent="0.25">
      <c r="A243" t="s">
        <v>1250</v>
      </c>
      <c r="B243" t="s">
        <v>515</v>
      </c>
      <c r="C243" t="s">
        <v>517</v>
      </c>
      <c r="D243" t="s">
        <v>517</v>
      </c>
      <c r="E243" t="s">
        <v>1184</v>
      </c>
      <c r="F243" t="s">
        <v>1185</v>
      </c>
      <c r="G243" t="s">
        <v>1077</v>
      </c>
      <c r="H243" t="s">
        <v>1216</v>
      </c>
    </row>
    <row r="244" spans="1:8" x14ac:dyDescent="0.25">
      <c r="A244" t="s">
        <v>823</v>
      </c>
      <c r="B244" t="s">
        <v>821</v>
      </c>
      <c r="C244" t="s">
        <v>823</v>
      </c>
      <c r="D244" t="s">
        <v>823</v>
      </c>
      <c r="E244" t="s">
        <v>1198</v>
      </c>
      <c r="F244" t="s">
        <v>1199</v>
      </c>
      <c r="G244" t="s">
        <v>1085</v>
      </c>
      <c r="H244" t="s">
        <v>1229</v>
      </c>
    </row>
    <row r="245" spans="1:8" x14ac:dyDescent="0.25">
      <c r="A245" t="s">
        <v>751</v>
      </c>
      <c r="B245" t="s">
        <v>749</v>
      </c>
      <c r="C245" t="s">
        <v>751</v>
      </c>
      <c r="D245" t="s">
        <v>751</v>
      </c>
      <c r="E245" t="s">
        <v>1198</v>
      </c>
      <c r="F245" t="s">
        <v>1199</v>
      </c>
      <c r="G245" t="s">
        <v>1085</v>
      </c>
      <c r="H245" t="s">
        <v>1229</v>
      </c>
    </row>
    <row r="246" spans="1:8" x14ac:dyDescent="0.25">
      <c r="A246" t="s">
        <v>586</v>
      </c>
      <c r="B246" t="s">
        <v>584</v>
      </c>
      <c r="C246" t="s">
        <v>1249</v>
      </c>
      <c r="D246" t="s">
        <v>1248</v>
      </c>
      <c r="E246" t="s">
        <v>1196</v>
      </c>
      <c r="F246" t="s">
        <v>310</v>
      </c>
      <c r="G246" t="s">
        <v>1074</v>
      </c>
      <c r="H246" t="s">
        <v>1218</v>
      </c>
    </row>
    <row r="247" spans="1:8" x14ac:dyDescent="0.25">
      <c r="A247" t="s">
        <v>826</v>
      </c>
      <c r="B247" t="s">
        <v>824</v>
      </c>
      <c r="C247" t="s">
        <v>826</v>
      </c>
      <c r="D247" t="s">
        <v>826</v>
      </c>
      <c r="E247" t="s">
        <v>1193</v>
      </c>
      <c r="F247" t="s">
        <v>1194</v>
      </c>
      <c r="G247" t="s">
        <v>1082</v>
      </c>
      <c r="H247" t="s">
        <v>1213</v>
      </c>
    </row>
    <row r="248" spans="1:8" x14ac:dyDescent="0.25">
      <c r="A248" t="s">
        <v>514</v>
      </c>
      <c r="B248" t="s">
        <v>512</v>
      </c>
      <c r="C248" t="s">
        <v>514</v>
      </c>
      <c r="D248" t="s">
        <v>514</v>
      </c>
      <c r="E248" t="s">
        <v>1184</v>
      </c>
      <c r="F248" t="s">
        <v>1185</v>
      </c>
      <c r="G248" t="s">
        <v>1077</v>
      </c>
      <c r="H248" t="s">
        <v>1216</v>
      </c>
    </row>
    <row r="249" spans="1:8" x14ac:dyDescent="0.25">
      <c r="A249" t="s">
        <v>232</v>
      </c>
      <c r="B249" t="s">
        <v>230</v>
      </c>
      <c r="C249" t="s">
        <v>232</v>
      </c>
      <c r="D249" t="s">
        <v>232</v>
      </c>
      <c r="E249" t="s">
        <v>1179</v>
      </c>
      <c r="F249" t="s">
        <v>1180</v>
      </c>
      <c r="G249" t="s">
        <v>1073</v>
      </c>
      <c r="H249" t="s">
        <v>1217</v>
      </c>
    </row>
    <row r="250" spans="1:8" x14ac:dyDescent="0.25">
      <c r="A250" t="s">
        <v>670</v>
      </c>
      <c r="B250" t="s">
        <v>668</v>
      </c>
      <c r="C250" t="s">
        <v>670</v>
      </c>
      <c r="D250" t="s">
        <v>670</v>
      </c>
      <c r="E250" t="s">
        <v>1193</v>
      </c>
      <c r="F250" t="s">
        <v>1194</v>
      </c>
      <c r="G250" t="s">
        <v>1082</v>
      </c>
      <c r="H250" t="s">
        <v>1213</v>
      </c>
    </row>
    <row r="251" spans="1:8" x14ac:dyDescent="0.25">
      <c r="A251" t="s">
        <v>415</v>
      </c>
      <c r="B251" t="s">
        <v>413</v>
      </c>
      <c r="C251" t="s">
        <v>415</v>
      </c>
      <c r="D251" t="s">
        <v>415</v>
      </c>
      <c r="E251" t="s">
        <v>1176</v>
      </c>
      <c r="F251" t="s">
        <v>1177</v>
      </c>
      <c r="G251" t="s">
        <v>1075</v>
      </c>
      <c r="H251" t="s">
        <v>1239</v>
      </c>
    </row>
    <row r="252" spans="1:8" x14ac:dyDescent="0.25">
      <c r="A252" t="s">
        <v>235</v>
      </c>
      <c r="B252" t="s">
        <v>233</v>
      </c>
      <c r="C252" t="s">
        <v>235</v>
      </c>
      <c r="D252" t="s">
        <v>235</v>
      </c>
      <c r="E252" t="s">
        <v>1179</v>
      </c>
      <c r="F252" t="s">
        <v>1180</v>
      </c>
      <c r="G252" t="s">
        <v>1071</v>
      </c>
      <c r="H252" t="s">
        <v>1230</v>
      </c>
    </row>
    <row r="253" spans="1:8" x14ac:dyDescent="0.25">
      <c r="A253" t="s">
        <v>520</v>
      </c>
      <c r="B253" t="s">
        <v>518</v>
      </c>
      <c r="C253" t="s">
        <v>520</v>
      </c>
      <c r="D253" t="s">
        <v>520</v>
      </c>
      <c r="E253" t="s">
        <v>1184</v>
      </c>
      <c r="F253" t="s">
        <v>1185</v>
      </c>
      <c r="G253" t="s">
        <v>1077</v>
      </c>
      <c r="H253" t="s">
        <v>1216</v>
      </c>
    </row>
    <row r="254" spans="1:8" x14ac:dyDescent="0.25">
      <c r="A254" t="s">
        <v>58</v>
      </c>
      <c r="B254" t="s">
        <v>56</v>
      </c>
      <c r="C254" t="s">
        <v>58</v>
      </c>
      <c r="D254" t="s">
        <v>58</v>
      </c>
      <c r="E254" t="s">
        <v>1182</v>
      </c>
      <c r="F254" t="s">
        <v>1226</v>
      </c>
      <c r="G254" t="s">
        <v>1064</v>
      </c>
      <c r="H254" t="s">
        <v>1205</v>
      </c>
    </row>
    <row r="255" spans="1:8" x14ac:dyDescent="0.25">
      <c r="A255" t="s">
        <v>829</v>
      </c>
      <c r="B255" t="s">
        <v>827</v>
      </c>
      <c r="C255" t="s">
        <v>829</v>
      </c>
      <c r="D255" t="s">
        <v>1247</v>
      </c>
      <c r="E255" t="s">
        <v>1201</v>
      </c>
      <c r="F255" t="s">
        <v>1202</v>
      </c>
      <c r="G255" t="s">
        <v>1079</v>
      </c>
      <c r="H255" t="s">
        <v>1202</v>
      </c>
    </row>
    <row r="256" spans="1:8" x14ac:dyDescent="0.25">
      <c r="A256" t="s">
        <v>754</v>
      </c>
      <c r="B256" t="s">
        <v>752</v>
      </c>
      <c r="C256" t="s">
        <v>754</v>
      </c>
      <c r="D256" t="s">
        <v>754</v>
      </c>
      <c r="E256" t="s">
        <v>1198</v>
      </c>
      <c r="F256" t="s">
        <v>1199</v>
      </c>
      <c r="G256" t="s">
        <v>1083</v>
      </c>
      <c r="H256" t="s">
        <v>1235</v>
      </c>
    </row>
    <row r="257" spans="1:8" x14ac:dyDescent="0.25">
      <c r="A257" t="s">
        <v>673</v>
      </c>
      <c r="B257" t="s">
        <v>671</v>
      </c>
      <c r="C257" t="s">
        <v>673</v>
      </c>
      <c r="D257" t="s">
        <v>1246</v>
      </c>
      <c r="E257" t="s">
        <v>1193</v>
      </c>
      <c r="F257" t="s">
        <v>1194</v>
      </c>
      <c r="G257" t="s">
        <v>1080</v>
      </c>
      <c r="H257" t="s">
        <v>1233</v>
      </c>
    </row>
    <row r="258" spans="1:8" x14ac:dyDescent="0.25">
      <c r="A258" t="s">
        <v>931</v>
      </c>
      <c r="B258" t="s">
        <v>929</v>
      </c>
      <c r="C258" t="s">
        <v>931</v>
      </c>
      <c r="D258" t="s">
        <v>1245</v>
      </c>
      <c r="E258" t="s">
        <v>1198</v>
      </c>
      <c r="F258" t="s">
        <v>1199</v>
      </c>
      <c r="G258" t="s">
        <v>1083</v>
      </c>
      <c r="H258" t="s">
        <v>1235</v>
      </c>
    </row>
    <row r="259" spans="1:8" x14ac:dyDescent="0.25">
      <c r="A259" t="s">
        <v>523</v>
      </c>
      <c r="B259" t="s">
        <v>521</v>
      </c>
      <c r="C259" t="s">
        <v>523</v>
      </c>
      <c r="D259" t="s">
        <v>523</v>
      </c>
      <c r="E259" t="s">
        <v>1184</v>
      </c>
      <c r="F259" t="s">
        <v>1185</v>
      </c>
      <c r="G259" t="s">
        <v>1101</v>
      </c>
      <c r="H259" t="s">
        <v>1211</v>
      </c>
    </row>
    <row r="260" spans="1:8" x14ac:dyDescent="0.25">
      <c r="A260" t="s">
        <v>871</v>
      </c>
      <c r="B260" t="s">
        <v>869</v>
      </c>
      <c r="C260" t="s">
        <v>871</v>
      </c>
      <c r="D260" t="s">
        <v>871</v>
      </c>
      <c r="E260" t="s">
        <v>1201</v>
      </c>
      <c r="F260" t="s">
        <v>1202</v>
      </c>
      <c r="G260" t="s">
        <v>1079</v>
      </c>
      <c r="H260" t="s">
        <v>1202</v>
      </c>
    </row>
    <row r="261" spans="1:8" x14ac:dyDescent="0.25">
      <c r="A261" t="s">
        <v>61</v>
      </c>
      <c r="B261" t="s">
        <v>59</v>
      </c>
      <c r="C261" t="s">
        <v>61</v>
      </c>
      <c r="D261" t="s">
        <v>61</v>
      </c>
      <c r="E261" t="s">
        <v>1182</v>
      </c>
      <c r="F261" t="s">
        <v>1226</v>
      </c>
      <c r="G261" t="s">
        <v>1064</v>
      </c>
      <c r="H261" t="s">
        <v>1205</v>
      </c>
    </row>
    <row r="262" spans="1:8" x14ac:dyDescent="0.25">
      <c r="A262" t="s">
        <v>307</v>
      </c>
      <c r="B262" t="s">
        <v>305</v>
      </c>
      <c r="C262" t="s">
        <v>307</v>
      </c>
      <c r="D262" t="s">
        <v>307</v>
      </c>
      <c r="E262" t="s">
        <v>1196</v>
      </c>
      <c r="F262" t="s">
        <v>310</v>
      </c>
      <c r="G262" t="s">
        <v>1072</v>
      </c>
      <c r="H262" t="s">
        <v>271</v>
      </c>
    </row>
    <row r="263" spans="1:8" x14ac:dyDescent="0.25">
      <c r="A263" t="s">
        <v>676</v>
      </c>
      <c r="B263" t="s">
        <v>674</v>
      </c>
      <c r="C263" t="s">
        <v>676</v>
      </c>
      <c r="D263" t="s">
        <v>676</v>
      </c>
      <c r="E263" t="s">
        <v>1193</v>
      </c>
      <c r="F263" t="s">
        <v>1194</v>
      </c>
      <c r="G263" t="s">
        <v>1081</v>
      </c>
      <c r="H263" t="s">
        <v>1232</v>
      </c>
    </row>
    <row r="264" spans="1:8" x14ac:dyDescent="0.25">
      <c r="A264" t="s">
        <v>679</v>
      </c>
      <c r="B264" t="s">
        <v>677</v>
      </c>
      <c r="C264" t="s">
        <v>1244</v>
      </c>
      <c r="D264" t="s">
        <v>1244</v>
      </c>
      <c r="E264" t="s">
        <v>1193</v>
      </c>
      <c r="F264" t="s">
        <v>1194</v>
      </c>
      <c r="G264" t="s">
        <v>1081</v>
      </c>
      <c r="H264" t="s">
        <v>1232</v>
      </c>
    </row>
    <row r="265" spans="1:8" x14ac:dyDescent="0.25">
      <c r="A265" t="s">
        <v>28</v>
      </c>
      <c r="B265" t="s">
        <v>26</v>
      </c>
      <c r="C265" t="s">
        <v>28</v>
      </c>
      <c r="D265" t="s">
        <v>28</v>
      </c>
      <c r="E265" t="s">
        <v>1204</v>
      </c>
      <c r="F265" t="s">
        <v>21</v>
      </c>
      <c r="G265" t="s">
        <v>1086</v>
      </c>
      <c r="H265" t="s">
        <v>21</v>
      </c>
    </row>
    <row r="266" spans="1:8" x14ac:dyDescent="0.25">
      <c r="A266" t="s">
        <v>133</v>
      </c>
      <c r="B266" t="s">
        <v>131</v>
      </c>
      <c r="C266" t="s">
        <v>133</v>
      </c>
      <c r="D266" t="s">
        <v>133</v>
      </c>
      <c r="E266" t="s">
        <v>1187</v>
      </c>
      <c r="F266" t="s">
        <v>1188</v>
      </c>
      <c r="G266" t="s">
        <v>1066</v>
      </c>
      <c r="H266" t="s">
        <v>1210</v>
      </c>
    </row>
    <row r="267" spans="1:8" x14ac:dyDescent="0.25">
      <c r="A267" t="s">
        <v>472</v>
      </c>
      <c r="B267" t="s">
        <v>470</v>
      </c>
      <c r="C267" t="s">
        <v>1243</v>
      </c>
      <c r="D267" t="s">
        <v>1243</v>
      </c>
      <c r="E267" t="s">
        <v>1176</v>
      </c>
      <c r="F267" t="s">
        <v>1177</v>
      </c>
      <c r="G267" t="s">
        <v>1075</v>
      </c>
      <c r="H267" t="s">
        <v>1239</v>
      </c>
    </row>
    <row r="268" spans="1:8" x14ac:dyDescent="0.25">
      <c r="A268" t="s">
        <v>682</v>
      </c>
      <c r="B268" t="s">
        <v>680</v>
      </c>
      <c r="C268" t="s">
        <v>682</v>
      </c>
      <c r="D268" t="s">
        <v>682</v>
      </c>
      <c r="E268" t="s">
        <v>1193</v>
      </c>
      <c r="F268" t="s">
        <v>1194</v>
      </c>
      <c r="G268" t="s">
        <v>1082</v>
      </c>
      <c r="H268" t="s">
        <v>1213</v>
      </c>
    </row>
    <row r="269" spans="1:8" x14ac:dyDescent="0.25">
      <c r="A269" t="s">
        <v>862</v>
      </c>
      <c r="B269" t="s">
        <v>860</v>
      </c>
      <c r="C269" t="s">
        <v>862</v>
      </c>
      <c r="D269" t="s">
        <v>862</v>
      </c>
      <c r="E269" t="s">
        <v>1187</v>
      </c>
      <c r="F269" t="s">
        <v>1188</v>
      </c>
      <c r="G269" t="s">
        <v>1066</v>
      </c>
      <c r="H269" t="s">
        <v>1210</v>
      </c>
    </row>
    <row r="270" spans="1:8" x14ac:dyDescent="0.25">
      <c r="A270" t="s">
        <v>1242</v>
      </c>
      <c r="B270" t="s">
        <v>755</v>
      </c>
      <c r="C270" t="s">
        <v>757</v>
      </c>
      <c r="D270" t="s">
        <v>757</v>
      </c>
      <c r="E270" t="s">
        <v>1198</v>
      </c>
      <c r="F270" t="s">
        <v>1199</v>
      </c>
      <c r="G270" t="s">
        <v>1083</v>
      </c>
      <c r="H270" t="s">
        <v>1235</v>
      </c>
    </row>
    <row r="271" spans="1:8" x14ac:dyDescent="0.25">
      <c r="A271" t="s">
        <v>961</v>
      </c>
      <c r="B271" t="s">
        <v>959</v>
      </c>
      <c r="C271" t="s">
        <v>1241</v>
      </c>
      <c r="D271" t="s">
        <v>1241</v>
      </c>
      <c r="E271" t="s">
        <v>1196</v>
      </c>
      <c r="F271" t="s">
        <v>310</v>
      </c>
      <c r="G271" t="s">
        <v>1074</v>
      </c>
      <c r="H271" t="s">
        <v>1218</v>
      </c>
    </row>
    <row r="272" spans="1:8" x14ac:dyDescent="0.25">
      <c r="A272" t="s">
        <v>952</v>
      </c>
      <c r="B272" t="s">
        <v>950</v>
      </c>
      <c r="C272" t="s">
        <v>952</v>
      </c>
      <c r="D272" t="s">
        <v>1240</v>
      </c>
      <c r="E272" t="s">
        <v>1182</v>
      </c>
      <c r="F272" t="s">
        <v>1226</v>
      </c>
      <c r="G272" t="s">
        <v>1064</v>
      </c>
      <c r="H272" t="s">
        <v>1205</v>
      </c>
    </row>
    <row r="273" spans="1:8" x14ac:dyDescent="0.25">
      <c r="A273" t="s">
        <v>574</v>
      </c>
      <c r="B273" t="s">
        <v>572</v>
      </c>
      <c r="C273" t="s">
        <v>574</v>
      </c>
      <c r="D273" t="s">
        <v>574</v>
      </c>
      <c r="E273" t="s">
        <v>1201</v>
      </c>
      <c r="F273" t="s">
        <v>1202</v>
      </c>
      <c r="G273" t="s">
        <v>1079</v>
      </c>
      <c r="H273" t="s">
        <v>1202</v>
      </c>
    </row>
    <row r="274" spans="1:8" x14ac:dyDescent="0.25">
      <c r="A274" t="s">
        <v>64</v>
      </c>
      <c r="B274" t="s">
        <v>62</v>
      </c>
      <c r="C274" t="s">
        <v>64</v>
      </c>
      <c r="D274" t="s">
        <v>64</v>
      </c>
      <c r="E274" t="s">
        <v>1182</v>
      </c>
      <c r="F274" t="s">
        <v>1226</v>
      </c>
      <c r="G274" t="s">
        <v>1064</v>
      </c>
      <c r="H274" t="s">
        <v>1205</v>
      </c>
    </row>
    <row r="275" spans="1:8" x14ac:dyDescent="0.25">
      <c r="A275" t="s">
        <v>418</v>
      </c>
      <c r="B275" t="s">
        <v>416</v>
      </c>
      <c r="C275" t="s">
        <v>418</v>
      </c>
      <c r="D275" t="s">
        <v>418</v>
      </c>
      <c r="E275" t="s">
        <v>1176</v>
      </c>
      <c r="F275" t="s">
        <v>1177</v>
      </c>
      <c r="G275" t="s">
        <v>1075</v>
      </c>
      <c r="H275" t="s">
        <v>1239</v>
      </c>
    </row>
    <row r="276" spans="1:8" x14ac:dyDescent="0.25">
      <c r="A276" t="s">
        <v>787</v>
      </c>
      <c r="B276" t="s">
        <v>785</v>
      </c>
      <c r="C276" t="s">
        <v>787</v>
      </c>
      <c r="D276" t="s">
        <v>787</v>
      </c>
      <c r="E276" t="s">
        <v>1184</v>
      </c>
      <c r="F276" t="s">
        <v>1185</v>
      </c>
      <c r="G276" t="s">
        <v>1078</v>
      </c>
      <c r="H276" t="s">
        <v>1215</v>
      </c>
    </row>
    <row r="277" spans="1:8" x14ac:dyDescent="0.25">
      <c r="A277" t="s">
        <v>577</v>
      </c>
      <c r="B277" t="s">
        <v>575</v>
      </c>
      <c r="C277" t="s">
        <v>577</v>
      </c>
      <c r="D277" t="s">
        <v>577</v>
      </c>
      <c r="E277" t="s">
        <v>1201</v>
      </c>
      <c r="F277" t="s">
        <v>1202</v>
      </c>
      <c r="G277" t="s">
        <v>1079</v>
      </c>
      <c r="H277" t="s">
        <v>1202</v>
      </c>
    </row>
    <row r="278" spans="1:8" x14ac:dyDescent="0.25">
      <c r="A278" t="s">
        <v>238</v>
      </c>
      <c r="B278" t="s">
        <v>236</v>
      </c>
      <c r="C278" t="s">
        <v>238</v>
      </c>
      <c r="D278" t="s">
        <v>238</v>
      </c>
      <c r="E278" t="s">
        <v>1179</v>
      </c>
      <c r="F278" t="s">
        <v>1180</v>
      </c>
      <c r="G278" t="s">
        <v>1069</v>
      </c>
      <c r="H278" t="s">
        <v>1220</v>
      </c>
    </row>
    <row r="279" spans="1:8" x14ac:dyDescent="0.25">
      <c r="A279" t="s">
        <v>688</v>
      </c>
      <c r="B279" t="s">
        <v>686</v>
      </c>
      <c r="C279" t="s">
        <v>688</v>
      </c>
      <c r="D279" t="s">
        <v>688</v>
      </c>
      <c r="E279" t="s">
        <v>1193</v>
      </c>
      <c r="F279" t="s">
        <v>1194</v>
      </c>
      <c r="G279" t="s">
        <v>1084</v>
      </c>
      <c r="H279" t="s">
        <v>1231</v>
      </c>
    </row>
    <row r="280" spans="1:8" x14ac:dyDescent="0.25">
      <c r="A280" t="s">
        <v>136</v>
      </c>
      <c r="B280" t="s">
        <v>134</v>
      </c>
      <c r="C280" t="s">
        <v>136</v>
      </c>
      <c r="D280" t="s">
        <v>136</v>
      </c>
      <c r="E280" t="s">
        <v>1187</v>
      </c>
      <c r="F280" t="s">
        <v>1188</v>
      </c>
      <c r="G280" t="s">
        <v>1067</v>
      </c>
      <c r="H280" t="s">
        <v>1225</v>
      </c>
    </row>
    <row r="281" spans="1:8" x14ac:dyDescent="0.25">
      <c r="A281" t="s">
        <v>850</v>
      </c>
      <c r="B281" t="s">
        <v>848</v>
      </c>
      <c r="C281" t="s">
        <v>850</v>
      </c>
      <c r="D281" t="s">
        <v>850</v>
      </c>
      <c r="E281" t="s">
        <v>1187</v>
      </c>
      <c r="F281" t="s">
        <v>1188</v>
      </c>
      <c r="G281" t="s">
        <v>1067</v>
      </c>
      <c r="H281" t="s">
        <v>1225</v>
      </c>
    </row>
    <row r="282" spans="1:8" x14ac:dyDescent="0.25">
      <c r="A282" t="s">
        <v>892</v>
      </c>
      <c r="B282" t="s">
        <v>890</v>
      </c>
      <c r="C282" t="s">
        <v>892</v>
      </c>
      <c r="D282" t="s">
        <v>892</v>
      </c>
      <c r="E282" t="s">
        <v>1173</v>
      </c>
      <c r="F282" t="s">
        <v>1174</v>
      </c>
      <c r="G282" t="s">
        <v>1065</v>
      </c>
      <c r="H282" t="s">
        <v>1174</v>
      </c>
    </row>
    <row r="283" spans="1:8" x14ac:dyDescent="0.25">
      <c r="A283" t="s">
        <v>589</v>
      </c>
      <c r="B283" t="s">
        <v>587</v>
      </c>
      <c r="C283" t="s">
        <v>589</v>
      </c>
      <c r="D283" t="s">
        <v>589</v>
      </c>
      <c r="E283" t="s">
        <v>1182</v>
      </c>
      <c r="F283" t="s">
        <v>1226</v>
      </c>
      <c r="G283" t="s">
        <v>1064</v>
      </c>
      <c r="H283" t="s">
        <v>1205</v>
      </c>
    </row>
    <row r="284" spans="1:8" x14ac:dyDescent="0.25">
      <c r="A284" t="s">
        <v>421</v>
      </c>
      <c r="B284" t="s">
        <v>419</v>
      </c>
      <c r="C284" t="s">
        <v>421</v>
      </c>
      <c r="D284" t="s">
        <v>421</v>
      </c>
      <c r="E284" t="s">
        <v>1176</v>
      </c>
      <c r="F284" t="s">
        <v>1177</v>
      </c>
      <c r="G284" t="s">
        <v>1075</v>
      </c>
      <c r="H284" t="s">
        <v>1239</v>
      </c>
    </row>
    <row r="285" spans="1:8" x14ac:dyDescent="0.25">
      <c r="A285" t="s">
        <v>424</v>
      </c>
      <c r="B285" t="s">
        <v>422</v>
      </c>
      <c r="C285" t="s">
        <v>424</v>
      </c>
      <c r="D285" t="s">
        <v>424</v>
      </c>
      <c r="E285" t="s">
        <v>1176</v>
      </c>
      <c r="F285" t="s">
        <v>1177</v>
      </c>
      <c r="G285" t="s">
        <v>1076</v>
      </c>
      <c r="H285" t="s">
        <v>1219</v>
      </c>
    </row>
    <row r="286" spans="1:8" x14ac:dyDescent="0.25">
      <c r="A286" t="s">
        <v>139</v>
      </c>
      <c r="B286" t="s">
        <v>137</v>
      </c>
      <c r="C286" t="s">
        <v>139</v>
      </c>
      <c r="D286" t="s">
        <v>139</v>
      </c>
      <c r="E286" t="s">
        <v>1190</v>
      </c>
      <c r="F286" t="s">
        <v>1191</v>
      </c>
      <c r="G286" t="s">
        <v>1093</v>
      </c>
      <c r="H286" t="s">
        <v>1191</v>
      </c>
    </row>
    <row r="287" spans="1:8" x14ac:dyDescent="0.25">
      <c r="A287" t="s">
        <v>1238</v>
      </c>
      <c r="B287" t="s">
        <v>308</v>
      </c>
      <c r="C287" t="s">
        <v>310</v>
      </c>
      <c r="D287" t="s">
        <v>310</v>
      </c>
      <c r="E287" t="s">
        <v>1196</v>
      </c>
      <c r="F287" t="s">
        <v>310</v>
      </c>
      <c r="G287" t="s">
        <v>1074</v>
      </c>
      <c r="H287" t="s">
        <v>1218</v>
      </c>
    </row>
    <row r="288" spans="1:8" x14ac:dyDescent="0.25">
      <c r="A288" t="s">
        <v>790</v>
      </c>
      <c r="B288" t="s">
        <v>788</v>
      </c>
      <c r="C288" t="s">
        <v>1237</v>
      </c>
      <c r="D288" t="s">
        <v>1237</v>
      </c>
      <c r="E288" t="s">
        <v>1196</v>
      </c>
      <c r="F288" t="s">
        <v>310</v>
      </c>
      <c r="G288" t="s">
        <v>1074</v>
      </c>
      <c r="H288" t="s">
        <v>1218</v>
      </c>
    </row>
    <row r="289" spans="1:8" x14ac:dyDescent="0.25">
      <c r="A289" t="s">
        <v>760</v>
      </c>
      <c r="B289" t="s">
        <v>758</v>
      </c>
      <c r="C289" t="s">
        <v>760</v>
      </c>
      <c r="D289" t="s">
        <v>760</v>
      </c>
      <c r="E289" t="s">
        <v>1198</v>
      </c>
      <c r="F289" t="s">
        <v>1199</v>
      </c>
      <c r="G289" t="s">
        <v>1083</v>
      </c>
      <c r="H289" t="s">
        <v>1235</v>
      </c>
    </row>
    <row r="290" spans="1:8" x14ac:dyDescent="0.25">
      <c r="A290" t="s">
        <v>775</v>
      </c>
      <c r="B290" t="s">
        <v>773</v>
      </c>
      <c r="C290" t="s">
        <v>1236</v>
      </c>
      <c r="D290" t="s">
        <v>1236</v>
      </c>
      <c r="E290" t="s">
        <v>1198</v>
      </c>
      <c r="F290" t="s">
        <v>1199</v>
      </c>
      <c r="G290" t="s">
        <v>1083</v>
      </c>
      <c r="H290" t="s">
        <v>1235</v>
      </c>
    </row>
    <row r="291" spans="1:8" x14ac:dyDescent="0.25">
      <c r="A291" t="s">
        <v>691</v>
      </c>
      <c r="B291" t="s">
        <v>689</v>
      </c>
      <c r="C291" t="s">
        <v>691</v>
      </c>
      <c r="D291" t="s">
        <v>691</v>
      </c>
      <c r="E291" t="s">
        <v>1193</v>
      </c>
      <c r="F291" t="s">
        <v>1194</v>
      </c>
      <c r="G291" t="s">
        <v>1081</v>
      </c>
      <c r="H291" t="s">
        <v>1232</v>
      </c>
    </row>
    <row r="292" spans="1:8" x14ac:dyDescent="0.25">
      <c r="A292" t="s">
        <v>31</v>
      </c>
      <c r="B292" t="s">
        <v>29</v>
      </c>
      <c r="C292" t="s">
        <v>31</v>
      </c>
      <c r="D292" t="s">
        <v>31</v>
      </c>
      <c r="E292" t="s">
        <v>1204</v>
      </c>
      <c r="F292" t="s">
        <v>21</v>
      </c>
      <c r="G292" t="s">
        <v>1086</v>
      </c>
      <c r="H292" t="s">
        <v>21</v>
      </c>
    </row>
    <row r="293" spans="1:8" x14ac:dyDescent="0.25">
      <c r="A293" t="s">
        <v>313</v>
      </c>
      <c r="B293" t="s">
        <v>311</v>
      </c>
      <c r="C293" t="s">
        <v>313</v>
      </c>
      <c r="D293" t="s">
        <v>313</v>
      </c>
      <c r="E293" t="s">
        <v>1196</v>
      </c>
      <c r="F293" t="s">
        <v>310</v>
      </c>
      <c r="G293" t="s">
        <v>1071</v>
      </c>
      <c r="H293" t="s">
        <v>1230</v>
      </c>
    </row>
    <row r="294" spans="1:8" x14ac:dyDescent="0.25">
      <c r="A294" t="s">
        <v>580</v>
      </c>
      <c r="B294" t="s">
        <v>578</v>
      </c>
      <c r="C294" t="s">
        <v>580</v>
      </c>
      <c r="D294" t="s">
        <v>580</v>
      </c>
      <c r="E294" t="s">
        <v>1201</v>
      </c>
      <c r="F294" t="s">
        <v>1202</v>
      </c>
      <c r="G294" t="s">
        <v>1079</v>
      </c>
      <c r="H294" t="s">
        <v>1202</v>
      </c>
    </row>
    <row r="295" spans="1:8" x14ac:dyDescent="0.25">
      <c r="A295" t="s">
        <v>694</v>
      </c>
      <c r="B295" t="s">
        <v>692</v>
      </c>
      <c r="C295" t="s">
        <v>694</v>
      </c>
      <c r="D295" t="s">
        <v>694</v>
      </c>
      <c r="E295" t="s">
        <v>1193</v>
      </c>
      <c r="F295" t="s">
        <v>1194</v>
      </c>
      <c r="G295" t="s">
        <v>1081</v>
      </c>
      <c r="H295" t="s">
        <v>1232</v>
      </c>
    </row>
    <row r="296" spans="1:8" x14ac:dyDescent="0.25">
      <c r="A296" t="s">
        <v>427</v>
      </c>
      <c r="B296" t="s">
        <v>425</v>
      </c>
      <c r="C296" t="s">
        <v>427</v>
      </c>
      <c r="D296" t="s">
        <v>427</v>
      </c>
      <c r="E296" t="s">
        <v>1176</v>
      </c>
      <c r="F296" t="s">
        <v>1177</v>
      </c>
      <c r="G296" t="s">
        <v>1076</v>
      </c>
      <c r="H296" t="s">
        <v>1219</v>
      </c>
    </row>
    <row r="297" spans="1:8" x14ac:dyDescent="0.25">
      <c r="A297" t="s">
        <v>763</v>
      </c>
      <c r="B297" t="s">
        <v>761</v>
      </c>
      <c r="C297" t="s">
        <v>763</v>
      </c>
      <c r="D297" t="s">
        <v>763</v>
      </c>
      <c r="E297" t="s">
        <v>1198</v>
      </c>
      <c r="F297" t="s">
        <v>1199</v>
      </c>
      <c r="G297" t="s">
        <v>1085</v>
      </c>
      <c r="H297" t="s">
        <v>1229</v>
      </c>
    </row>
    <row r="298" spans="1:8" x14ac:dyDescent="0.25">
      <c r="A298" t="s">
        <v>766</v>
      </c>
      <c r="B298" t="s">
        <v>764</v>
      </c>
      <c r="C298" t="s">
        <v>766</v>
      </c>
      <c r="D298" t="s">
        <v>766</v>
      </c>
      <c r="E298" t="s">
        <v>1198</v>
      </c>
      <c r="F298" t="s">
        <v>1199</v>
      </c>
      <c r="G298" t="s">
        <v>1085</v>
      </c>
      <c r="H298" t="s">
        <v>1229</v>
      </c>
    </row>
    <row r="299" spans="1:8" x14ac:dyDescent="0.25">
      <c r="A299" t="s">
        <v>1015</v>
      </c>
      <c r="B299" t="s">
        <v>1013</v>
      </c>
      <c r="C299" t="s">
        <v>1015</v>
      </c>
      <c r="D299" t="s">
        <v>1015</v>
      </c>
      <c r="E299" t="s">
        <v>1196</v>
      </c>
      <c r="F299" t="s">
        <v>310</v>
      </c>
      <c r="G299" t="s">
        <v>1074</v>
      </c>
      <c r="H299" t="s">
        <v>1218</v>
      </c>
    </row>
    <row r="300" spans="1:8" x14ac:dyDescent="0.25">
      <c r="A300" t="s">
        <v>529</v>
      </c>
      <c r="B300" t="s">
        <v>527</v>
      </c>
      <c r="C300" t="s">
        <v>529</v>
      </c>
      <c r="D300" t="s">
        <v>529</v>
      </c>
      <c r="E300" t="s">
        <v>1184</v>
      </c>
      <c r="F300" t="s">
        <v>1185</v>
      </c>
      <c r="G300" t="s">
        <v>1077</v>
      </c>
      <c r="H300" t="s">
        <v>1216</v>
      </c>
    </row>
    <row r="301" spans="1:8" x14ac:dyDescent="0.25">
      <c r="A301" t="s">
        <v>67</v>
      </c>
      <c r="B301" t="s">
        <v>65</v>
      </c>
      <c r="C301" t="s">
        <v>67</v>
      </c>
      <c r="D301" t="s">
        <v>67</v>
      </c>
      <c r="E301" t="s">
        <v>1182</v>
      </c>
      <c r="F301" t="s">
        <v>1226</v>
      </c>
      <c r="G301" t="s">
        <v>1064</v>
      </c>
      <c r="H301" t="s">
        <v>1205</v>
      </c>
    </row>
    <row r="302" spans="1:8" x14ac:dyDescent="0.25">
      <c r="A302" t="s">
        <v>583</v>
      </c>
      <c r="B302" t="s">
        <v>581</v>
      </c>
      <c r="C302" t="s">
        <v>583</v>
      </c>
      <c r="D302" t="s">
        <v>583</v>
      </c>
      <c r="E302" t="s">
        <v>1201</v>
      </c>
      <c r="F302" t="s">
        <v>1202</v>
      </c>
      <c r="G302" t="s">
        <v>1079</v>
      </c>
      <c r="H302" t="s">
        <v>1202</v>
      </c>
    </row>
    <row r="303" spans="1:8" x14ac:dyDescent="0.25">
      <c r="A303" t="s">
        <v>769</v>
      </c>
      <c r="B303" t="s">
        <v>767</v>
      </c>
      <c r="C303" t="s">
        <v>769</v>
      </c>
      <c r="D303" t="s">
        <v>769</v>
      </c>
      <c r="E303" t="s">
        <v>1198</v>
      </c>
      <c r="F303" t="s">
        <v>1199</v>
      </c>
      <c r="G303" t="s">
        <v>1083</v>
      </c>
      <c r="H303" t="s">
        <v>1235</v>
      </c>
    </row>
    <row r="304" spans="1:8" x14ac:dyDescent="0.25">
      <c r="A304" t="s">
        <v>1045</v>
      </c>
      <c r="B304" t="s">
        <v>1043</v>
      </c>
      <c r="C304" t="s">
        <v>1234</v>
      </c>
      <c r="D304" t="s">
        <v>1234</v>
      </c>
      <c r="E304" t="s">
        <v>1184</v>
      </c>
      <c r="F304" t="s">
        <v>1185</v>
      </c>
      <c r="G304" t="s">
        <v>1077</v>
      </c>
      <c r="H304" t="s">
        <v>1216</v>
      </c>
    </row>
    <row r="305" spans="1:8" x14ac:dyDescent="0.25">
      <c r="A305" t="s">
        <v>532</v>
      </c>
      <c r="B305" t="s">
        <v>530</v>
      </c>
      <c r="C305" t="s">
        <v>532</v>
      </c>
      <c r="D305" t="s">
        <v>532</v>
      </c>
      <c r="E305" t="s">
        <v>1184</v>
      </c>
      <c r="F305" t="s">
        <v>1185</v>
      </c>
      <c r="G305" t="s">
        <v>1078</v>
      </c>
      <c r="H305" t="s">
        <v>1215</v>
      </c>
    </row>
    <row r="306" spans="1:8" x14ac:dyDescent="0.25">
      <c r="A306" t="s">
        <v>241</v>
      </c>
      <c r="B306" t="s">
        <v>239</v>
      </c>
      <c r="C306" t="s">
        <v>241</v>
      </c>
      <c r="D306" t="s">
        <v>241</v>
      </c>
      <c r="E306" t="s">
        <v>1179</v>
      </c>
      <c r="F306" t="s">
        <v>1180</v>
      </c>
      <c r="G306" t="s">
        <v>1068</v>
      </c>
      <c r="H306" t="s">
        <v>1212</v>
      </c>
    </row>
    <row r="307" spans="1:8" x14ac:dyDescent="0.25">
      <c r="A307" t="s">
        <v>697</v>
      </c>
      <c r="B307" t="s">
        <v>695</v>
      </c>
      <c r="C307" t="s">
        <v>697</v>
      </c>
      <c r="D307" t="s">
        <v>697</v>
      </c>
      <c r="E307" t="s">
        <v>1193</v>
      </c>
      <c r="F307" t="s">
        <v>1194</v>
      </c>
      <c r="G307" t="s">
        <v>1080</v>
      </c>
      <c r="H307" t="s">
        <v>1233</v>
      </c>
    </row>
    <row r="308" spans="1:8" x14ac:dyDescent="0.25">
      <c r="A308" t="s">
        <v>994</v>
      </c>
      <c r="B308" t="s">
        <v>992</v>
      </c>
      <c r="C308" t="s">
        <v>994</v>
      </c>
      <c r="D308" t="s">
        <v>994</v>
      </c>
      <c r="E308" t="s">
        <v>1182</v>
      </c>
      <c r="F308" t="s">
        <v>1226</v>
      </c>
      <c r="G308" t="s">
        <v>1064</v>
      </c>
      <c r="H308" t="s">
        <v>1205</v>
      </c>
    </row>
    <row r="309" spans="1:8" x14ac:dyDescent="0.25">
      <c r="A309" t="s">
        <v>700</v>
      </c>
      <c r="B309" t="s">
        <v>698</v>
      </c>
      <c r="C309" t="s">
        <v>700</v>
      </c>
      <c r="D309" t="s">
        <v>700</v>
      </c>
      <c r="E309" t="s">
        <v>1193</v>
      </c>
      <c r="F309" t="s">
        <v>1194</v>
      </c>
      <c r="G309" t="s">
        <v>1081</v>
      </c>
      <c r="H309" t="s">
        <v>1232</v>
      </c>
    </row>
    <row r="310" spans="1:8" x14ac:dyDescent="0.25">
      <c r="A310" t="s">
        <v>703</v>
      </c>
      <c r="B310" t="s">
        <v>701</v>
      </c>
      <c r="C310" t="s">
        <v>703</v>
      </c>
      <c r="D310" t="s">
        <v>703</v>
      </c>
      <c r="E310" t="s">
        <v>1193</v>
      </c>
      <c r="F310" t="s">
        <v>1194</v>
      </c>
      <c r="G310" t="s">
        <v>1084</v>
      </c>
      <c r="H310" t="s">
        <v>1231</v>
      </c>
    </row>
    <row r="311" spans="1:8" x14ac:dyDescent="0.25">
      <c r="A311" t="s">
        <v>535</v>
      </c>
      <c r="B311" t="s">
        <v>533</v>
      </c>
      <c r="C311" t="s">
        <v>535</v>
      </c>
      <c r="D311" t="s">
        <v>535</v>
      </c>
      <c r="E311" t="s">
        <v>1184</v>
      </c>
      <c r="F311" t="s">
        <v>1185</v>
      </c>
      <c r="G311" t="s">
        <v>1087</v>
      </c>
      <c r="H311" t="s">
        <v>1214</v>
      </c>
    </row>
    <row r="312" spans="1:8" x14ac:dyDescent="0.25">
      <c r="A312" t="s">
        <v>244</v>
      </c>
      <c r="B312" t="s">
        <v>242</v>
      </c>
      <c r="C312" t="s">
        <v>244</v>
      </c>
      <c r="D312" t="s">
        <v>244</v>
      </c>
      <c r="E312" t="s">
        <v>1179</v>
      </c>
      <c r="F312" t="s">
        <v>1180</v>
      </c>
      <c r="G312" t="s">
        <v>1071</v>
      </c>
      <c r="H312" t="s">
        <v>1230</v>
      </c>
    </row>
    <row r="313" spans="1:8" x14ac:dyDescent="0.25">
      <c r="A313" t="s">
        <v>538</v>
      </c>
      <c r="B313" t="s">
        <v>536</v>
      </c>
      <c r="C313" t="s">
        <v>538</v>
      </c>
      <c r="D313" t="s">
        <v>538</v>
      </c>
      <c r="E313" t="s">
        <v>1184</v>
      </c>
      <c r="F313" t="s">
        <v>1185</v>
      </c>
      <c r="G313" t="s">
        <v>1077</v>
      </c>
      <c r="H313" t="s">
        <v>1216</v>
      </c>
    </row>
    <row r="314" spans="1:8" x14ac:dyDescent="0.25">
      <c r="A314" t="s">
        <v>685</v>
      </c>
      <c r="B314" t="s">
        <v>683</v>
      </c>
      <c r="C314" t="s">
        <v>685</v>
      </c>
      <c r="D314" t="s">
        <v>685</v>
      </c>
      <c r="E314" t="s">
        <v>1176</v>
      </c>
      <c r="F314" t="s">
        <v>1177</v>
      </c>
      <c r="G314" t="s">
        <v>1076</v>
      </c>
      <c r="H314" t="s">
        <v>1219</v>
      </c>
    </row>
    <row r="315" spans="1:8" x14ac:dyDescent="0.25">
      <c r="A315" t="s">
        <v>772</v>
      </c>
      <c r="B315" t="s">
        <v>770</v>
      </c>
      <c r="C315" t="s">
        <v>772</v>
      </c>
      <c r="D315" t="s">
        <v>772</v>
      </c>
      <c r="E315" t="s">
        <v>1198</v>
      </c>
      <c r="F315" t="s">
        <v>1199</v>
      </c>
      <c r="G315" t="s">
        <v>1085</v>
      </c>
      <c r="H315" t="s">
        <v>1229</v>
      </c>
    </row>
    <row r="316" spans="1:8" x14ac:dyDescent="0.25">
      <c r="A316" t="s">
        <v>1012</v>
      </c>
      <c r="B316" t="s">
        <v>1010</v>
      </c>
      <c r="C316" t="s">
        <v>1228</v>
      </c>
      <c r="D316" t="s">
        <v>1228</v>
      </c>
      <c r="E316" t="s">
        <v>1179</v>
      </c>
      <c r="F316" t="s">
        <v>1180</v>
      </c>
      <c r="G316" t="s">
        <v>1069</v>
      </c>
      <c r="H316" t="s">
        <v>1220</v>
      </c>
    </row>
    <row r="317" spans="1:8" x14ac:dyDescent="0.25">
      <c r="A317" t="s">
        <v>559</v>
      </c>
      <c r="B317" t="s">
        <v>557</v>
      </c>
      <c r="C317" t="s">
        <v>1227</v>
      </c>
      <c r="D317" t="s">
        <v>1227</v>
      </c>
      <c r="E317" t="s">
        <v>1179</v>
      </c>
      <c r="F317" t="s">
        <v>1180</v>
      </c>
      <c r="G317" t="s">
        <v>1069</v>
      </c>
      <c r="H317" t="s">
        <v>1220</v>
      </c>
    </row>
    <row r="318" spans="1:8" x14ac:dyDescent="0.25">
      <c r="A318" t="s">
        <v>1024</v>
      </c>
      <c r="B318" t="s">
        <v>1022</v>
      </c>
      <c r="C318" t="s">
        <v>1024</v>
      </c>
      <c r="D318" t="s">
        <v>1024</v>
      </c>
      <c r="E318" t="s">
        <v>1204</v>
      </c>
      <c r="F318" t="s">
        <v>21</v>
      </c>
      <c r="G318" t="s">
        <v>1086</v>
      </c>
      <c r="H318" t="s">
        <v>21</v>
      </c>
    </row>
    <row r="319" spans="1:8" x14ac:dyDescent="0.25">
      <c r="A319" t="s">
        <v>853</v>
      </c>
      <c r="B319" t="s">
        <v>851</v>
      </c>
      <c r="C319" t="s">
        <v>853</v>
      </c>
      <c r="D319" t="s">
        <v>853</v>
      </c>
      <c r="E319" t="s">
        <v>1173</v>
      </c>
      <c r="F319" t="s">
        <v>1174</v>
      </c>
      <c r="G319" t="s">
        <v>1065</v>
      </c>
      <c r="H319" t="s">
        <v>1174</v>
      </c>
    </row>
    <row r="320" spans="1:8" x14ac:dyDescent="0.25">
      <c r="A320" t="s">
        <v>247</v>
      </c>
      <c r="B320" t="s">
        <v>245</v>
      </c>
      <c r="C320" t="s">
        <v>247</v>
      </c>
      <c r="D320" t="s">
        <v>247</v>
      </c>
      <c r="E320" t="s">
        <v>1179</v>
      </c>
      <c r="F320" t="s">
        <v>1180</v>
      </c>
      <c r="G320" t="s">
        <v>1073</v>
      </c>
      <c r="H320" t="s">
        <v>1217</v>
      </c>
    </row>
    <row r="321" spans="1:8" x14ac:dyDescent="0.25">
      <c r="A321" t="s">
        <v>997</v>
      </c>
      <c r="B321" t="s">
        <v>995</v>
      </c>
      <c r="C321" t="s">
        <v>997</v>
      </c>
      <c r="D321" t="s">
        <v>997</v>
      </c>
      <c r="E321" t="s">
        <v>1204</v>
      </c>
      <c r="F321" t="s">
        <v>21</v>
      </c>
      <c r="G321" t="s">
        <v>1086</v>
      </c>
      <c r="H321" t="s">
        <v>21</v>
      </c>
    </row>
    <row r="322" spans="1:8" x14ac:dyDescent="0.25">
      <c r="A322" t="s">
        <v>919</v>
      </c>
      <c r="B322" t="s">
        <v>917</v>
      </c>
      <c r="C322" t="s">
        <v>919</v>
      </c>
      <c r="D322" t="s">
        <v>919</v>
      </c>
      <c r="E322" t="s">
        <v>1184</v>
      </c>
      <c r="F322" t="s">
        <v>1185</v>
      </c>
      <c r="G322" t="s">
        <v>1077</v>
      </c>
      <c r="H322" t="s">
        <v>1216</v>
      </c>
    </row>
    <row r="323" spans="1:8" x14ac:dyDescent="0.25">
      <c r="A323" t="s">
        <v>70</v>
      </c>
      <c r="B323" t="s">
        <v>68</v>
      </c>
      <c r="C323" t="s">
        <v>70</v>
      </c>
      <c r="D323" t="s">
        <v>70</v>
      </c>
      <c r="E323" t="s">
        <v>1182</v>
      </c>
      <c r="F323" t="s">
        <v>1226</v>
      </c>
      <c r="G323" t="s">
        <v>1064</v>
      </c>
      <c r="H323" t="s">
        <v>1205</v>
      </c>
    </row>
    <row r="324" spans="1:8" x14ac:dyDescent="0.25">
      <c r="A324" t="s">
        <v>142</v>
      </c>
      <c r="B324" t="s">
        <v>140</v>
      </c>
      <c r="C324" t="s">
        <v>142</v>
      </c>
      <c r="D324" t="s">
        <v>142</v>
      </c>
      <c r="E324" t="s">
        <v>1187</v>
      </c>
      <c r="F324" t="s">
        <v>1188</v>
      </c>
      <c r="G324" t="s">
        <v>1067</v>
      </c>
      <c r="H324" t="s">
        <v>1225</v>
      </c>
    </row>
    <row r="325" spans="1:8" x14ac:dyDescent="0.25">
      <c r="A325" t="s">
        <v>253</v>
      </c>
      <c r="B325" t="s">
        <v>251</v>
      </c>
      <c r="C325" t="s">
        <v>253</v>
      </c>
      <c r="D325" t="s">
        <v>253</v>
      </c>
      <c r="E325" t="s">
        <v>1179</v>
      </c>
      <c r="F325" t="s">
        <v>1180</v>
      </c>
      <c r="G325" t="s">
        <v>1073</v>
      </c>
      <c r="H325" t="s">
        <v>1217</v>
      </c>
    </row>
    <row r="326" spans="1:8" x14ac:dyDescent="0.25">
      <c r="A326" t="s">
        <v>844</v>
      </c>
      <c r="B326" t="s">
        <v>842</v>
      </c>
      <c r="C326" t="s">
        <v>844</v>
      </c>
      <c r="D326" t="s">
        <v>844</v>
      </c>
      <c r="E326" t="s">
        <v>1176</v>
      </c>
      <c r="F326" t="s">
        <v>1177</v>
      </c>
      <c r="G326" t="s">
        <v>1076</v>
      </c>
      <c r="H326" t="s">
        <v>1219</v>
      </c>
    </row>
    <row r="327" spans="1:8" x14ac:dyDescent="0.25">
      <c r="A327" t="s">
        <v>319</v>
      </c>
      <c r="B327" t="s">
        <v>317</v>
      </c>
      <c r="C327" t="s">
        <v>1224</v>
      </c>
      <c r="D327" t="s">
        <v>1224</v>
      </c>
      <c r="E327" t="s">
        <v>1196</v>
      </c>
      <c r="F327" t="s">
        <v>310</v>
      </c>
      <c r="G327" t="s">
        <v>1074</v>
      </c>
      <c r="H327" t="s">
        <v>1218</v>
      </c>
    </row>
    <row r="328" spans="1:8" x14ac:dyDescent="0.25">
      <c r="A328" t="s">
        <v>250</v>
      </c>
      <c r="B328" t="s">
        <v>248</v>
      </c>
      <c r="C328" t="s">
        <v>250</v>
      </c>
      <c r="D328" t="s">
        <v>250</v>
      </c>
      <c r="E328" t="s">
        <v>1179</v>
      </c>
      <c r="F328" t="s">
        <v>1180</v>
      </c>
      <c r="G328" t="s">
        <v>1070</v>
      </c>
      <c r="H328" t="s">
        <v>1223</v>
      </c>
    </row>
    <row r="329" spans="1:8" x14ac:dyDescent="0.25">
      <c r="A329" t="s">
        <v>706</v>
      </c>
      <c r="B329" t="s">
        <v>704</v>
      </c>
      <c r="C329" t="s">
        <v>706</v>
      </c>
      <c r="D329" t="s">
        <v>706</v>
      </c>
      <c r="E329" t="s">
        <v>1193</v>
      </c>
      <c r="F329" t="s">
        <v>1194</v>
      </c>
      <c r="G329" t="s">
        <v>1082</v>
      </c>
      <c r="H329" t="s">
        <v>1213</v>
      </c>
    </row>
    <row r="330" spans="1:8" x14ac:dyDescent="0.25">
      <c r="A330" t="s">
        <v>541</v>
      </c>
      <c r="B330" t="s">
        <v>539</v>
      </c>
      <c r="C330" t="s">
        <v>541</v>
      </c>
      <c r="D330" t="s">
        <v>541</v>
      </c>
      <c r="E330" t="s">
        <v>1196</v>
      </c>
      <c r="F330" t="s">
        <v>310</v>
      </c>
      <c r="G330" t="s">
        <v>1074</v>
      </c>
      <c r="H330" t="s">
        <v>1218</v>
      </c>
    </row>
    <row r="331" spans="1:8" x14ac:dyDescent="0.25">
      <c r="A331" t="s">
        <v>838</v>
      </c>
      <c r="B331" t="s">
        <v>836</v>
      </c>
      <c r="C331" t="s">
        <v>1222</v>
      </c>
      <c r="D331" t="s">
        <v>1221</v>
      </c>
      <c r="E331" t="s">
        <v>1173</v>
      </c>
      <c r="F331" t="s">
        <v>1174</v>
      </c>
      <c r="G331" t="s">
        <v>1065</v>
      </c>
      <c r="H331" t="s">
        <v>1174</v>
      </c>
    </row>
    <row r="332" spans="1:8" x14ac:dyDescent="0.25">
      <c r="A332" t="s">
        <v>712</v>
      </c>
      <c r="B332" t="s">
        <v>710</v>
      </c>
      <c r="C332" t="s">
        <v>712</v>
      </c>
      <c r="D332" t="s">
        <v>712</v>
      </c>
      <c r="E332" t="s">
        <v>1176</v>
      </c>
      <c r="F332" t="s">
        <v>1177</v>
      </c>
      <c r="G332" t="s">
        <v>1076</v>
      </c>
      <c r="H332" t="s">
        <v>1219</v>
      </c>
    </row>
    <row r="333" spans="1:8" x14ac:dyDescent="0.25">
      <c r="A333" t="s">
        <v>316</v>
      </c>
      <c r="B333" t="s">
        <v>314</v>
      </c>
      <c r="C333" t="s">
        <v>316</v>
      </c>
      <c r="D333" t="s">
        <v>316</v>
      </c>
      <c r="E333" t="s">
        <v>1196</v>
      </c>
      <c r="F333" t="s">
        <v>310</v>
      </c>
      <c r="G333" t="s">
        <v>1072</v>
      </c>
      <c r="H333" t="s">
        <v>271</v>
      </c>
    </row>
    <row r="334" spans="1:8" x14ac:dyDescent="0.25">
      <c r="A334" t="s">
        <v>433</v>
      </c>
      <c r="B334" t="s">
        <v>431</v>
      </c>
      <c r="C334" t="s">
        <v>433</v>
      </c>
      <c r="D334" t="s">
        <v>433</v>
      </c>
      <c r="E334" t="s">
        <v>1176</v>
      </c>
      <c r="F334" t="s">
        <v>1177</v>
      </c>
      <c r="G334" t="s">
        <v>1076</v>
      </c>
      <c r="H334" t="s">
        <v>1219</v>
      </c>
    </row>
    <row r="335" spans="1:8" x14ac:dyDescent="0.25">
      <c r="A335" t="s">
        <v>256</v>
      </c>
      <c r="B335" t="s">
        <v>254</v>
      </c>
      <c r="C335" t="s">
        <v>256</v>
      </c>
      <c r="D335" t="s">
        <v>256</v>
      </c>
      <c r="E335" t="s">
        <v>1179</v>
      </c>
      <c r="F335" t="s">
        <v>1180</v>
      </c>
      <c r="G335" t="s">
        <v>1069</v>
      </c>
      <c r="H335" t="s">
        <v>1220</v>
      </c>
    </row>
    <row r="336" spans="1:8" x14ac:dyDescent="0.25">
      <c r="A336" t="s">
        <v>430</v>
      </c>
      <c r="B336" t="s">
        <v>428</v>
      </c>
      <c r="C336" t="s">
        <v>430</v>
      </c>
      <c r="D336" t="s">
        <v>430</v>
      </c>
      <c r="E336" t="s">
        <v>1176</v>
      </c>
      <c r="F336" t="s">
        <v>1177</v>
      </c>
      <c r="G336" t="s">
        <v>1076</v>
      </c>
      <c r="H336" t="s">
        <v>1219</v>
      </c>
    </row>
    <row r="337" spans="1:8" x14ac:dyDescent="0.25">
      <c r="A337" t="s">
        <v>34</v>
      </c>
      <c r="B337" t="s">
        <v>32</v>
      </c>
      <c r="C337" t="s">
        <v>34</v>
      </c>
      <c r="D337" t="s">
        <v>34</v>
      </c>
      <c r="E337" t="s">
        <v>1190</v>
      </c>
      <c r="F337" t="s">
        <v>1191</v>
      </c>
      <c r="G337" t="s">
        <v>1093</v>
      </c>
      <c r="H337" t="s">
        <v>1191</v>
      </c>
    </row>
    <row r="338" spans="1:8" x14ac:dyDescent="0.25">
      <c r="A338" t="s">
        <v>325</v>
      </c>
      <c r="B338" t="s">
        <v>323</v>
      </c>
      <c r="C338" t="s">
        <v>325</v>
      </c>
      <c r="D338" t="s">
        <v>325</v>
      </c>
      <c r="E338" t="s">
        <v>1196</v>
      </c>
      <c r="F338" t="s">
        <v>310</v>
      </c>
      <c r="G338" t="s">
        <v>1074</v>
      </c>
      <c r="H338" t="s">
        <v>1218</v>
      </c>
    </row>
    <row r="339" spans="1:8" x14ac:dyDescent="0.25">
      <c r="A339" t="s">
        <v>259</v>
      </c>
      <c r="B339" t="s">
        <v>257</v>
      </c>
      <c r="C339" t="s">
        <v>259</v>
      </c>
      <c r="D339" t="s">
        <v>259</v>
      </c>
      <c r="E339" t="s">
        <v>1179</v>
      </c>
      <c r="F339" t="s">
        <v>1180</v>
      </c>
      <c r="G339" t="s">
        <v>1073</v>
      </c>
      <c r="H339" t="s">
        <v>1217</v>
      </c>
    </row>
    <row r="340" spans="1:8" x14ac:dyDescent="0.25">
      <c r="A340" t="s">
        <v>544</v>
      </c>
      <c r="B340" t="s">
        <v>542</v>
      </c>
      <c r="C340" t="s">
        <v>544</v>
      </c>
      <c r="D340" t="s">
        <v>544</v>
      </c>
      <c r="E340" t="s">
        <v>1184</v>
      </c>
      <c r="F340" t="s">
        <v>1185</v>
      </c>
      <c r="G340" t="s">
        <v>1077</v>
      </c>
      <c r="H340" t="s">
        <v>1216</v>
      </c>
    </row>
    <row r="341" spans="1:8" x14ac:dyDescent="0.25">
      <c r="A341" t="s">
        <v>547</v>
      </c>
      <c r="B341" t="s">
        <v>545</v>
      </c>
      <c r="C341" t="s">
        <v>547</v>
      </c>
      <c r="D341" t="s">
        <v>547</v>
      </c>
      <c r="E341" t="s">
        <v>1184</v>
      </c>
      <c r="F341" t="s">
        <v>1185</v>
      </c>
      <c r="G341" t="s">
        <v>1078</v>
      </c>
      <c r="H341" t="s">
        <v>1215</v>
      </c>
    </row>
    <row r="342" spans="1:8" x14ac:dyDescent="0.25">
      <c r="A342" t="s">
        <v>940</v>
      </c>
      <c r="B342" t="s">
        <v>938</v>
      </c>
      <c r="C342" t="s">
        <v>940</v>
      </c>
      <c r="D342" t="s">
        <v>940</v>
      </c>
      <c r="E342" t="s">
        <v>1184</v>
      </c>
      <c r="F342" t="s">
        <v>1185</v>
      </c>
      <c r="G342" t="s">
        <v>1087</v>
      </c>
      <c r="H342" t="s">
        <v>1214</v>
      </c>
    </row>
    <row r="343" spans="1:8" x14ac:dyDescent="0.25">
      <c r="A343" t="s">
        <v>709</v>
      </c>
      <c r="B343" t="s">
        <v>707</v>
      </c>
      <c r="C343" t="s">
        <v>709</v>
      </c>
      <c r="D343" t="s">
        <v>709</v>
      </c>
      <c r="E343" t="s">
        <v>1193</v>
      </c>
      <c r="F343" t="s">
        <v>1194</v>
      </c>
      <c r="G343" t="s">
        <v>1082</v>
      </c>
      <c r="H343" t="s">
        <v>1213</v>
      </c>
    </row>
    <row r="344" spans="1:8" x14ac:dyDescent="0.25">
      <c r="A344" t="s">
        <v>262</v>
      </c>
      <c r="B344" t="s">
        <v>260</v>
      </c>
      <c r="C344" t="s">
        <v>262</v>
      </c>
      <c r="D344" t="s">
        <v>262</v>
      </c>
      <c r="E344" t="s">
        <v>1179</v>
      </c>
      <c r="F344" t="s">
        <v>1180</v>
      </c>
      <c r="G344" t="s">
        <v>1068</v>
      </c>
      <c r="H344" t="s">
        <v>1212</v>
      </c>
    </row>
    <row r="345" spans="1:8" x14ac:dyDescent="0.25">
      <c r="A345" t="s">
        <v>949</v>
      </c>
      <c r="B345" t="s">
        <v>947</v>
      </c>
      <c r="C345" t="s">
        <v>949</v>
      </c>
      <c r="D345" t="s">
        <v>949</v>
      </c>
      <c r="E345" t="s">
        <v>1187</v>
      </c>
      <c r="F345" t="s">
        <v>1188</v>
      </c>
      <c r="G345" t="s">
        <v>1066</v>
      </c>
      <c r="H345" t="s">
        <v>1210</v>
      </c>
    </row>
    <row r="346" spans="1:8" x14ac:dyDescent="0.25">
      <c r="A346" t="s">
        <v>550</v>
      </c>
      <c r="B346" t="s">
        <v>548</v>
      </c>
      <c r="C346" t="s">
        <v>550</v>
      </c>
      <c r="D346" t="s">
        <v>550</v>
      </c>
      <c r="E346" t="s">
        <v>1184</v>
      </c>
      <c r="F346" t="s">
        <v>1185</v>
      </c>
      <c r="G346" t="s">
        <v>1101</v>
      </c>
      <c r="H346" t="s">
        <v>1211</v>
      </c>
    </row>
    <row r="347" spans="1:8" x14ac:dyDescent="0.25">
      <c r="A347" t="s">
        <v>145</v>
      </c>
      <c r="B347" t="s">
        <v>143</v>
      </c>
      <c r="C347" t="s">
        <v>145</v>
      </c>
      <c r="D347" t="s">
        <v>145</v>
      </c>
      <c r="E347" t="s">
        <v>1187</v>
      </c>
      <c r="F347" t="s">
        <v>1188</v>
      </c>
      <c r="G347" t="s">
        <v>1066</v>
      </c>
      <c r="H347" t="s">
        <v>1210</v>
      </c>
    </row>
    <row r="348" spans="1:8" x14ac:dyDescent="0.25">
      <c r="A348" t="s">
        <v>1209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D256-D670-46E0-9FA2-AE9A4D893169}">
  <dimension ref="A1:D425"/>
  <sheetViews>
    <sheetView workbookViewId="0">
      <selection activeCell="H31" sqref="H31"/>
    </sheetView>
  </sheetViews>
  <sheetFormatPr defaultRowHeight="15" x14ac:dyDescent="0.25"/>
  <sheetData>
    <row r="1" spans="1:4" x14ac:dyDescent="0.25">
      <c r="A1" t="s">
        <v>1341</v>
      </c>
      <c r="B1" t="s">
        <v>1342</v>
      </c>
      <c r="C1" t="s">
        <v>1343</v>
      </c>
      <c r="D1" t="s">
        <v>1344</v>
      </c>
    </row>
    <row r="2" spans="1:4" x14ac:dyDescent="0.25">
      <c r="A2" t="s">
        <v>1345</v>
      </c>
      <c r="B2" t="s">
        <v>1346</v>
      </c>
      <c r="C2">
        <v>4.9315357737340104</v>
      </c>
      <c r="D2">
        <v>51.437815404096689</v>
      </c>
    </row>
    <row r="3" spans="1:4" x14ac:dyDescent="0.25">
      <c r="A3" t="s">
        <v>23</v>
      </c>
      <c r="B3" t="s">
        <v>25</v>
      </c>
      <c r="C3">
        <v>5.1533873925552998</v>
      </c>
      <c r="D3">
        <v>52.447425786383462</v>
      </c>
    </row>
    <row r="4" spans="1:4" x14ac:dyDescent="0.25">
      <c r="A4" t="s">
        <v>32</v>
      </c>
      <c r="B4" t="s">
        <v>34</v>
      </c>
      <c r="C4">
        <v>5.5205362058979981</v>
      </c>
      <c r="D4">
        <v>52.319161717278533</v>
      </c>
    </row>
    <row r="5" spans="1:4" x14ac:dyDescent="0.25">
      <c r="A5" t="s">
        <v>38</v>
      </c>
      <c r="B5" t="s">
        <v>40</v>
      </c>
      <c r="C5">
        <v>5.7646773229272856</v>
      </c>
      <c r="D5">
        <v>53.42534130705355</v>
      </c>
    </row>
    <row r="6" spans="1:4" x14ac:dyDescent="0.25">
      <c r="A6" t="s">
        <v>41</v>
      </c>
      <c r="B6" t="s">
        <v>43</v>
      </c>
      <c r="C6">
        <v>5.2545118084635503</v>
      </c>
      <c r="D6">
        <v>53.140827603964723</v>
      </c>
    </row>
    <row r="7" spans="1:4" x14ac:dyDescent="0.25">
      <c r="A7" t="s">
        <v>56</v>
      </c>
      <c r="B7" t="s">
        <v>58</v>
      </c>
      <c r="C7">
        <v>6.2211923211902516</v>
      </c>
      <c r="D7">
        <v>53.469886801184288</v>
      </c>
    </row>
    <row r="8" spans="1:4" x14ac:dyDescent="0.25">
      <c r="A8" t="s">
        <v>62</v>
      </c>
      <c r="B8" t="s">
        <v>64</v>
      </c>
      <c r="C8">
        <v>5.3817024695441642</v>
      </c>
      <c r="D8">
        <v>53.331215825559021</v>
      </c>
    </row>
    <row r="9" spans="1:4" x14ac:dyDescent="0.25">
      <c r="A9" t="s">
        <v>65</v>
      </c>
      <c r="B9" t="s">
        <v>67</v>
      </c>
      <c r="C9">
        <v>5.0438790595354641</v>
      </c>
      <c r="D9">
        <v>53.213687572243131</v>
      </c>
    </row>
    <row r="10" spans="1:4" x14ac:dyDescent="0.25">
      <c r="A10" t="s">
        <v>113</v>
      </c>
      <c r="B10" t="s">
        <v>115</v>
      </c>
      <c r="C10">
        <v>5.8257826034012323</v>
      </c>
      <c r="D10">
        <v>52.592078938156597</v>
      </c>
    </row>
    <row r="11" spans="1:4" x14ac:dyDescent="0.25">
      <c r="A11" t="s">
        <v>119</v>
      </c>
      <c r="B11" t="s">
        <v>121</v>
      </c>
      <c r="C11">
        <v>5.5888854383403324</v>
      </c>
      <c r="D11">
        <v>52.72806696282867</v>
      </c>
    </row>
    <row r="12" spans="1:4" x14ac:dyDescent="0.25">
      <c r="A12" t="s">
        <v>137</v>
      </c>
      <c r="B12" t="s">
        <v>139</v>
      </c>
      <c r="C12">
        <v>5.4622626745811518</v>
      </c>
      <c r="D12">
        <v>52.696976471736171</v>
      </c>
    </row>
    <row r="13" spans="1:4" x14ac:dyDescent="0.25">
      <c r="A13" t="s">
        <v>185</v>
      </c>
      <c r="B13" t="s">
        <v>187</v>
      </c>
      <c r="C13">
        <v>5.8192582302803197</v>
      </c>
      <c r="D13">
        <v>52.452760259852361</v>
      </c>
    </row>
    <row r="14" spans="1:4" x14ac:dyDescent="0.25">
      <c r="A14" t="s">
        <v>191</v>
      </c>
      <c r="B14" t="s">
        <v>193</v>
      </c>
      <c r="C14">
        <v>5.5606463132578297</v>
      </c>
      <c r="D14">
        <v>52.315861516464381</v>
      </c>
    </row>
    <row r="15" spans="1:4" x14ac:dyDescent="0.25">
      <c r="A15" t="s">
        <v>194</v>
      </c>
      <c r="B15" t="s">
        <v>196</v>
      </c>
      <c r="C15">
        <v>5.5974186419448957</v>
      </c>
      <c r="D15">
        <v>52.349034935471408</v>
      </c>
    </row>
    <row r="16" spans="1:4" x14ac:dyDescent="0.25">
      <c r="A16" t="s">
        <v>212</v>
      </c>
      <c r="B16" t="s">
        <v>214</v>
      </c>
      <c r="C16">
        <v>5.4412127826281562</v>
      </c>
      <c r="D16">
        <v>52.254112296998848</v>
      </c>
    </row>
    <row r="17" spans="1:4" x14ac:dyDescent="0.25">
      <c r="A17" t="s">
        <v>218</v>
      </c>
      <c r="B17" t="s">
        <v>220</v>
      </c>
      <c r="C17">
        <v>5.8525806928812516</v>
      </c>
      <c r="D17">
        <v>52.492744121233123</v>
      </c>
    </row>
    <row r="18" spans="1:4" x14ac:dyDescent="0.25">
      <c r="A18" t="s">
        <v>221</v>
      </c>
      <c r="B18" t="s">
        <v>223</v>
      </c>
      <c r="C18">
        <v>5.5183252590604823</v>
      </c>
      <c r="D18">
        <v>52.270119140823439</v>
      </c>
    </row>
    <row r="19" spans="1:4" x14ac:dyDescent="0.25">
      <c r="A19" t="s">
        <v>263</v>
      </c>
      <c r="B19" t="s">
        <v>265</v>
      </c>
      <c r="C19">
        <v>5.722982950782284</v>
      </c>
      <c r="D19">
        <v>52.392986658694383</v>
      </c>
    </row>
    <row r="20" spans="1:4" x14ac:dyDescent="0.25">
      <c r="A20" t="s">
        <v>266</v>
      </c>
      <c r="B20" t="s">
        <v>268</v>
      </c>
      <c r="C20">
        <v>5.6696199121376099</v>
      </c>
      <c r="D20">
        <v>52.540882104742558</v>
      </c>
    </row>
    <row r="21" spans="1:4" x14ac:dyDescent="0.25">
      <c r="A21" t="s">
        <v>281</v>
      </c>
      <c r="B21" t="s">
        <v>283</v>
      </c>
      <c r="C21">
        <v>5.3587899306109081</v>
      </c>
      <c r="D21">
        <v>52.270345728978207</v>
      </c>
    </row>
    <row r="22" spans="1:4" x14ac:dyDescent="0.25">
      <c r="A22" t="s">
        <v>284</v>
      </c>
      <c r="B22" t="s">
        <v>286</v>
      </c>
      <c r="C22">
        <v>5.3248320032707559</v>
      </c>
      <c r="D22">
        <v>52.280089593339518</v>
      </c>
    </row>
    <row r="23" spans="1:4" x14ac:dyDescent="0.25">
      <c r="A23" t="s">
        <v>338</v>
      </c>
      <c r="B23" t="s">
        <v>340</v>
      </c>
      <c r="C23">
        <v>5.0285280189115484</v>
      </c>
      <c r="D23">
        <v>52.380333650235187</v>
      </c>
    </row>
    <row r="24" spans="1:4" x14ac:dyDescent="0.25">
      <c r="A24" t="s">
        <v>341</v>
      </c>
      <c r="B24" t="s">
        <v>343</v>
      </c>
      <c r="C24">
        <v>4.6195218828242437</v>
      </c>
      <c r="D24">
        <v>52.66178302151944</v>
      </c>
    </row>
    <row r="25" spans="1:4" x14ac:dyDescent="0.25">
      <c r="A25" t="s">
        <v>344</v>
      </c>
      <c r="B25" t="s">
        <v>346</v>
      </c>
      <c r="C25">
        <v>4.5765307156781319</v>
      </c>
      <c r="D25">
        <v>52.495807222973269</v>
      </c>
    </row>
    <row r="26" spans="1:4" x14ac:dyDescent="0.25">
      <c r="A26" t="s">
        <v>347</v>
      </c>
      <c r="B26" t="s">
        <v>349</v>
      </c>
      <c r="C26">
        <v>5.3104953543135238</v>
      </c>
      <c r="D26">
        <v>52.291744958308421</v>
      </c>
    </row>
    <row r="27" spans="1:4" x14ac:dyDescent="0.25">
      <c r="A27" t="s">
        <v>350</v>
      </c>
      <c r="B27" t="s">
        <v>352</v>
      </c>
      <c r="C27">
        <v>4.5440878513535399</v>
      </c>
      <c r="D27">
        <v>52.420586244598383</v>
      </c>
    </row>
    <row r="28" spans="1:4" x14ac:dyDescent="0.25">
      <c r="A28" t="s">
        <v>353</v>
      </c>
      <c r="B28" t="s">
        <v>355</v>
      </c>
      <c r="C28">
        <v>4.5965621055849262</v>
      </c>
      <c r="D28">
        <v>52.553620875895021</v>
      </c>
    </row>
    <row r="29" spans="1:4" x14ac:dyDescent="0.25">
      <c r="A29" t="s">
        <v>356</v>
      </c>
      <c r="B29" t="s">
        <v>358</v>
      </c>
      <c r="C29">
        <v>5.0313611049519036</v>
      </c>
      <c r="D29">
        <v>52.347253063344269</v>
      </c>
    </row>
    <row r="30" spans="1:4" x14ac:dyDescent="0.25">
      <c r="A30" t="s">
        <v>359</v>
      </c>
      <c r="B30" t="s">
        <v>361</v>
      </c>
      <c r="C30">
        <v>5.0620346143546042</v>
      </c>
      <c r="D30">
        <v>52.550054977560933</v>
      </c>
    </row>
    <row r="31" spans="1:4" x14ac:dyDescent="0.25">
      <c r="A31" t="s">
        <v>362</v>
      </c>
      <c r="B31" t="s">
        <v>364</v>
      </c>
      <c r="C31">
        <v>5.3073797399309157</v>
      </c>
      <c r="D31">
        <v>52.759992452889918</v>
      </c>
    </row>
    <row r="32" spans="1:4" x14ac:dyDescent="0.25">
      <c r="A32" t="s">
        <v>371</v>
      </c>
      <c r="B32" t="s">
        <v>373</v>
      </c>
      <c r="C32">
        <v>4.5855536975344542</v>
      </c>
      <c r="D32">
        <v>52.516528576487069</v>
      </c>
    </row>
    <row r="33" spans="1:4" x14ac:dyDescent="0.25">
      <c r="A33" t="s">
        <v>380</v>
      </c>
      <c r="B33" t="s">
        <v>382</v>
      </c>
      <c r="C33">
        <v>4.796538849324766</v>
      </c>
      <c r="D33">
        <v>52.946217316162439</v>
      </c>
    </row>
    <row r="34" spans="1:4" x14ac:dyDescent="0.25">
      <c r="A34" t="s">
        <v>386</v>
      </c>
      <c r="B34" t="s">
        <v>388</v>
      </c>
      <c r="C34">
        <v>5.0731402166658484</v>
      </c>
      <c r="D34">
        <v>52.613107803077789</v>
      </c>
    </row>
    <row r="35" spans="1:4" x14ac:dyDescent="0.25">
      <c r="A35" t="s">
        <v>389</v>
      </c>
      <c r="B35" t="s">
        <v>391</v>
      </c>
      <c r="C35">
        <v>5.2641208046985</v>
      </c>
      <c r="D35">
        <v>52.312533086289527</v>
      </c>
    </row>
    <row r="36" spans="1:4" x14ac:dyDescent="0.25">
      <c r="A36" t="s">
        <v>398</v>
      </c>
      <c r="B36" t="s">
        <v>400</v>
      </c>
      <c r="C36">
        <v>5.1872279321587982</v>
      </c>
      <c r="D36">
        <v>52.817632209045613</v>
      </c>
    </row>
    <row r="37" spans="1:4" x14ac:dyDescent="0.25">
      <c r="A37" t="s">
        <v>413</v>
      </c>
      <c r="B37" t="s">
        <v>415</v>
      </c>
      <c r="C37">
        <v>4.674555754152518</v>
      </c>
      <c r="D37">
        <v>52.821945431602309</v>
      </c>
    </row>
    <row r="38" spans="1:4" x14ac:dyDescent="0.25">
      <c r="A38" t="s">
        <v>416</v>
      </c>
      <c r="B38" t="s">
        <v>418</v>
      </c>
      <c r="C38">
        <v>4.9117332279657182</v>
      </c>
      <c r="D38">
        <v>53.07933265543339</v>
      </c>
    </row>
    <row r="39" spans="1:4" x14ac:dyDescent="0.25">
      <c r="A39" t="s">
        <v>425</v>
      </c>
      <c r="B39" t="s">
        <v>427</v>
      </c>
      <c r="C39">
        <v>4.5541424106573123</v>
      </c>
      <c r="D39">
        <v>52.465137261629017</v>
      </c>
    </row>
    <row r="40" spans="1:4" x14ac:dyDescent="0.25">
      <c r="A40" t="s">
        <v>428</v>
      </c>
      <c r="B40" t="s">
        <v>430</v>
      </c>
      <c r="C40">
        <v>4.5097926216993542</v>
      </c>
      <c r="D40">
        <v>52.36635940538757</v>
      </c>
    </row>
    <row r="41" spans="1:4" x14ac:dyDescent="0.25">
      <c r="A41" t="s">
        <v>443</v>
      </c>
      <c r="B41" t="s">
        <v>445</v>
      </c>
      <c r="C41">
        <v>5.196574641215606</v>
      </c>
      <c r="D41">
        <v>52.637901331873103</v>
      </c>
    </row>
    <row r="42" spans="1:4" x14ac:dyDescent="0.25">
      <c r="A42" t="s">
        <v>452</v>
      </c>
      <c r="B42" t="s">
        <v>454</v>
      </c>
      <c r="C42">
        <v>4.631794102764176</v>
      </c>
      <c r="D42">
        <v>51.719097492020211</v>
      </c>
    </row>
    <row r="43" spans="1:4" x14ac:dyDescent="0.25">
      <c r="A43" t="s">
        <v>461</v>
      </c>
      <c r="B43" t="s">
        <v>463</v>
      </c>
      <c r="C43">
        <v>4.2437674087616069</v>
      </c>
      <c r="D43">
        <v>52.09644597075809</v>
      </c>
    </row>
    <row r="44" spans="1:4" x14ac:dyDescent="0.25">
      <c r="A44" t="s">
        <v>470</v>
      </c>
      <c r="B44" t="s">
        <v>472</v>
      </c>
      <c r="C44">
        <v>5.2583820155180483</v>
      </c>
      <c r="D44">
        <v>52.682450180952571</v>
      </c>
    </row>
    <row r="45" spans="1:4" x14ac:dyDescent="0.25">
      <c r="A45" t="s">
        <v>476</v>
      </c>
      <c r="B45" t="s">
        <v>478</v>
      </c>
      <c r="C45">
        <v>4.382362555741377</v>
      </c>
      <c r="D45">
        <v>52.206033960396162</v>
      </c>
    </row>
    <row r="46" spans="1:4" x14ac:dyDescent="0.25">
      <c r="A46" t="s">
        <v>497</v>
      </c>
      <c r="B46" t="s">
        <v>499</v>
      </c>
      <c r="C46">
        <v>4.4440131280768389</v>
      </c>
      <c r="D46">
        <v>52.276581887029522</v>
      </c>
    </row>
    <row r="47" spans="1:4" x14ac:dyDescent="0.25">
      <c r="A47" t="s">
        <v>512</v>
      </c>
      <c r="B47" t="s">
        <v>514</v>
      </c>
      <c r="C47">
        <v>4.0064557548386732</v>
      </c>
      <c r="D47">
        <v>51.970681043369709</v>
      </c>
    </row>
    <row r="48" spans="1:4" x14ac:dyDescent="0.25">
      <c r="A48" t="s">
        <v>536</v>
      </c>
      <c r="B48" t="s">
        <v>538</v>
      </c>
      <c r="C48">
        <v>4.3328352095503533</v>
      </c>
      <c r="D48">
        <v>52.160525688024101</v>
      </c>
    </row>
    <row r="49" spans="1:4" x14ac:dyDescent="0.25">
      <c r="A49" t="s">
        <v>551</v>
      </c>
      <c r="B49" t="s">
        <v>553</v>
      </c>
      <c r="C49">
        <v>3.8583609208963501</v>
      </c>
      <c r="D49">
        <v>51.39577924417128</v>
      </c>
    </row>
    <row r="50" spans="1:4" x14ac:dyDescent="0.25">
      <c r="A50" t="s">
        <v>554</v>
      </c>
      <c r="B50" t="s">
        <v>556</v>
      </c>
      <c r="C50">
        <v>3.8380055706075988</v>
      </c>
      <c r="D50">
        <v>51.541941572039903</v>
      </c>
    </row>
    <row r="51" spans="1:4" x14ac:dyDescent="0.25">
      <c r="A51" t="s">
        <v>560</v>
      </c>
      <c r="B51" t="s">
        <v>562</v>
      </c>
      <c r="C51">
        <v>4.0593862255699742</v>
      </c>
      <c r="D51">
        <v>51.382540366054499</v>
      </c>
    </row>
    <row r="52" spans="1:4" x14ac:dyDescent="0.25">
      <c r="A52" t="s">
        <v>563</v>
      </c>
      <c r="B52" t="s">
        <v>565</v>
      </c>
      <c r="C52">
        <v>3.9799352270083772</v>
      </c>
      <c r="D52">
        <v>51.528514467808797</v>
      </c>
    </row>
    <row r="53" spans="1:4" x14ac:dyDescent="0.25">
      <c r="A53" t="s">
        <v>566</v>
      </c>
      <c r="B53" t="s">
        <v>568</v>
      </c>
      <c r="C53">
        <v>3.7015860673651999</v>
      </c>
      <c r="D53">
        <v>51.524976803635013</v>
      </c>
    </row>
    <row r="54" spans="1:4" x14ac:dyDescent="0.25">
      <c r="A54" t="s">
        <v>569</v>
      </c>
      <c r="B54" t="s">
        <v>571</v>
      </c>
      <c r="C54">
        <v>4.1063466704266371</v>
      </c>
      <c r="D54">
        <v>51.445327894326667</v>
      </c>
    </row>
    <row r="55" spans="1:4" x14ac:dyDescent="0.25">
      <c r="A55" t="s">
        <v>572</v>
      </c>
      <c r="B55" t="s">
        <v>574</v>
      </c>
      <c r="C55">
        <v>3.7915146406960272</v>
      </c>
      <c r="D55">
        <v>51.364665458961163</v>
      </c>
    </row>
    <row r="56" spans="1:4" x14ac:dyDescent="0.25">
      <c r="A56" t="s">
        <v>575</v>
      </c>
      <c r="B56" t="s">
        <v>577</v>
      </c>
      <c r="C56">
        <v>4.0642792858358652</v>
      </c>
      <c r="D56">
        <v>51.566421031870092</v>
      </c>
    </row>
    <row r="57" spans="1:4" x14ac:dyDescent="0.25">
      <c r="A57" t="s">
        <v>578</v>
      </c>
      <c r="B57" t="s">
        <v>580</v>
      </c>
      <c r="C57">
        <v>3.6369265474261172</v>
      </c>
      <c r="D57">
        <v>51.609045540530822</v>
      </c>
    </row>
    <row r="58" spans="1:4" x14ac:dyDescent="0.25">
      <c r="A58" t="s">
        <v>581</v>
      </c>
      <c r="B58" t="s">
        <v>583</v>
      </c>
      <c r="C58">
        <v>3.4651410945491778</v>
      </c>
      <c r="D58">
        <v>51.465930572687313</v>
      </c>
    </row>
    <row r="59" spans="1:4" x14ac:dyDescent="0.25">
      <c r="A59" t="s">
        <v>680</v>
      </c>
      <c r="B59" t="s">
        <v>682</v>
      </c>
      <c r="C59">
        <v>4.3001199487788053</v>
      </c>
      <c r="D59">
        <v>51.645486333547908</v>
      </c>
    </row>
    <row r="60" spans="1:4" x14ac:dyDescent="0.25">
      <c r="A60" t="s">
        <v>683</v>
      </c>
      <c r="B60" t="s">
        <v>685</v>
      </c>
      <c r="C60">
        <v>5.1086099283874562</v>
      </c>
      <c r="D60">
        <v>52.445864833356261</v>
      </c>
    </row>
    <row r="61" spans="1:4" x14ac:dyDescent="0.25">
      <c r="A61" t="s">
        <v>776</v>
      </c>
      <c r="B61" t="s">
        <v>778</v>
      </c>
      <c r="C61">
        <v>5.3257786134830303</v>
      </c>
      <c r="D61">
        <v>52.575165025000572</v>
      </c>
    </row>
    <row r="62" spans="1:4" x14ac:dyDescent="0.25">
      <c r="A62" t="s">
        <v>794</v>
      </c>
      <c r="B62" t="s">
        <v>796</v>
      </c>
      <c r="C62">
        <v>5.0210056779522239</v>
      </c>
      <c r="D62">
        <v>52.619943955585761</v>
      </c>
    </row>
    <row r="63" spans="1:4" x14ac:dyDescent="0.25">
      <c r="A63" t="s">
        <v>827</v>
      </c>
      <c r="B63" t="s">
        <v>829</v>
      </c>
      <c r="C63">
        <v>3.8657834124368429</v>
      </c>
      <c r="D63">
        <v>51.677389288791034</v>
      </c>
    </row>
    <row r="64" spans="1:4" x14ac:dyDescent="0.25">
      <c r="A64" t="s">
        <v>839</v>
      </c>
      <c r="B64" t="s">
        <v>841</v>
      </c>
      <c r="C64">
        <v>3.857177623061947</v>
      </c>
      <c r="D64">
        <v>51.571103192889588</v>
      </c>
    </row>
    <row r="65" spans="1:4" x14ac:dyDescent="0.25">
      <c r="A65" t="s">
        <v>860</v>
      </c>
      <c r="B65" t="s">
        <v>862</v>
      </c>
      <c r="C65">
        <v>6.001336376198644</v>
      </c>
      <c r="D65">
        <v>52.652153842861978</v>
      </c>
    </row>
    <row r="66" spans="1:4" x14ac:dyDescent="0.25">
      <c r="A66" t="s">
        <v>863</v>
      </c>
      <c r="B66" t="s">
        <v>865</v>
      </c>
      <c r="C66">
        <v>4.4840902708629482</v>
      </c>
      <c r="D66">
        <v>51.692471928509207</v>
      </c>
    </row>
    <row r="67" spans="1:4" x14ac:dyDescent="0.25">
      <c r="A67" t="s">
        <v>869</v>
      </c>
      <c r="B67" t="s">
        <v>871</v>
      </c>
      <c r="C67">
        <v>3.6147568072768239</v>
      </c>
      <c r="D67">
        <v>51.390065159469223</v>
      </c>
    </row>
    <row r="68" spans="1:4" x14ac:dyDescent="0.25">
      <c r="A68" t="s">
        <v>917</v>
      </c>
      <c r="B68" t="s">
        <v>919</v>
      </c>
      <c r="C68">
        <v>4.1525538437122052</v>
      </c>
      <c r="D68">
        <v>52.030146110939469</v>
      </c>
    </row>
    <row r="69" spans="1:4" x14ac:dyDescent="0.25">
      <c r="A69" t="s">
        <v>944</v>
      </c>
      <c r="B69" t="s">
        <v>946</v>
      </c>
      <c r="C69">
        <v>7.1570400427472078</v>
      </c>
      <c r="D69">
        <v>53.287128170886739</v>
      </c>
    </row>
    <row r="70" spans="1:4" x14ac:dyDescent="0.25">
      <c r="A70" t="s">
        <v>947</v>
      </c>
      <c r="B70" t="s">
        <v>949</v>
      </c>
      <c r="C70">
        <v>6.0008020895129457</v>
      </c>
      <c r="D70">
        <v>52.633001622978327</v>
      </c>
    </row>
    <row r="71" spans="1:4" x14ac:dyDescent="0.25">
      <c r="A71" t="s">
        <v>950</v>
      </c>
      <c r="B71" t="s">
        <v>952</v>
      </c>
      <c r="C71">
        <v>5.3102763373515343</v>
      </c>
      <c r="D71">
        <v>52.951344925593453</v>
      </c>
    </row>
    <row r="72" spans="1:4" x14ac:dyDescent="0.25">
      <c r="A72" t="s">
        <v>962</v>
      </c>
      <c r="B72" t="s">
        <v>964</v>
      </c>
      <c r="C72">
        <v>5.0492550915084822</v>
      </c>
      <c r="D72">
        <v>52.958402614130279</v>
      </c>
    </row>
    <row r="73" spans="1:4" x14ac:dyDescent="0.25">
      <c r="A73" t="s">
        <v>968</v>
      </c>
      <c r="B73" t="s">
        <v>970</v>
      </c>
      <c r="C73">
        <v>4.0593091640441781</v>
      </c>
      <c r="D73">
        <v>51.760367742182581</v>
      </c>
    </row>
    <row r="74" spans="1:4" x14ac:dyDescent="0.25">
      <c r="A74" t="s">
        <v>974</v>
      </c>
      <c r="B74" t="s">
        <v>976</v>
      </c>
      <c r="C74">
        <v>4.2112333441321299</v>
      </c>
      <c r="D74">
        <v>51.79319506735574</v>
      </c>
    </row>
    <row r="75" spans="1:4" x14ac:dyDescent="0.25">
      <c r="A75" t="s">
        <v>980</v>
      </c>
      <c r="B75" t="s">
        <v>982</v>
      </c>
      <c r="C75">
        <v>5.5033081769993739</v>
      </c>
      <c r="D75">
        <v>52.813999871882253</v>
      </c>
    </row>
    <row r="76" spans="1:4" x14ac:dyDescent="0.25">
      <c r="A76" t="s">
        <v>983</v>
      </c>
      <c r="B76" t="s">
        <v>985</v>
      </c>
      <c r="C76">
        <v>5.1061371298073999</v>
      </c>
      <c r="D76">
        <v>52.343053137397767</v>
      </c>
    </row>
    <row r="77" spans="1:4" x14ac:dyDescent="0.25">
      <c r="A77" t="s">
        <v>992</v>
      </c>
      <c r="B77" t="s">
        <v>994</v>
      </c>
      <c r="C77">
        <v>5.6143617046029579</v>
      </c>
      <c r="D77">
        <v>53.309954720128658</v>
      </c>
    </row>
    <row r="78" spans="1:4" x14ac:dyDescent="0.25">
      <c r="A78" t="s">
        <v>1016</v>
      </c>
      <c r="B78" t="s">
        <v>1018</v>
      </c>
      <c r="C78">
        <v>4.4010045524184687</v>
      </c>
      <c r="D78">
        <v>51.723510568910527</v>
      </c>
    </row>
    <row r="79" spans="1:4" x14ac:dyDescent="0.25">
      <c r="A79" t="s">
        <v>1019</v>
      </c>
      <c r="B79" t="s">
        <v>1021</v>
      </c>
      <c r="C79">
        <v>6.5451413233965203</v>
      </c>
      <c r="D79">
        <v>53.484743216621503</v>
      </c>
    </row>
    <row r="80" spans="1:4" x14ac:dyDescent="0.25">
      <c r="A80" t="s">
        <v>1022</v>
      </c>
      <c r="B80" t="s">
        <v>1024</v>
      </c>
      <c r="C80">
        <v>6.2917329165966098</v>
      </c>
      <c r="D80">
        <v>53.337380931414053</v>
      </c>
    </row>
    <row r="81" spans="1:4" x14ac:dyDescent="0.25">
      <c r="A81" t="s">
        <v>1025</v>
      </c>
      <c r="B81" t="s">
        <v>1027</v>
      </c>
      <c r="C81">
        <v>5.9616782364147678</v>
      </c>
      <c r="D81">
        <v>53.407695960466683</v>
      </c>
    </row>
    <row r="82" spans="1:4" x14ac:dyDescent="0.25">
      <c r="A82" t="s">
        <v>1031</v>
      </c>
      <c r="B82" t="s">
        <v>1033</v>
      </c>
      <c r="C82">
        <v>6.9826392683393319</v>
      </c>
      <c r="D82">
        <v>53.350479717229142</v>
      </c>
    </row>
    <row r="83" spans="1:4" x14ac:dyDescent="0.25">
      <c r="A83" t="s">
        <v>1043</v>
      </c>
      <c r="B83" t="s">
        <v>1045</v>
      </c>
      <c r="C83">
        <v>4.0453244932889572</v>
      </c>
      <c r="D83">
        <v>51.862241318201832</v>
      </c>
    </row>
    <row r="84" spans="1:4" x14ac:dyDescent="0.25">
      <c r="A84" t="s">
        <v>19</v>
      </c>
      <c r="B84" t="s">
        <v>21</v>
      </c>
      <c r="C84">
        <v>6.6206669151883162</v>
      </c>
      <c r="D84">
        <v>53.218624506449068</v>
      </c>
    </row>
    <row r="85" spans="1:4" x14ac:dyDescent="0.25">
      <c r="A85" t="s">
        <v>23</v>
      </c>
      <c r="B85" t="s">
        <v>25</v>
      </c>
      <c r="C85">
        <v>5.2466079817865303</v>
      </c>
      <c r="D85">
        <v>52.367194753479637</v>
      </c>
    </row>
    <row r="86" spans="1:4" x14ac:dyDescent="0.25">
      <c r="A86" t="s">
        <v>26</v>
      </c>
      <c r="B86" t="s">
        <v>28</v>
      </c>
      <c r="C86">
        <v>7.0103221267345903</v>
      </c>
      <c r="D86">
        <v>53.002171449310453</v>
      </c>
    </row>
    <row r="87" spans="1:4" x14ac:dyDescent="0.25">
      <c r="A87" t="s">
        <v>29</v>
      </c>
      <c r="B87" t="s">
        <v>31</v>
      </c>
      <c r="C87">
        <v>6.8800915529674782</v>
      </c>
      <c r="D87">
        <v>53.088990464022856</v>
      </c>
    </row>
    <row r="88" spans="1:4" x14ac:dyDescent="0.25">
      <c r="A88" t="s">
        <v>32</v>
      </c>
      <c r="B88" t="s">
        <v>34</v>
      </c>
      <c r="C88">
        <v>5.4510823635846997</v>
      </c>
      <c r="D88">
        <v>52.345997005294727</v>
      </c>
    </row>
    <row r="89" spans="1:4" x14ac:dyDescent="0.25">
      <c r="A89" t="s">
        <v>35</v>
      </c>
      <c r="B89" t="s">
        <v>37</v>
      </c>
      <c r="C89">
        <v>6.1431362564374998</v>
      </c>
      <c r="D89">
        <v>53.21667993853579</v>
      </c>
    </row>
    <row r="90" spans="1:4" x14ac:dyDescent="0.25">
      <c r="A90" t="s">
        <v>38</v>
      </c>
      <c r="B90" t="s">
        <v>40</v>
      </c>
      <c r="C90">
        <v>5.7494895013698439</v>
      </c>
      <c r="D90">
        <v>53.450401579451672</v>
      </c>
    </row>
    <row r="91" spans="1:4" x14ac:dyDescent="0.25">
      <c r="A91" t="s">
        <v>41</v>
      </c>
      <c r="B91" t="s">
        <v>43</v>
      </c>
      <c r="C91">
        <v>5.4517394356025743</v>
      </c>
      <c r="D91">
        <v>53.175371314394177</v>
      </c>
    </row>
    <row r="92" spans="1:4" x14ac:dyDescent="0.25">
      <c r="A92" t="s">
        <v>44</v>
      </c>
      <c r="B92" t="s">
        <v>46</v>
      </c>
      <c r="C92">
        <v>5.9779107498489896</v>
      </c>
      <c r="D92">
        <v>52.995986527264527</v>
      </c>
    </row>
    <row r="93" spans="1:4" x14ac:dyDescent="0.25">
      <c r="A93" t="s">
        <v>47</v>
      </c>
      <c r="B93" t="s">
        <v>49</v>
      </c>
      <c r="C93">
        <v>5.7978953473778301</v>
      </c>
      <c r="D93">
        <v>53.170076357062307</v>
      </c>
    </row>
    <row r="94" spans="1:4" x14ac:dyDescent="0.25">
      <c r="A94" t="s">
        <v>50</v>
      </c>
      <c r="B94" t="s">
        <v>52</v>
      </c>
      <c r="C94">
        <v>6.2829984910680539</v>
      </c>
      <c r="D94">
        <v>52.982380925110697</v>
      </c>
    </row>
    <row r="95" spans="1:4" x14ac:dyDescent="0.25">
      <c r="A95" t="s">
        <v>53</v>
      </c>
      <c r="B95" t="s">
        <v>55</v>
      </c>
      <c r="C95">
        <v>6.1128479448689781</v>
      </c>
      <c r="D95">
        <v>53.049142111513561</v>
      </c>
    </row>
    <row r="96" spans="1:4" x14ac:dyDescent="0.25">
      <c r="A96" t="s">
        <v>56</v>
      </c>
      <c r="B96" t="s">
        <v>58</v>
      </c>
      <c r="C96">
        <v>6.2266543086400556</v>
      </c>
      <c r="D96">
        <v>53.491199286617977</v>
      </c>
    </row>
    <row r="97" spans="1:4" x14ac:dyDescent="0.25">
      <c r="A97" t="s">
        <v>59</v>
      </c>
      <c r="B97" t="s">
        <v>61</v>
      </c>
      <c r="C97">
        <v>6.0389611456632357</v>
      </c>
      <c r="D97">
        <v>53.113411808940683</v>
      </c>
    </row>
    <row r="98" spans="1:4" x14ac:dyDescent="0.25">
      <c r="A98" t="s">
        <v>62</v>
      </c>
      <c r="B98" t="s">
        <v>64</v>
      </c>
      <c r="C98">
        <v>5.3291944998644203</v>
      </c>
      <c r="D98">
        <v>53.397572628555658</v>
      </c>
    </row>
    <row r="99" spans="1:4" x14ac:dyDescent="0.25">
      <c r="A99" t="s">
        <v>65</v>
      </c>
      <c r="B99" t="s">
        <v>67</v>
      </c>
      <c r="C99">
        <v>4.9752009115811324</v>
      </c>
      <c r="D99">
        <v>53.258555588206548</v>
      </c>
    </row>
    <row r="100" spans="1:4" x14ac:dyDescent="0.25">
      <c r="A100" t="s">
        <v>68</v>
      </c>
      <c r="B100" t="s">
        <v>70</v>
      </c>
      <c r="C100">
        <v>6.0177737977694017</v>
      </c>
      <c r="D100">
        <v>52.875741128480939</v>
      </c>
    </row>
    <row r="101" spans="1:4" x14ac:dyDescent="0.25">
      <c r="A101" t="s">
        <v>71</v>
      </c>
      <c r="B101" t="s">
        <v>73</v>
      </c>
      <c r="C101">
        <v>6.5524828129172361</v>
      </c>
      <c r="D101">
        <v>53.001287892385847</v>
      </c>
    </row>
    <row r="102" spans="1:4" x14ac:dyDescent="0.25">
      <c r="A102" t="s">
        <v>74</v>
      </c>
      <c r="B102" t="s">
        <v>76</v>
      </c>
      <c r="C102">
        <v>6.7359150976544919</v>
      </c>
      <c r="D102">
        <v>52.740307785688103</v>
      </c>
    </row>
    <row r="103" spans="1:4" x14ac:dyDescent="0.25">
      <c r="A103" t="s">
        <v>77</v>
      </c>
      <c r="B103" t="s">
        <v>79</v>
      </c>
      <c r="C103">
        <v>6.9619846618044976</v>
      </c>
      <c r="D103">
        <v>52.749717816667669</v>
      </c>
    </row>
    <row r="104" spans="1:4" x14ac:dyDescent="0.25">
      <c r="A104" t="s">
        <v>80</v>
      </c>
      <c r="B104" t="s">
        <v>82</v>
      </c>
      <c r="C104">
        <v>6.513553182409594</v>
      </c>
      <c r="D104">
        <v>52.723103590677589</v>
      </c>
    </row>
    <row r="105" spans="1:4" x14ac:dyDescent="0.25">
      <c r="A105" t="s">
        <v>83</v>
      </c>
      <c r="B105" t="s">
        <v>85</v>
      </c>
      <c r="C105">
        <v>6.1938134010880983</v>
      </c>
      <c r="D105">
        <v>52.715937994813423</v>
      </c>
    </row>
    <row r="106" spans="1:4" x14ac:dyDescent="0.25">
      <c r="A106" t="s">
        <v>86</v>
      </c>
      <c r="B106" t="s">
        <v>88</v>
      </c>
      <c r="C106">
        <v>6.6581974321883663</v>
      </c>
      <c r="D106">
        <v>52.347902454382911</v>
      </c>
    </row>
    <row r="107" spans="1:4" x14ac:dyDescent="0.25">
      <c r="A107" t="s">
        <v>89</v>
      </c>
      <c r="B107" t="s">
        <v>91</v>
      </c>
      <c r="C107">
        <v>6.7435601293727441</v>
      </c>
      <c r="D107">
        <v>52.312331694587627</v>
      </c>
    </row>
    <row r="108" spans="1:4" x14ac:dyDescent="0.25">
      <c r="A108" t="s">
        <v>92</v>
      </c>
      <c r="B108" t="s">
        <v>94</v>
      </c>
      <c r="C108">
        <v>6.2766480311398141</v>
      </c>
      <c r="D108">
        <v>52.51476124774733</v>
      </c>
    </row>
    <row r="109" spans="1:4" x14ac:dyDescent="0.25">
      <c r="A109" t="s">
        <v>95</v>
      </c>
      <c r="B109" t="s">
        <v>97</v>
      </c>
      <c r="C109">
        <v>6.2357936796490696</v>
      </c>
      <c r="D109">
        <v>52.268229672280107</v>
      </c>
    </row>
    <row r="110" spans="1:4" x14ac:dyDescent="0.25">
      <c r="A110" t="s">
        <v>98</v>
      </c>
      <c r="B110" t="s">
        <v>100</v>
      </c>
      <c r="C110">
        <v>6.8778085450225017</v>
      </c>
      <c r="D110">
        <v>52.220814387847362</v>
      </c>
    </row>
    <row r="111" spans="1:4" x14ac:dyDescent="0.25">
      <c r="A111" t="s">
        <v>101</v>
      </c>
      <c r="B111" t="s">
        <v>103</v>
      </c>
      <c r="C111">
        <v>6.7558409976980958</v>
      </c>
      <c r="D111">
        <v>52.155498590399311</v>
      </c>
    </row>
    <row r="112" spans="1:4" x14ac:dyDescent="0.25">
      <c r="A112" t="s">
        <v>104</v>
      </c>
      <c r="B112" t="s">
        <v>106</v>
      </c>
      <c r="C112">
        <v>6.5740748339262964</v>
      </c>
      <c r="D112">
        <v>52.585641745025413</v>
      </c>
    </row>
    <row r="113" spans="1:4" x14ac:dyDescent="0.25">
      <c r="A113" t="s">
        <v>107</v>
      </c>
      <c r="B113" t="s">
        <v>109</v>
      </c>
      <c r="C113">
        <v>6.4509175457391263</v>
      </c>
      <c r="D113">
        <v>52.386383322496869</v>
      </c>
    </row>
    <row r="114" spans="1:4" x14ac:dyDescent="0.25">
      <c r="A114" t="s">
        <v>110</v>
      </c>
      <c r="B114" t="s">
        <v>112</v>
      </c>
      <c r="C114">
        <v>6.7782226605381481</v>
      </c>
      <c r="D114">
        <v>52.254918252444099</v>
      </c>
    </row>
    <row r="115" spans="1:4" x14ac:dyDescent="0.25">
      <c r="A115" t="s">
        <v>113</v>
      </c>
      <c r="B115" t="s">
        <v>115</v>
      </c>
      <c r="C115">
        <v>5.9313506173020798</v>
      </c>
      <c r="D115">
        <v>52.555588478326783</v>
      </c>
    </row>
    <row r="116" spans="1:4" x14ac:dyDescent="0.25">
      <c r="A116" t="s">
        <v>116</v>
      </c>
      <c r="B116" t="s">
        <v>118</v>
      </c>
      <c r="C116">
        <v>7.0027509685862563</v>
      </c>
      <c r="D116">
        <v>52.302844869199923</v>
      </c>
    </row>
    <row r="117" spans="1:4" x14ac:dyDescent="0.25">
      <c r="A117" t="s">
        <v>119</v>
      </c>
      <c r="B117" t="s">
        <v>121</v>
      </c>
      <c r="C117">
        <v>5.7680630275928317</v>
      </c>
      <c r="D117">
        <v>52.712709328998542</v>
      </c>
    </row>
    <row r="118" spans="1:4" x14ac:dyDescent="0.25">
      <c r="A118" t="s">
        <v>122</v>
      </c>
      <c r="B118" t="s">
        <v>124</v>
      </c>
      <c r="C118">
        <v>6.9110434334817681</v>
      </c>
      <c r="D118">
        <v>52.307726946938637</v>
      </c>
    </row>
    <row r="119" spans="1:4" x14ac:dyDescent="0.25">
      <c r="A119" t="s">
        <v>125</v>
      </c>
      <c r="B119" t="s">
        <v>127</v>
      </c>
      <c r="C119">
        <v>6.4347548106601238</v>
      </c>
      <c r="D119">
        <v>52.516144257927543</v>
      </c>
    </row>
    <row r="120" spans="1:4" x14ac:dyDescent="0.25">
      <c r="A120" t="s">
        <v>128</v>
      </c>
      <c r="B120" t="s">
        <v>130</v>
      </c>
      <c r="C120">
        <v>6.2790194648438922</v>
      </c>
      <c r="D120">
        <v>52.387857590727307</v>
      </c>
    </row>
    <row r="121" spans="1:4" x14ac:dyDescent="0.25">
      <c r="A121" t="s">
        <v>131</v>
      </c>
      <c r="B121" t="s">
        <v>133</v>
      </c>
      <c r="C121">
        <v>6.2070837924104598</v>
      </c>
      <c r="D121">
        <v>52.633506866269407</v>
      </c>
    </row>
    <row r="122" spans="1:4" x14ac:dyDescent="0.25">
      <c r="A122" t="s">
        <v>134</v>
      </c>
      <c r="B122" t="s">
        <v>136</v>
      </c>
      <c r="C122">
        <v>6.7766735064405497</v>
      </c>
      <c r="D122">
        <v>52.410592780965459</v>
      </c>
    </row>
    <row r="123" spans="1:4" x14ac:dyDescent="0.25">
      <c r="A123" t="s">
        <v>137</v>
      </c>
      <c r="B123" t="s">
        <v>139</v>
      </c>
      <c r="C123">
        <v>5.6229098212088644</v>
      </c>
      <c r="D123">
        <v>52.664855163528721</v>
      </c>
    </row>
    <row r="124" spans="1:4" x14ac:dyDescent="0.25">
      <c r="A124" t="s">
        <v>140</v>
      </c>
      <c r="B124" t="s">
        <v>142</v>
      </c>
      <c r="C124">
        <v>6.5606139470794957</v>
      </c>
      <c r="D124">
        <v>52.344464533979242</v>
      </c>
    </row>
    <row r="125" spans="1:4" x14ac:dyDescent="0.25">
      <c r="A125" t="s">
        <v>143</v>
      </c>
      <c r="B125" t="s">
        <v>145</v>
      </c>
      <c r="C125">
        <v>6.1183656105870918</v>
      </c>
      <c r="D125">
        <v>52.51870031912631</v>
      </c>
    </row>
    <row r="126" spans="1:4" x14ac:dyDescent="0.25">
      <c r="A126" t="s">
        <v>146</v>
      </c>
      <c r="B126" t="s">
        <v>148</v>
      </c>
      <c r="C126">
        <v>6.5606117152423362</v>
      </c>
      <c r="D126">
        <v>51.921748040769927</v>
      </c>
    </row>
    <row r="127" spans="1:4" x14ac:dyDescent="0.25">
      <c r="A127" t="s">
        <v>149</v>
      </c>
      <c r="B127" t="s">
        <v>151</v>
      </c>
      <c r="C127">
        <v>5.9218449367067922</v>
      </c>
      <c r="D127">
        <v>52.189885233682922</v>
      </c>
    </row>
    <row r="128" spans="1:4" x14ac:dyDescent="0.25">
      <c r="A128" t="s">
        <v>152</v>
      </c>
      <c r="B128" t="s">
        <v>154</v>
      </c>
      <c r="C128">
        <v>5.8925915934407698</v>
      </c>
      <c r="D128">
        <v>52.001156047798233</v>
      </c>
    </row>
    <row r="129" spans="1:4" x14ac:dyDescent="0.25">
      <c r="A129" t="s">
        <v>155</v>
      </c>
      <c r="B129" t="s">
        <v>157</v>
      </c>
      <c r="C129">
        <v>5.6419019108816038</v>
      </c>
      <c r="D129">
        <v>52.168285435754171</v>
      </c>
    </row>
    <row r="130" spans="1:4" x14ac:dyDescent="0.25">
      <c r="A130" t="s">
        <v>158</v>
      </c>
      <c r="B130" t="s">
        <v>160</v>
      </c>
      <c r="C130">
        <v>5.7402703221947018</v>
      </c>
      <c r="D130">
        <v>51.862813032700693</v>
      </c>
    </row>
    <row r="131" spans="1:4" x14ac:dyDescent="0.25">
      <c r="A131" t="s">
        <v>161</v>
      </c>
      <c r="B131" t="s">
        <v>163</v>
      </c>
      <c r="C131">
        <v>6.1185125222672463</v>
      </c>
      <c r="D131">
        <v>52.108975141761931</v>
      </c>
    </row>
    <row r="132" spans="1:4" x14ac:dyDescent="0.25">
      <c r="A132" t="s">
        <v>164</v>
      </c>
      <c r="B132" t="s">
        <v>166</v>
      </c>
      <c r="C132">
        <v>5.403655716644308</v>
      </c>
      <c r="D132">
        <v>51.938320812843379</v>
      </c>
    </row>
    <row r="133" spans="1:4" x14ac:dyDescent="0.25">
      <c r="A133" t="s">
        <v>167</v>
      </c>
      <c r="B133" t="s">
        <v>169</v>
      </c>
      <c r="C133">
        <v>5.2103878017024217</v>
      </c>
      <c r="D133">
        <v>51.945778631663693</v>
      </c>
    </row>
    <row r="134" spans="1:4" x14ac:dyDescent="0.25">
      <c r="A134" t="s">
        <v>170</v>
      </c>
      <c r="B134" t="s">
        <v>172</v>
      </c>
      <c r="C134">
        <v>6.1469041453297484</v>
      </c>
      <c r="D134">
        <v>52.018674160862858</v>
      </c>
    </row>
    <row r="135" spans="1:4" x14ac:dyDescent="0.25">
      <c r="A135" t="s">
        <v>173</v>
      </c>
      <c r="B135" t="s">
        <v>175</v>
      </c>
      <c r="C135">
        <v>6.2866917991948963</v>
      </c>
      <c r="D135">
        <v>51.960771911102931</v>
      </c>
    </row>
    <row r="136" spans="1:4" x14ac:dyDescent="0.25">
      <c r="A136" t="s">
        <v>176</v>
      </c>
      <c r="B136" t="s">
        <v>178</v>
      </c>
      <c r="C136">
        <v>5.6121476649115376</v>
      </c>
      <c r="D136">
        <v>51.875013383602649</v>
      </c>
    </row>
    <row r="137" spans="1:4" x14ac:dyDescent="0.25">
      <c r="A137" t="s">
        <v>179</v>
      </c>
      <c r="B137" t="s">
        <v>181</v>
      </c>
      <c r="C137">
        <v>6.0181770362350724</v>
      </c>
      <c r="D137">
        <v>51.946553243027992</v>
      </c>
    </row>
    <row r="138" spans="1:4" x14ac:dyDescent="0.25">
      <c r="A138" t="s">
        <v>182</v>
      </c>
      <c r="B138" t="s">
        <v>184</v>
      </c>
      <c r="C138">
        <v>5.7280372722172004</v>
      </c>
      <c r="D138">
        <v>52.076423043715863</v>
      </c>
    </row>
    <row r="139" spans="1:4" x14ac:dyDescent="0.25">
      <c r="A139" t="s">
        <v>185</v>
      </c>
      <c r="B139" t="s">
        <v>187</v>
      </c>
      <c r="C139">
        <v>5.8499687225550581</v>
      </c>
      <c r="D139">
        <v>52.411995915039697</v>
      </c>
    </row>
    <row r="140" spans="1:4" x14ac:dyDescent="0.25">
      <c r="A140" t="s">
        <v>188</v>
      </c>
      <c r="B140" t="s">
        <v>190</v>
      </c>
      <c r="C140">
        <v>5.9549852891522876</v>
      </c>
      <c r="D140">
        <v>52.325519465380523</v>
      </c>
    </row>
    <row r="141" spans="1:4" x14ac:dyDescent="0.25">
      <c r="A141" t="s">
        <v>191</v>
      </c>
      <c r="B141" t="s">
        <v>193</v>
      </c>
      <c r="C141">
        <v>5.6682244384620661</v>
      </c>
      <c r="D141">
        <v>52.28769894829793</v>
      </c>
    </row>
    <row r="142" spans="1:4" x14ac:dyDescent="0.25">
      <c r="A142" t="s">
        <v>194</v>
      </c>
      <c r="B142" t="s">
        <v>196</v>
      </c>
      <c r="C142">
        <v>5.6552031032289136</v>
      </c>
      <c r="D142">
        <v>52.339497933289593</v>
      </c>
    </row>
    <row r="143" spans="1:4" x14ac:dyDescent="0.25">
      <c r="A143" t="s">
        <v>197</v>
      </c>
      <c r="B143" t="s">
        <v>199</v>
      </c>
      <c r="C143">
        <v>6.053254850479612</v>
      </c>
      <c r="D143">
        <v>52.474783758775182</v>
      </c>
    </row>
    <row r="144" spans="1:4" x14ac:dyDescent="0.25">
      <c r="A144" t="s">
        <v>200</v>
      </c>
      <c r="B144" t="s">
        <v>202</v>
      </c>
      <c r="C144">
        <v>6.0503343241065899</v>
      </c>
      <c r="D144">
        <v>52.406062475530547</v>
      </c>
    </row>
    <row r="145" spans="1:4" x14ac:dyDescent="0.25">
      <c r="A145" t="s">
        <v>203</v>
      </c>
      <c r="B145" t="s">
        <v>205</v>
      </c>
      <c r="C145">
        <v>5.8184948962781062</v>
      </c>
      <c r="D145">
        <v>51.777886424906477</v>
      </c>
    </row>
    <row r="146" spans="1:4" x14ac:dyDescent="0.25">
      <c r="A146" t="s">
        <v>206</v>
      </c>
      <c r="B146" t="s">
        <v>208</v>
      </c>
      <c r="C146">
        <v>6.3468061115935281</v>
      </c>
      <c r="D146">
        <v>52.179475890735503</v>
      </c>
    </row>
    <row r="147" spans="1:4" x14ac:dyDescent="0.25">
      <c r="A147" t="s">
        <v>209</v>
      </c>
      <c r="B147" t="s">
        <v>211</v>
      </c>
      <c r="C147">
        <v>5.2969593825864578</v>
      </c>
      <c r="D147">
        <v>51.776252217433871</v>
      </c>
    </row>
    <row r="148" spans="1:4" x14ac:dyDescent="0.25">
      <c r="A148" t="s">
        <v>212</v>
      </c>
      <c r="B148" t="s">
        <v>214</v>
      </c>
      <c r="C148">
        <v>5.4856809324449438</v>
      </c>
      <c r="D148">
        <v>52.210821933253811</v>
      </c>
    </row>
    <row r="149" spans="1:4" x14ac:dyDescent="0.25">
      <c r="A149" t="s">
        <v>215</v>
      </c>
      <c r="B149" t="s">
        <v>217</v>
      </c>
      <c r="C149">
        <v>5.8368042959053081</v>
      </c>
      <c r="D149">
        <v>51.838516906143077</v>
      </c>
    </row>
    <row r="150" spans="1:4" x14ac:dyDescent="0.25">
      <c r="A150" t="s">
        <v>218</v>
      </c>
      <c r="B150" t="s">
        <v>220</v>
      </c>
      <c r="C150">
        <v>5.9376301671600116</v>
      </c>
      <c r="D150">
        <v>52.456736018766293</v>
      </c>
    </row>
    <row r="151" spans="1:4" x14ac:dyDescent="0.25">
      <c r="A151" t="s">
        <v>221</v>
      </c>
      <c r="B151" t="s">
        <v>223</v>
      </c>
      <c r="C151">
        <v>5.5843056890526599</v>
      </c>
      <c r="D151">
        <v>52.243229378640613</v>
      </c>
    </row>
    <row r="152" spans="1:4" x14ac:dyDescent="0.25">
      <c r="A152" t="s">
        <v>224</v>
      </c>
      <c r="B152" t="s">
        <v>226</v>
      </c>
      <c r="C152">
        <v>5.7848432641744401</v>
      </c>
      <c r="D152">
        <v>51.98961830305204</v>
      </c>
    </row>
    <row r="153" spans="1:4" x14ac:dyDescent="0.25">
      <c r="A153" t="s">
        <v>227</v>
      </c>
      <c r="B153" t="s">
        <v>229</v>
      </c>
      <c r="C153">
        <v>6.0512691345164482</v>
      </c>
      <c r="D153">
        <v>52.033546383267463</v>
      </c>
    </row>
    <row r="154" spans="1:4" x14ac:dyDescent="0.25">
      <c r="A154" t="s">
        <v>230</v>
      </c>
      <c r="B154" t="s">
        <v>232</v>
      </c>
      <c r="C154">
        <v>5.9678984652466536</v>
      </c>
      <c r="D154">
        <v>52.042546098603971</v>
      </c>
    </row>
    <row r="155" spans="1:4" x14ac:dyDescent="0.25">
      <c r="A155" t="s">
        <v>233</v>
      </c>
      <c r="B155" t="s">
        <v>235</v>
      </c>
      <c r="C155">
        <v>5.5004933380473062</v>
      </c>
      <c r="D155">
        <v>52.089324132971583</v>
      </c>
    </row>
    <row r="156" spans="1:4" x14ac:dyDescent="0.25">
      <c r="A156" t="s">
        <v>236</v>
      </c>
      <c r="B156" t="s">
        <v>238</v>
      </c>
      <c r="C156">
        <v>5.4068787083814041</v>
      </c>
      <c r="D156">
        <v>51.885084486758387</v>
      </c>
    </row>
    <row r="157" spans="1:4" x14ac:dyDescent="0.25">
      <c r="A157" t="s">
        <v>239</v>
      </c>
      <c r="B157" t="s">
        <v>241</v>
      </c>
      <c r="C157">
        <v>6.0990814098599602</v>
      </c>
      <c r="D157">
        <v>52.22560493503444</v>
      </c>
    </row>
    <row r="158" spans="1:4" x14ac:dyDescent="0.25">
      <c r="A158" t="s">
        <v>242</v>
      </c>
      <c r="B158" t="s">
        <v>244</v>
      </c>
      <c r="C158">
        <v>5.6635164469532198</v>
      </c>
      <c r="D158">
        <v>51.973476753212893</v>
      </c>
    </row>
    <row r="159" spans="1:4" x14ac:dyDescent="0.25">
      <c r="A159" t="s">
        <v>245</v>
      </c>
      <c r="B159" t="s">
        <v>247</v>
      </c>
      <c r="C159">
        <v>5.970719163323948</v>
      </c>
      <c r="D159">
        <v>51.957519595810112</v>
      </c>
    </row>
    <row r="160" spans="1:4" x14ac:dyDescent="0.25">
      <c r="A160" t="s">
        <v>248</v>
      </c>
      <c r="B160" t="s">
        <v>250</v>
      </c>
      <c r="C160">
        <v>6.7258651389190742</v>
      </c>
      <c r="D160">
        <v>51.9698694435993</v>
      </c>
    </row>
    <row r="161" spans="1:4" x14ac:dyDescent="0.25">
      <c r="A161" t="s">
        <v>251</v>
      </c>
      <c r="B161" t="s">
        <v>253</v>
      </c>
      <c r="C161">
        <v>5.7018901793532359</v>
      </c>
      <c r="D161">
        <v>51.816736124301187</v>
      </c>
    </row>
    <row r="162" spans="1:4" x14ac:dyDescent="0.25">
      <c r="A162" t="s">
        <v>254</v>
      </c>
      <c r="B162" t="s">
        <v>256</v>
      </c>
      <c r="C162">
        <v>5.1584294203087664</v>
      </c>
      <c r="D162">
        <v>51.792279824579687</v>
      </c>
    </row>
    <row r="163" spans="1:4" x14ac:dyDescent="0.25">
      <c r="A163" t="s">
        <v>257</v>
      </c>
      <c r="B163" t="s">
        <v>259</v>
      </c>
      <c r="C163">
        <v>6.0852166620458057</v>
      </c>
      <c r="D163">
        <v>51.924147365400827</v>
      </c>
    </row>
    <row r="164" spans="1:4" x14ac:dyDescent="0.25">
      <c r="A164" t="s">
        <v>260</v>
      </c>
      <c r="B164" t="s">
        <v>262</v>
      </c>
      <c r="C164">
        <v>6.2339453530587701</v>
      </c>
      <c r="D164">
        <v>52.136342760247018</v>
      </c>
    </row>
    <row r="165" spans="1:4" x14ac:dyDescent="0.25">
      <c r="A165" t="s">
        <v>263</v>
      </c>
      <c r="B165" t="s">
        <v>265</v>
      </c>
      <c r="C165">
        <v>5.7865765123101136</v>
      </c>
      <c r="D165">
        <v>52.33897441318917</v>
      </c>
    </row>
    <row r="166" spans="1:4" x14ac:dyDescent="0.25">
      <c r="A166" t="s">
        <v>266</v>
      </c>
      <c r="B166" t="s">
        <v>268</v>
      </c>
      <c r="C166">
        <v>5.7017967291607956</v>
      </c>
      <c r="D166">
        <v>52.502331077290371</v>
      </c>
    </row>
    <row r="167" spans="1:4" x14ac:dyDescent="0.25">
      <c r="A167" t="s">
        <v>269</v>
      </c>
      <c r="B167" t="s">
        <v>271</v>
      </c>
      <c r="C167">
        <v>5.3846983853057342</v>
      </c>
      <c r="D167">
        <v>52.173656200155392</v>
      </c>
    </row>
    <row r="168" spans="1:4" x14ac:dyDescent="0.25">
      <c r="A168" t="s">
        <v>272</v>
      </c>
      <c r="B168" t="s">
        <v>274</v>
      </c>
      <c r="C168">
        <v>5.2641527578566363</v>
      </c>
      <c r="D168">
        <v>52.203834166457852</v>
      </c>
    </row>
    <row r="169" spans="1:4" x14ac:dyDescent="0.25">
      <c r="A169" t="s">
        <v>275</v>
      </c>
      <c r="B169" t="s">
        <v>277</v>
      </c>
      <c r="C169">
        <v>5.1743059742520776</v>
      </c>
      <c r="D169">
        <v>52.141741481869971</v>
      </c>
    </row>
    <row r="170" spans="1:4" x14ac:dyDescent="0.25">
      <c r="A170" t="s">
        <v>278</v>
      </c>
      <c r="B170" t="s">
        <v>280</v>
      </c>
      <c r="C170">
        <v>5.2169233022510282</v>
      </c>
      <c r="D170">
        <v>52.040921032809123</v>
      </c>
    </row>
    <row r="171" spans="1:4" x14ac:dyDescent="0.25">
      <c r="A171" t="s">
        <v>281</v>
      </c>
      <c r="B171" t="s">
        <v>283</v>
      </c>
      <c r="C171">
        <v>5.3580295152892878</v>
      </c>
      <c r="D171">
        <v>52.238709087679631</v>
      </c>
    </row>
    <row r="172" spans="1:4" x14ac:dyDescent="0.25">
      <c r="A172" t="s">
        <v>284</v>
      </c>
      <c r="B172" t="s">
        <v>286</v>
      </c>
      <c r="C172">
        <v>5.2796680901850923</v>
      </c>
      <c r="D172">
        <v>52.249878592648443</v>
      </c>
    </row>
    <row r="173" spans="1:4" x14ac:dyDescent="0.25">
      <c r="A173" t="s">
        <v>287</v>
      </c>
      <c r="B173" t="s">
        <v>289</v>
      </c>
      <c r="C173">
        <v>5.1816978068472483</v>
      </c>
      <c r="D173">
        <v>52.004101856445033</v>
      </c>
    </row>
    <row r="174" spans="1:4" x14ac:dyDescent="0.25">
      <c r="A174" t="s">
        <v>290</v>
      </c>
      <c r="B174" t="s">
        <v>292</v>
      </c>
      <c r="C174">
        <v>5.4164623520510764</v>
      </c>
      <c r="D174">
        <v>52.122219938764339</v>
      </c>
    </row>
    <row r="175" spans="1:4" x14ac:dyDescent="0.25">
      <c r="A175" t="s">
        <v>293</v>
      </c>
      <c r="B175" t="s">
        <v>295</v>
      </c>
      <c r="C175">
        <v>4.9455423901224398</v>
      </c>
      <c r="D175">
        <v>51.985353332573077</v>
      </c>
    </row>
    <row r="176" spans="1:4" x14ac:dyDescent="0.25">
      <c r="A176" t="s">
        <v>296</v>
      </c>
      <c r="B176" t="s">
        <v>298</v>
      </c>
      <c r="C176">
        <v>4.9440445674369577</v>
      </c>
      <c r="D176">
        <v>52.047710771148353</v>
      </c>
    </row>
    <row r="177" spans="1:4" x14ac:dyDescent="0.25">
      <c r="A177" t="s">
        <v>299</v>
      </c>
      <c r="B177" t="s">
        <v>301</v>
      </c>
      <c r="C177">
        <v>5.5341653726803957</v>
      </c>
      <c r="D177">
        <v>52.068950952296717</v>
      </c>
    </row>
    <row r="178" spans="1:4" x14ac:dyDescent="0.25">
      <c r="A178" t="s">
        <v>302</v>
      </c>
      <c r="B178" t="s">
        <v>304</v>
      </c>
      <c r="C178">
        <v>5.5605161686587659</v>
      </c>
      <c r="D178">
        <v>51.98076721537192</v>
      </c>
    </row>
    <row r="179" spans="1:4" x14ac:dyDescent="0.25">
      <c r="A179" t="s">
        <v>305</v>
      </c>
      <c r="B179" t="s">
        <v>307</v>
      </c>
      <c r="C179">
        <v>5.2962888248519802</v>
      </c>
      <c r="D179">
        <v>52.15619845581201</v>
      </c>
    </row>
    <row r="180" spans="1:4" x14ac:dyDescent="0.25">
      <c r="A180" t="s">
        <v>308</v>
      </c>
      <c r="B180" t="s">
        <v>310</v>
      </c>
      <c r="C180">
        <v>5.0747454717327223</v>
      </c>
      <c r="D180">
        <v>52.091138295861931</v>
      </c>
    </row>
    <row r="181" spans="1:4" x14ac:dyDescent="0.25">
      <c r="A181" t="s">
        <v>311</v>
      </c>
      <c r="B181" t="s">
        <v>313</v>
      </c>
      <c r="C181">
        <v>5.5556558366212956</v>
      </c>
      <c r="D181">
        <v>52.023679813211913</v>
      </c>
    </row>
    <row r="182" spans="1:4" x14ac:dyDescent="0.25">
      <c r="A182" t="s">
        <v>314</v>
      </c>
      <c r="B182" t="s">
        <v>316</v>
      </c>
      <c r="C182">
        <v>5.4266298950366938</v>
      </c>
      <c r="D182">
        <v>52.081152390725237</v>
      </c>
    </row>
    <row r="183" spans="1:4" x14ac:dyDescent="0.25">
      <c r="A183" t="s">
        <v>317</v>
      </c>
      <c r="B183" t="s">
        <v>319</v>
      </c>
      <c r="C183">
        <v>5.3252561010014157</v>
      </c>
      <c r="D183">
        <v>51.989200881292668</v>
      </c>
    </row>
    <row r="184" spans="1:4" x14ac:dyDescent="0.25">
      <c r="A184" t="s">
        <v>320</v>
      </c>
      <c r="B184" t="s">
        <v>322</v>
      </c>
      <c r="C184">
        <v>5.0287787136998823</v>
      </c>
      <c r="D184">
        <v>52.027715469225292</v>
      </c>
    </row>
    <row r="185" spans="1:4" x14ac:dyDescent="0.25">
      <c r="A185" t="s">
        <v>323</v>
      </c>
      <c r="B185" t="s">
        <v>325</v>
      </c>
      <c r="C185">
        <v>5.255181769374798</v>
      </c>
      <c r="D185">
        <v>52.101975702998139</v>
      </c>
    </row>
    <row r="186" spans="1:4" x14ac:dyDescent="0.25">
      <c r="A186" t="s">
        <v>326</v>
      </c>
      <c r="B186" t="s">
        <v>328</v>
      </c>
      <c r="C186">
        <v>5.0946704619776444</v>
      </c>
      <c r="D186">
        <v>52.030822022044752</v>
      </c>
    </row>
    <row r="187" spans="1:4" x14ac:dyDescent="0.25">
      <c r="A187" t="s">
        <v>329</v>
      </c>
      <c r="B187" t="s">
        <v>331</v>
      </c>
      <c r="C187">
        <v>4.7550483681760021</v>
      </c>
      <c r="D187">
        <v>52.257700381692537</v>
      </c>
    </row>
    <row r="188" spans="1:4" x14ac:dyDescent="0.25">
      <c r="A188" t="s">
        <v>332</v>
      </c>
      <c r="B188" t="s">
        <v>334</v>
      </c>
      <c r="C188">
        <v>4.8032891602531702</v>
      </c>
      <c r="D188">
        <v>52.601809520326547</v>
      </c>
    </row>
    <row r="189" spans="1:4" x14ac:dyDescent="0.25">
      <c r="A189" t="s">
        <v>335</v>
      </c>
      <c r="B189" t="s">
        <v>337</v>
      </c>
      <c r="C189">
        <v>4.851492916313946</v>
      </c>
      <c r="D189">
        <v>52.289274309642238</v>
      </c>
    </row>
    <row r="190" spans="1:4" x14ac:dyDescent="0.25">
      <c r="A190" t="s">
        <v>338</v>
      </c>
      <c r="B190" t="s">
        <v>340</v>
      </c>
      <c r="C190">
        <v>4.9084245243692877</v>
      </c>
      <c r="D190">
        <v>52.365043684817998</v>
      </c>
    </row>
    <row r="191" spans="1:4" x14ac:dyDescent="0.25">
      <c r="A191" t="s">
        <v>341</v>
      </c>
      <c r="B191" t="s">
        <v>343</v>
      </c>
      <c r="C191">
        <v>4.6699105845828779</v>
      </c>
      <c r="D191">
        <v>52.663503459490258</v>
      </c>
    </row>
    <row r="192" spans="1:4" x14ac:dyDescent="0.25">
      <c r="A192" t="s">
        <v>344</v>
      </c>
      <c r="B192" t="s">
        <v>346</v>
      </c>
      <c r="C192">
        <v>4.6537108610949396</v>
      </c>
      <c r="D192">
        <v>52.484105730644629</v>
      </c>
    </row>
    <row r="193" spans="1:4" x14ac:dyDescent="0.25">
      <c r="A193" t="s">
        <v>347</v>
      </c>
      <c r="B193" t="s">
        <v>349</v>
      </c>
      <c r="C193">
        <v>5.2597898485248864</v>
      </c>
      <c r="D193">
        <v>52.279452644127467</v>
      </c>
    </row>
    <row r="194" spans="1:4" x14ac:dyDescent="0.25">
      <c r="A194" t="s">
        <v>350</v>
      </c>
      <c r="B194" t="s">
        <v>352</v>
      </c>
      <c r="C194">
        <v>4.5858656547822783</v>
      </c>
      <c r="D194">
        <v>52.381950843570209</v>
      </c>
    </row>
    <row r="195" spans="1:4" x14ac:dyDescent="0.25">
      <c r="A195" t="s">
        <v>353</v>
      </c>
      <c r="B195" t="s">
        <v>355</v>
      </c>
      <c r="C195">
        <v>4.6828030938124456</v>
      </c>
      <c r="D195">
        <v>52.556970791435774</v>
      </c>
    </row>
    <row r="196" spans="1:4" x14ac:dyDescent="0.25">
      <c r="A196" t="s">
        <v>356</v>
      </c>
      <c r="B196" t="s">
        <v>358</v>
      </c>
      <c r="C196">
        <v>4.9869359769054844</v>
      </c>
      <c r="D196">
        <v>52.336466610924766</v>
      </c>
    </row>
    <row r="197" spans="1:4" x14ac:dyDescent="0.25">
      <c r="A197" t="s">
        <v>359</v>
      </c>
      <c r="B197" t="s">
        <v>361</v>
      </c>
      <c r="C197">
        <v>5.0188953998164498</v>
      </c>
      <c r="D197">
        <v>52.54138007395688</v>
      </c>
    </row>
    <row r="198" spans="1:4" x14ac:dyDescent="0.25">
      <c r="A198" t="s">
        <v>362</v>
      </c>
      <c r="B198" t="s">
        <v>364</v>
      </c>
      <c r="C198">
        <v>5.2721038448467796</v>
      </c>
      <c r="D198">
        <v>52.718295776259893</v>
      </c>
    </row>
    <row r="199" spans="1:4" x14ac:dyDescent="0.25">
      <c r="A199" t="s">
        <v>365</v>
      </c>
      <c r="B199" t="s">
        <v>367</v>
      </c>
      <c r="C199">
        <v>4.6475333343979299</v>
      </c>
      <c r="D199">
        <v>52.38341604179228</v>
      </c>
    </row>
    <row r="200" spans="1:4" x14ac:dyDescent="0.25">
      <c r="A200" t="s">
        <v>368</v>
      </c>
      <c r="B200" t="s">
        <v>370</v>
      </c>
      <c r="C200">
        <v>4.6865257561310676</v>
      </c>
      <c r="D200">
        <v>52.30812260494001</v>
      </c>
    </row>
    <row r="201" spans="1:4" x14ac:dyDescent="0.25">
      <c r="A201" t="s">
        <v>371</v>
      </c>
      <c r="B201" t="s">
        <v>373</v>
      </c>
      <c r="C201">
        <v>4.6483139464937659</v>
      </c>
      <c r="D201">
        <v>52.511910038845564</v>
      </c>
    </row>
    <row r="202" spans="1:4" x14ac:dyDescent="0.25">
      <c r="A202" t="s">
        <v>374</v>
      </c>
      <c r="B202" t="s">
        <v>376</v>
      </c>
      <c r="C202">
        <v>4.6153622150401699</v>
      </c>
      <c r="D202">
        <v>52.344781177802339</v>
      </c>
    </row>
    <row r="203" spans="1:4" x14ac:dyDescent="0.25">
      <c r="A203" t="s">
        <v>377</v>
      </c>
      <c r="B203" t="s">
        <v>379</v>
      </c>
      <c r="C203">
        <v>4.7085727057786162</v>
      </c>
      <c r="D203">
        <v>52.599855061375379</v>
      </c>
    </row>
    <row r="204" spans="1:4" x14ac:dyDescent="0.25">
      <c r="A204" t="s">
        <v>380</v>
      </c>
      <c r="B204" t="s">
        <v>382</v>
      </c>
      <c r="C204">
        <v>4.7539870708318963</v>
      </c>
      <c r="D204">
        <v>52.922618964139701</v>
      </c>
    </row>
    <row r="205" spans="1:4" x14ac:dyDescent="0.25">
      <c r="A205" t="s">
        <v>383</v>
      </c>
      <c r="B205" t="s">
        <v>385</v>
      </c>
      <c r="C205">
        <v>5.1680279628960379</v>
      </c>
      <c r="D205">
        <v>52.223122772724523</v>
      </c>
    </row>
    <row r="206" spans="1:4" x14ac:dyDescent="0.25">
      <c r="A206" t="s">
        <v>386</v>
      </c>
      <c r="B206" t="s">
        <v>388</v>
      </c>
      <c r="C206">
        <v>5.070056781508252</v>
      </c>
      <c r="D206">
        <v>52.656140727322096</v>
      </c>
    </row>
    <row r="207" spans="1:4" x14ac:dyDescent="0.25">
      <c r="A207" t="s">
        <v>389</v>
      </c>
      <c r="B207" t="s">
        <v>391</v>
      </c>
      <c r="C207">
        <v>5.2318557171471802</v>
      </c>
      <c r="D207">
        <v>52.292212281892247</v>
      </c>
    </row>
    <row r="208" spans="1:4" x14ac:dyDescent="0.25">
      <c r="A208" t="s">
        <v>392</v>
      </c>
      <c r="B208" t="s">
        <v>394</v>
      </c>
      <c r="C208">
        <v>4.9245553258570984</v>
      </c>
      <c r="D208">
        <v>52.450590997270602</v>
      </c>
    </row>
    <row r="209" spans="1:4" x14ac:dyDescent="0.25">
      <c r="A209" t="s">
        <v>395</v>
      </c>
      <c r="B209" t="s">
        <v>397</v>
      </c>
      <c r="C209">
        <v>5.2170743780993138</v>
      </c>
      <c r="D209">
        <v>52.247183334034958</v>
      </c>
    </row>
    <row r="210" spans="1:4" x14ac:dyDescent="0.25">
      <c r="A210" t="s">
        <v>398</v>
      </c>
      <c r="B210" t="s">
        <v>400</v>
      </c>
      <c r="C210">
        <v>5.0991952645286176</v>
      </c>
      <c r="D210">
        <v>52.720765684275783</v>
      </c>
    </row>
    <row r="211" spans="1:4" x14ac:dyDescent="0.25">
      <c r="A211" t="s">
        <v>401</v>
      </c>
      <c r="B211" t="s">
        <v>403</v>
      </c>
      <c r="C211">
        <v>4.8761101728555483</v>
      </c>
      <c r="D211">
        <v>52.451966867093432</v>
      </c>
    </row>
    <row r="212" spans="1:4" x14ac:dyDescent="0.25">
      <c r="A212" t="s">
        <v>404</v>
      </c>
      <c r="B212" t="s">
        <v>406</v>
      </c>
      <c r="C212">
        <v>4.9534804011573641</v>
      </c>
      <c r="D212">
        <v>52.71528750769783</v>
      </c>
    </row>
    <row r="213" spans="1:4" x14ac:dyDescent="0.25">
      <c r="A213" t="s">
        <v>407</v>
      </c>
      <c r="B213" t="s">
        <v>409</v>
      </c>
      <c r="C213">
        <v>4.9135259213311384</v>
      </c>
      <c r="D213">
        <v>52.28938599832891</v>
      </c>
    </row>
    <row r="214" spans="1:4" x14ac:dyDescent="0.25">
      <c r="A214" t="s">
        <v>410</v>
      </c>
      <c r="B214" t="s">
        <v>412</v>
      </c>
      <c r="C214">
        <v>4.9306685502986038</v>
      </c>
      <c r="D214">
        <v>52.54359982587129</v>
      </c>
    </row>
    <row r="215" spans="1:4" x14ac:dyDescent="0.25">
      <c r="A215" t="s">
        <v>413</v>
      </c>
      <c r="B215" t="s">
        <v>415</v>
      </c>
      <c r="C215">
        <v>4.7482171639966824</v>
      </c>
      <c r="D215">
        <v>52.784289102548598</v>
      </c>
    </row>
    <row r="216" spans="1:4" x14ac:dyDescent="0.25">
      <c r="A216" t="s">
        <v>416</v>
      </c>
      <c r="B216" t="s">
        <v>418</v>
      </c>
      <c r="C216">
        <v>4.8054590029736337</v>
      </c>
      <c r="D216">
        <v>53.078760841955663</v>
      </c>
    </row>
    <row r="217" spans="1:4" x14ac:dyDescent="0.25">
      <c r="A217" t="s">
        <v>419</v>
      </c>
      <c r="B217" t="s">
        <v>421</v>
      </c>
      <c r="C217">
        <v>4.7286085810175464</v>
      </c>
      <c r="D217">
        <v>52.523429726901043</v>
      </c>
    </row>
    <row r="218" spans="1:4" x14ac:dyDescent="0.25">
      <c r="A218" t="s">
        <v>422</v>
      </c>
      <c r="B218" t="s">
        <v>424</v>
      </c>
      <c r="C218">
        <v>4.7908557940241403</v>
      </c>
      <c r="D218">
        <v>52.236907680829859</v>
      </c>
    </row>
    <row r="219" spans="1:4" x14ac:dyDescent="0.25">
      <c r="A219" t="s">
        <v>425</v>
      </c>
      <c r="B219" t="s">
        <v>427</v>
      </c>
      <c r="C219">
        <v>4.6302287380764762</v>
      </c>
      <c r="D219">
        <v>52.449495151338489</v>
      </c>
    </row>
    <row r="220" spans="1:4" x14ac:dyDescent="0.25">
      <c r="A220" t="s">
        <v>428</v>
      </c>
      <c r="B220" t="s">
        <v>430</v>
      </c>
      <c r="C220">
        <v>4.5436130381109736</v>
      </c>
      <c r="D220">
        <v>52.358064548795227</v>
      </c>
    </row>
    <row r="221" spans="1:4" x14ac:dyDescent="0.25">
      <c r="A221" t="s">
        <v>431</v>
      </c>
      <c r="B221" t="s">
        <v>433</v>
      </c>
      <c r="C221">
        <v>4.7730017828236644</v>
      </c>
      <c r="D221">
        <v>52.462913419579642</v>
      </c>
    </row>
    <row r="222" spans="1:4" x14ac:dyDescent="0.25">
      <c r="A222" t="s">
        <v>434</v>
      </c>
      <c r="B222" t="s">
        <v>436</v>
      </c>
      <c r="C222">
        <v>4.6657274871273078</v>
      </c>
      <c r="D222">
        <v>51.864655071675088</v>
      </c>
    </row>
    <row r="223" spans="1:4" x14ac:dyDescent="0.25">
      <c r="A223" t="s">
        <v>437</v>
      </c>
      <c r="B223" t="s">
        <v>439</v>
      </c>
      <c r="C223">
        <v>4.6409793462304183</v>
      </c>
      <c r="D223">
        <v>52.113322822975057</v>
      </c>
    </row>
    <row r="224" spans="1:4" x14ac:dyDescent="0.25">
      <c r="A224" t="s">
        <v>440</v>
      </c>
      <c r="B224" t="s">
        <v>442</v>
      </c>
      <c r="C224">
        <v>4.5254367702615204</v>
      </c>
      <c r="D224">
        <v>51.851065909727531</v>
      </c>
    </row>
    <row r="225" spans="1:4" x14ac:dyDescent="0.25">
      <c r="A225" t="s">
        <v>443</v>
      </c>
      <c r="B225" t="s">
        <v>445</v>
      </c>
      <c r="C225">
        <v>5.164985641453872</v>
      </c>
      <c r="D225">
        <v>52.663939468067149</v>
      </c>
    </row>
    <row r="226" spans="1:4" x14ac:dyDescent="0.25">
      <c r="A226" t="s">
        <v>446</v>
      </c>
      <c r="B226" t="s">
        <v>448</v>
      </c>
      <c r="C226">
        <v>4.5801419868005979</v>
      </c>
      <c r="D226">
        <v>51.934932189936823</v>
      </c>
    </row>
    <row r="227" spans="1:4" x14ac:dyDescent="0.25">
      <c r="A227" t="s">
        <v>449</v>
      </c>
      <c r="B227" t="s">
        <v>451</v>
      </c>
      <c r="C227">
        <v>4.3631045090090748</v>
      </c>
      <c r="D227">
        <v>51.998460711723531</v>
      </c>
    </row>
    <row r="228" spans="1:4" x14ac:dyDescent="0.25">
      <c r="A228" t="s">
        <v>452</v>
      </c>
      <c r="B228" t="s">
        <v>454</v>
      </c>
      <c r="C228">
        <v>4.7095787927074397</v>
      </c>
      <c r="D228">
        <v>51.782046804910998</v>
      </c>
    </row>
    <row r="229" spans="1:4" x14ac:dyDescent="0.25">
      <c r="A229" t="s">
        <v>455</v>
      </c>
      <c r="B229" t="s">
        <v>457</v>
      </c>
      <c r="C229">
        <v>4.9770784347578942</v>
      </c>
      <c r="D229">
        <v>51.838459430992692</v>
      </c>
    </row>
    <row r="230" spans="1:4" x14ac:dyDescent="0.25">
      <c r="A230" t="s">
        <v>458</v>
      </c>
      <c r="B230" t="s">
        <v>460</v>
      </c>
      <c r="C230">
        <v>4.7062040547802058</v>
      </c>
      <c r="D230">
        <v>52.015301682102709</v>
      </c>
    </row>
    <row r="231" spans="1:4" x14ac:dyDescent="0.25">
      <c r="A231" t="s">
        <v>461</v>
      </c>
      <c r="B231" t="s">
        <v>463</v>
      </c>
      <c r="C231">
        <v>4.3002087734819572</v>
      </c>
      <c r="D231">
        <v>52.068507025189433</v>
      </c>
    </row>
    <row r="232" spans="1:4" x14ac:dyDescent="0.25">
      <c r="A232" t="s">
        <v>464</v>
      </c>
      <c r="B232" t="s">
        <v>466</v>
      </c>
      <c r="C232">
        <v>4.8524199717777803</v>
      </c>
      <c r="D232">
        <v>51.832611647031086</v>
      </c>
    </row>
    <row r="233" spans="1:4" x14ac:dyDescent="0.25">
      <c r="A233" t="s">
        <v>467</v>
      </c>
      <c r="B233" t="s">
        <v>469</v>
      </c>
      <c r="C233">
        <v>4.6387900751713316</v>
      </c>
      <c r="D233">
        <v>51.841794799277672</v>
      </c>
    </row>
    <row r="234" spans="1:4" x14ac:dyDescent="0.25">
      <c r="A234" t="s">
        <v>470</v>
      </c>
      <c r="B234" t="s">
        <v>472</v>
      </c>
      <c r="C234">
        <v>5.2252264313466057</v>
      </c>
      <c r="D234">
        <v>52.700975916245071</v>
      </c>
    </row>
    <row r="235" spans="1:4" x14ac:dyDescent="0.25">
      <c r="A235" t="s">
        <v>473</v>
      </c>
      <c r="B235" t="s">
        <v>475</v>
      </c>
      <c r="C235">
        <v>4.5769562017891436</v>
      </c>
      <c r="D235">
        <v>52.296774497542422</v>
      </c>
    </row>
    <row r="236" spans="1:4" x14ac:dyDescent="0.25">
      <c r="A236" t="s">
        <v>476</v>
      </c>
      <c r="B236" t="s">
        <v>478</v>
      </c>
      <c r="C236">
        <v>4.4224522032199349</v>
      </c>
      <c r="D236">
        <v>52.189808941296427</v>
      </c>
    </row>
    <row r="237" spans="1:4" x14ac:dyDescent="0.25">
      <c r="A237" t="s">
        <v>479</v>
      </c>
      <c r="B237" t="s">
        <v>481</v>
      </c>
      <c r="C237">
        <v>4.6021042309480897</v>
      </c>
      <c r="D237">
        <v>51.914696058867158</v>
      </c>
    </row>
    <row r="238" spans="1:4" x14ac:dyDescent="0.25">
      <c r="A238" t="s">
        <v>482</v>
      </c>
      <c r="B238" t="s">
        <v>484</v>
      </c>
      <c r="C238">
        <v>4.4851175987170491</v>
      </c>
      <c r="D238">
        <v>52.154985199549849</v>
      </c>
    </row>
    <row r="239" spans="1:4" x14ac:dyDescent="0.25">
      <c r="A239" t="s">
        <v>485</v>
      </c>
      <c r="B239" t="s">
        <v>487</v>
      </c>
      <c r="C239">
        <v>4.5420080540205383</v>
      </c>
      <c r="D239">
        <v>52.156653710282583</v>
      </c>
    </row>
    <row r="240" spans="1:4" x14ac:dyDescent="0.25">
      <c r="A240" t="s">
        <v>488</v>
      </c>
      <c r="B240" t="s">
        <v>490</v>
      </c>
      <c r="C240">
        <v>4.5458377663423821</v>
      </c>
      <c r="D240">
        <v>52.255555519978657</v>
      </c>
    </row>
    <row r="241" spans="1:4" x14ac:dyDescent="0.25">
      <c r="A241" t="s">
        <v>491</v>
      </c>
      <c r="B241" t="s">
        <v>493</v>
      </c>
      <c r="C241">
        <v>4.2488612534708112</v>
      </c>
      <c r="D241">
        <v>51.925199502949127</v>
      </c>
    </row>
    <row r="242" spans="1:4" x14ac:dyDescent="0.25">
      <c r="A242" t="s">
        <v>494</v>
      </c>
      <c r="B242" t="s">
        <v>496</v>
      </c>
      <c r="C242">
        <v>4.7794580747313216</v>
      </c>
      <c r="D242">
        <v>52.170790811834983</v>
      </c>
    </row>
    <row r="243" spans="1:4" x14ac:dyDescent="0.25">
      <c r="A243" t="s">
        <v>497</v>
      </c>
      <c r="B243" t="s">
        <v>499</v>
      </c>
      <c r="C243">
        <v>4.4846533687431238</v>
      </c>
      <c r="D243">
        <v>52.269740870173642</v>
      </c>
    </row>
    <row r="244" spans="1:4" x14ac:dyDescent="0.25">
      <c r="A244" t="s">
        <v>500</v>
      </c>
      <c r="B244" t="s">
        <v>502</v>
      </c>
      <c r="C244">
        <v>4.471213527834224</v>
      </c>
      <c r="D244">
        <v>52.185553902091243</v>
      </c>
    </row>
    <row r="245" spans="1:4" x14ac:dyDescent="0.25">
      <c r="A245" t="s">
        <v>503</v>
      </c>
      <c r="B245" t="s">
        <v>505</v>
      </c>
      <c r="C245">
        <v>4.8642419727710999</v>
      </c>
      <c r="D245">
        <v>52.027457961358991</v>
      </c>
    </row>
    <row r="246" spans="1:4" x14ac:dyDescent="0.25">
      <c r="A246" t="s">
        <v>506</v>
      </c>
      <c r="B246" t="s">
        <v>508</v>
      </c>
      <c r="C246">
        <v>4.7033449945061943</v>
      </c>
      <c r="D246">
        <v>51.833237036374101</v>
      </c>
    </row>
    <row r="247" spans="1:4" x14ac:dyDescent="0.25">
      <c r="A247" t="s">
        <v>509</v>
      </c>
      <c r="B247" t="s">
        <v>511</v>
      </c>
      <c r="C247">
        <v>4.5961070050111843</v>
      </c>
      <c r="D247">
        <v>51.868796588953693</v>
      </c>
    </row>
    <row r="248" spans="1:4" x14ac:dyDescent="0.25">
      <c r="A248" t="s">
        <v>512</v>
      </c>
      <c r="B248" t="s">
        <v>514</v>
      </c>
      <c r="C248">
        <v>4.3044333225362772</v>
      </c>
      <c r="D248">
        <v>51.926796984757878</v>
      </c>
    </row>
    <row r="249" spans="1:4" x14ac:dyDescent="0.25">
      <c r="A249" t="s">
        <v>515</v>
      </c>
      <c r="B249" t="s">
        <v>517</v>
      </c>
      <c r="C249">
        <v>4.3260332049732382</v>
      </c>
      <c r="D249">
        <v>52.036197895093288</v>
      </c>
    </row>
    <row r="250" spans="1:4" x14ac:dyDescent="0.25">
      <c r="A250" t="s">
        <v>518</v>
      </c>
      <c r="B250" t="s">
        <v>520</v>
      </c>
      <c r="C250">
        <v>4.3852574637483022</v>
      </c>
      <c r="D250">
        <v>51.926761219755917</v>
      </c>
    </row>
    <row r="251" spans="1:4" x14ac:dyDescent="0.25">
      <c r="A251" t="s">
        <v>521</v>
      </c>
      <c r="B251" t="s">
        <v>523</v>
      </c>
      <c r="C251">
        <v>4.772947408377326</v>
      </c>
      <c r="D251">
        <v>51.830686783120299</v>
      </c>
    </row>
    <row r="252" spans="1:4" x14ac:dyDescent="0.25">
      <c r="A252" t="s">
        <v>524</v>
      </c>
      <c r="B252" t="s">
        <v>526</v>
      </c>
      <c r="C252">
        <v>4.4357098351785522</v>
      </c>
      <c r="D252">
        <v>51.852041447658273</v>
      </c>
    </row>
    <row r="253" spans="1:4" x14ac:dyDescent="0.25">
      <c r="A253" t="s">
        <v>527</v>
      </c>
      <c r="B253" t="s">
        <v>529</v>
      </c>
      <c r="C253">
        <v>4.3278629103326223</v>
      </c>
      <c r="D253">
        <v>51.917389294277257</v>
      </c>
    </row>
    <row r="254" spans="1:4" x14ac:dyDescent="0.25">
      <c r="A254" t="s">
        <v>530</v>
      </c>
      <c r="B254" t="s">
        <v>532</v>
      </c>
      <c r="C254">
        <v>4.4386332702791957</v>
      </c>
      <c r="D254">
        <v>52.124823840577093</v>
      </c>
    </row>
    <row r="255" spans="1:4" x14ac:dyDescent="0.25">
      <c r="A255" t="s">
        <v>533</v>
      </c>
      <c r="B255" t="s">
        <v>535</v>
      </c>
      <c r="C255">
        <v>4.6407041787411218</v>
      </c>
      <c r="D255">
        <v>52.042396634082337</v>
      </c>
    </row>
    <row r="256" spans="1:4" x14ac:dyDescent="0.25">
      <c r="A256" t="s">
        <v>536</v>
      </c>
      <c r="B256" t="s">
        <v>538</v>
      </c>
      <c r="C256">
        <v>4.3731678414660786</v>
      </c>
      <c r="D256">
        <v>52.137590790036597</v>
      </c>
    </row>
    <row r="257" spans="1:4" x14ac:dyDescent="0.25">
      <c r="A257" t="s">
        <v>539</v>
      </c>
      <c r="B257" t="s">
        <v>541</v>
      </c>
      <c r="C257">
        <v>4.898887054715888</v>
      </c>
      <c r="D257">
        <v>52.106940885649458</v>
      </c>
    </row>
    <row r="258" spans="1:4" x14ac:dyDescent="0.25">
      <c r="A258" t="s">
        <v>542</v>
      </c>
      <c r="B258" t="s">
        <v>544</v>
      </c>
      <c r="C258">
        <v>4.4897752216796221</v>
      </c>
      <c r="D258">
        <v>52.060910312928442</v>
      </c>
    </row>
    <row r="259" spans="1:4" x14ac:dyDescent="0.25">
      <c r="A259" t="s">
        <v>545</v>
      </c>
      <c r="B259" t="s">
        <v>547</v>
      </c>
      <c r="C259">
        <v>4.5138337213022242</v>
      </c>
      <c r="D259">
        <v>52.11480566989043</v>
      </c>
    </row>
    <row r="260" spans="1:4" x14ac:dyDescent="0.25">
      <c r="A260" t="s">
        <v>548</v>
      </c>
      <c r="B260" t="s">
        <v>550</v>
      </c>
      <c r="C260">
        <v>4.6057976893714736</v>
      </c>
      <c r="D260">
        <v>51.821842540251318</v>
      </c>
    </row>
    <row r="261" spans="1:4" x14ac:dyDescent="0.25">
      <c r="A261" t="s">
        <v>551</v>
      </c>
      <c r="B261" t="s">
        <v>553</v>
      </c>
      <c r="C261">
        <v>3.812945580626987</v>
      </c>
      <c r="D261">
        <v>51.445183410782008</v>
      </c>
    </row>
    <row r="262" spans="1:4" x14ac:dyDescent="0.25">
      <c r="A262" t="s">
        <v>554</v>
      </c>
      <c r="B262" t="s">
        <v>556</v>
      </c>
      <c r="C262">
        <v>3.8448809911725732</v>
      </c>
      <c r="D262">
        <v>51.515164089279118</v>
      </c>
    </row>
    <row r="263" spans="1:4" x14ac:dyDescent="0.25">
      <c r="A263" t="s">
        <v>557</v>
      </c>
      <c r="B263" t="s">
        <v>559</v>
      </c>
      <c r="C263">
        <v>5.4965989383586562</v>
      </c>
      <c r="D263">
        <v>51.851628841452822</v>
      </c>
    </row>
    <row r="264" spans="1:4" x14ac:dyDescent="0.25">
      <c r="A264" t="s">
        <v>560</v>
      </c>
      <c r="B264" t="s">
        <v>562</v>
      </c>
      <c r="C264">
        <v>4.066254953283007</v>
      </c>
      <c r="D264">
        <v>51.321853865486162</v>
      </c>
    </row>
    <row r="265" spans="1:4" x14ac:dyDescent="0.25">
      <c r="A265" t="s">
        <v>563</v>
      </c>
      <c r="B265" t="s">
        <v>565</v>
      </c>
      <c r="C265">
        <v>3.9675735758589821</v>
      </c>
      <c r="D265">
        <v>51.484773871049747</v>
      </c>
    </row>
    <row r="266" spans="1:4" x14ac:dyDescent="0.25">
      <c r="A266" t="s">
        <v>566</v>
      </c>
      <c r="B266" t="s">
        <v>568</v>
      </c>
      <c r="C266">
        <v>3.6477182507015322</v>
      </c>
      <c r="D266">
        <v>51.501814073627799</v>
      </c>
    </row>
    <row r="267" spans="1:4" x14ac:dyDescent="0.25">
      <c r="A267" t="s">
        <v>569</v>
      </c>
      <c r="B267" t="s">
        <v>571</v>
      </c>
      <c r="C267">
        <v>4.1373567403344342</v>
      </c>
      <c r="D267">
        <v>51.437046835467363</v>
      </c>
    </row>
    <row r="268" spans="1:4" x14ac:dyDescent="0.25">
      <c r="A268" t="s">
        <v>572</v>
      </c>
      <c r="B268" t="s">
        <v>574</v>
      </c>
      <c r="C268">
        <v>3.8459086673050562</v>
      </c>
      <c r="D268">
        <v>51.287920291688721</v>
      </c>
    </row>
    <row r="269" spans="1:4" x14ac:dyDescent="0.25">
      <c r="A269" t="s">
        <v>575</v>
      </c>
      <c r="B269" t="s">
        <v>577</v>
      </c>
      <c r="C269">
        <v>4.1327025039812071</v>
      </c>
      <c r="D269">
        <v>51.572896698330958</v>
      </c>
    </row>
    <row r="270" spans="1:4" x14ac:dyDescent="0.25">
      <c r="A270" t="s">
        <v>578</v>
      </c>
      <c r="B270" t="s">
        <v>580</v>
      </c>
      <c r="C270">
        <v>3.5569326077238301</v>
      </c>
      <c r="D270">
        <v>51.537900542055439</v>
      </c>
    </row>
    <row r="271" spans="1:4" x14ac:dyDescent="0.25">
      <c r="A271" t="s">
        <v>581</v>
      </c>
      <c r="B271" t="s">
        <v>583</v>
      </c>
      <c r="C271">
        <v>3.6192341387202198</v>
      </c>
      <c r="D271">
        <v>51.460189034654022</v>
      </c>
    </row>
    <row r="272" spans="1:4" x14ac:dyDescent="0.25">
      <c r="A272" t="s">
        <v>584</v>
      </c>
      <c r="B272" t="s">
        <v>586</v>
      </c>
      <c r="C272">
        <v>4.9173277659453536</v>
      </c>
      <c r="D272">
        <v>52.226343816661341</v>
      </c>
    </row>
    <row r="273" spans="1:4" x14ac:dyDescent="0.25">
      <c r="A273" t="s">
        <v>587</v>
      </c>
      <c r="B273" t="s">
        <v>589</v>
      </c>
      <c r="C273">
        <v>5.9626654518534403</v>
      </c>
      <c r="D273">
        <v>53.19987241646421</v>
      </c>
    </row>
    <row r="274" spans="1:4" x14ac:dyDescent="0.25">
      <c r="A274" t="s">
        <v>590</v>
      </c>
      <c r="B274" t="s">
        <v>592</v>
      </c>
      <c r="C274">
        <v>5.7792060848719604</v>
      </c>
      <c r="D274">
        <v>51.38641544929407</v>
      </c>
    </row>
    <row r="275" spans="1:4" x14ac:dyDescent="0.25">
      <c r="A275" t="s">
        <v>593</v>
      </c>
      <c r="B275" t="s">
        <v>595</v>
      </c>
      <c r="C275">
        <v>4.8931508192482802</v>
      </c>
      <c r="D275">
        <v>51.439011721228717</v>
      </c>
    </row>
    <row r="276" spans="1:4" x14ac:dyDescent="0.25">
      <c r="A276" t="s">
        <v>596</v>
      </c>
      <c r="B276" t="s">
        <v>598</v>
      </c>
      <c r="C276">
        <v>4.2882923241878039</v>
      </c>
      <c r="D276">
        <v>51.503472314093727</v>
      </c>
    </row>
    <row r="277" spans="1:4" x14ac:dyDescent="0.25">
      <c r="A277" t="s">
        <v>599</v>
      </c>
      <c r="B277" t="s">
        <v>601</v>
      </c>
      <c r="C277">
        <v>5.3965254160609497</v>
      </c>
      <c r="D277">
        <v>51.514117892849953</v>
      </c>
    </row>
    <row r="278" spans="1:4" x14ac:dyDescent="0.25">
      <c r="A278" t="s">
        <v>602</v>
      </c>
      <c r="B278" t="s">
        <v>604</v>
      </c>
      <c r="C278">
        <v>5.6937246345979338</v>
      </c>
      <c r="D278">
        <v>51.606672879516438</v>
      </c>
    </row>
    <row r="279" spans="1:4" x14ac:dyDescent="0.25">
      <c r="A279" t="s">
        <v>605</v>
      </c>
      <c r="B279" t="s">
        <v>607</v>
      </c>
      <c r="C279">
        <v>5.3240318074520436</v>
      </c>
      <c r="D279">
        <v>51.58115717780268</v>
      </c>
    </row>
    <row r="280" spans="1:4" x14ac:dyDescent="0.25">
      <c r="A280" t="s">
        <v>608</v>
      </c>
      <c r="B280" t="s">
        <v>610</v>
      </c>
      <c r="C280">
        <v>4.7614299152730784</v>
      </c>
      <c r="D280">
        <v>51.585132462259139</v>
      </c>
    </row>
    <row r="281" spans="1:4" x14ac:dyDescent="0.25">
      <c r="A281" t="s">
        <v>611</v>
      </c>
      <c r="B281" t="s">
        <v>613</v>
      </c>
      <c r="C281">
        <v>5.8269315434024582</v>
      </c>
      <c r="D281">
        <v>51.436237936024469</v>
      </c>
    </row>
    <row r="282" spans="1:4" x14ac:dyDescent="0.25">
      <c r="A282" t="s">
        <v>614</v>
      </c>
      <c r="B282" t="s">
        <v>616</v>
      </c>
      <c r="C282">
        <v>6.9729691303563399</v>
      </c>
      <c r="D282">
        <v>53.070599705221028</v>
      </c>
    </row>
    <row r="283" spans="1:4" x14ac:dyDescent="0.25">
      <c r="A283" t="s">
        <v>617</v>
      </c>
      <c r="B283" t="s">
        <v>619</v>
      </c>
      <c r="C283">
        <v>4.9554455106592821</v>
      </c>
      <c r="D283">
        <v>51.635888491821831</v>
      </c>
    </row>
    <row r="284" spans="1:4" x14ac:dyDescent="0.25">
      <c r="A284" t="s">
        <v>620</v>
      </c>
      <c r="B284" t="s">
        <v>622</v>
      </c>
      <c r="C284">
        <v>5.3146151010804923</v>
      </c>
      <c r="D284">
        <v>51.396521652217317</v>
      </c>
    </row>
    <row r="285" spans="1:4" x14ac:dyDescent="0.25">
      <c r="A285" t="s">
        <v>623</v>
      </c>
      <c r="B285" t="s">
        <v>625</v>
      </c>
      <c r="C285">
        <v>5.4585280603084003</v>
      </c>
      <c r="D285">
        <v>51.450166084043907</v>
      </c>
    </row>
    <row r="286" spans="1:4" x14ac:dyDescent="0.25">
      <c r="A286" t="s">
        <v>626</v>
      </c>
      <c r="B286" t="s">
        <v>628</v>
      </c>
      <c r="C286">
        <v>4.6449592601141658</v>
      </c>
      <c r="D286">
        <v>51.578328011893319</v>
      </c>
    </row>
    <row r="287" spans="1:4" x14ac:dyDescent="0.25">
      <c r="A287" t="s">
        <v>629</v>
      </c>
      <c r="B287" t="s">
        <v>631</v>
      </c>
      <c r="C287">
        <v>4.8815809251352018</v>
      </c>
      <c r="D287">
        <v>51.697143711182576</v>
      </c>
    </row>
    <row r="288" spans="1:4" x14ac:dyDescent="0.25">
      <c r="A288" t="s">
        <v>632</v>
      </c>
      <c r="B288" t="s">
        <v>634</v>
      </c>
      <c r="C288">
        <v>4.9185822989604517</v>
      </c>
      <c r="D288">
        <v>51.559595744170203</v>
      </c>
    </row>
    <row r="289" spans="1:4" x14ac:dyDescent="0.25">
      <c r="A289" t="s">
        <v>635</v>
      </c>
      <c r="B289" t="s">
        <v>637</v>
      </c>
      <c r="C289">
        <v>5.0330711223933804</v>
      </c>
      <c r="D289">
        <v>51.512275740951623</v>
      </c>
    </row>
    <row r="290" spans="1:4" x14ac:dyDescent="0.25">
      <c r="A290" t="s">
        <v>638</v>
      </c>
      <c r="B290" t="s">
        <v>640</v>
      </c>
      <c r="C290">
        <v>5.6569625791034444</v>
      </c>
      <c r="D290">
        <v>51.476149617948543</v>
      </c>
    </row>
    <row r="291" spans="1:4" x14ac:dyDescent="0.25">
      <c r="A291" t="s">
        <v>641</v>
      </c>
      <c r="B291" t="s">
        <v>643</v>
      </c>
      <c r="C291">
        <v>5.3519393899751897</v>
      </c>
      <c r="D291">
        <v>51.716799024131568</v>
      </c>
    </row>
    <row r="292" spans="1:4" x14ac:dyDescent="0.25">
      <c r="A292" t="s">
        <v>644</v>
      </c>
      <c r="B292" t="s">
        <v>646</v>
      </c>
      <c r="C292">
        <v>5.1602010924458916</v>
      </c>
      <c r="D292">
        <v>51.696771083170518</v>
      </c>
    </row>
    <row r="293" spans="1:4" x14ac:dyDescent="0.25">
      <c r="A293" t="s">
        <v>647</v>
      </c>
      <c r="B293" t="s">
        <v>649</v>
      </c>
      <c r="C293">
        <v>5.1454553868470763</v>
      </c>
      <c r="D293">
        <v>51.479531338784277</v>
      </c>
    </row>
    <row r="294" spans="1:4" x14ac:dyDescent="0.25">
      <c r="A294" t="s">
        <v>650</v>
      </c>
      <c r="B294" t="s">
        <v>652</v>
      </c>
      <c r="C294">
        <v>5.0475399003613077</v>
      </c>
      <c r="D294">
        <v>51.640571924346567</v>
      </c>
    </row>
    <row r="295" spans="1:4" x14ac:dyDescent="0.25">
      <c r="A295" t="s">
        <v>653</v>
      </c>
      <c r="B295" t="s">
        <v>655</v>
      </c>
      <c r="C295">
        <v>5.5494609670530544</v>
      </c>
      <c r="D295">
        <v>51.478609489912998</v>
      </c>
    </row>
    <row r="296" spans="1:4" x14ac:dyDescent="0.25">
      <c r="A296" t="s">
        <v>656</v>
      </c>
      <c r="B296" t="s">
        <v>658</v>
      </c>
      <c r="C296">
        <v>5.2898015058919636</v>
      </c>
      <c r="D296">
        <v>51.492625037173838</v>
      </c>
    </row>
    <row r="297" spans="1:4" x14ac:dyDescent="0.25">
      <c r="A297" t="s">
        <v>659</v>
      </c>
      <c r="B297" t="s">
        <v>661</v>
      </c>
      <c r="C297">
        <v>5.2044958437850219</v>
      </c>
      <c r="D297">
        <v>51.562478859063567</v>
      </c>
    </row>
    <row r="298" spans="1:4" x14ac:dyDescent="0.25">
      <c r="A298" t="s">
        <v>662</v>
      </c>
      <c r="B298" t="s">
        <v>664</v>
      </c>
      <c r="C298">
        <v>4.8640620161255157</v>
      </c>
      <c r="D298">
        <v>51.637782896029023</v>
      </c>
    </row>
    <row r="299" spans="1:4" x14ac:dyDescent="0.25">
      <c r="A299" t="s">
        <v>665</v>
      </c>
      <c r="B299" t="s">
        <v>667</v>
      </c>
      <c r="C299">
        <v>5.5264050028839362</v>
      </c>
      <c r="D299">
        <v>51.781549373923077</v>
      </c>
    </row>
    <row r="300" spans="1:4" x14ac:dyDescent="0.25">
      <c r="A300" t="s">
        <v>668</v>
      </c>
      <c r="B300" t="s">
        <v>670</v>
      </c>
      <c r="C300">
        <v>4.5585728859437236</v>
      </c>
      <c r="D300">
        <v>51.522677945331402</v>
      </c>
    </row>
    <row r="301" spans="1:4" x14ac:dyDescent="0.25">
      <c r="A301" t="s">
        <v>671</v>
      </c>
      <c r="B301" t="s">
        <v>673</v>
      </c>
      <c r="C301">
        <v>5.3781415444002256</v>
      </c>
      <c r="D301">
        <v>51.657078309547842</v>
      </c>
    </row>
    <row r="302" spans="1:4" x14ac:dyDescent="0.25">
      <c r="A302" t="s">
        <v>674</v>
      </c>
      <c r="B302" t="s">
        <v>676</v>
      </c>
      <c r="C302">
        <v>5.6914037169417302</v>
      </c>
      <c r="D302">
        <v>51.378751748438859</v>
      </c>
    </row>
    <row r="303" spans="1:4" x14ac:dyDescent="0.25">
      <c r="A303" t="s">
        <v>677</v>
      </c>
      <c r="B303" t="s">
        <v>679</v>
      </c>
      <c r="C303">
        <v>5.4824621499858601</v>
      </c>
      <c r="D303">
        <v>51.516375127398227</v>
      </c>
    </row>
    <row r="304" spans="1:4" x14ac:dyDescent="0.25">
      <c r="A304" t="s">
        <v>680</v>
      </c>
      <c r="B304" t="s">
        <v>682</v>
      </c>
      <c r="C304">
        <v>4.3249237181226956</v>
      </c>
      <c r="D304">
        <v>51.597355922603818</v>
      </c>
    </row>
    <row r="305" spans="1:4" x14ac:dyDescent="0.25">
      <c r="A305" t="s">
        <v>683</v>
      </c>
      <c r="B305" t="s">
        <v>685</v>
      </c>
      <c r="C305">
        <v>5.0146088081337563</v>
      </c>
      <c r="D305">
        <v>52.45227571047019</v>
      </c>
    </row>
    <row r="306" spans="1:4" x14ac:dyDescent="0.25">
      <c r="A306" t="s">
        <v>686</v>
      </c>
      <c r="B306" t="s">
        <v>688</v>
      </c>
      <c r="C306">
        <v>5.0774045201644764</v>
      </c>
      <c r="D306">
        <v>51.583423000125393</v>
      </c>
    </row>
    <row r="307" spans="1:4" x14ac:dyDescent="0.25">
      <c r="A307" t="s">
        <v>689</v>
      </c>
      <c r="B307" t="s">
        <v>691</v>
      </c>
      <c r="C307">
        <v>5.4492473706850504</v>
      </c>
      <c r="D307">
        <v>51.323767180448371</v>
      </c>
    </row>
    <row r="308" spans="1:4" x14ac:dyDescent="0.25">
      <c r="A308" t="s">
        <v>692</v>
      </c>
      <c r="B308" t="s">
        <v>694</v>
      </c>
      <c r="C308">
        <v>5.3832101701122097</v>
      </c>
      <c r="D308">
        <v>51.411857774839213</v>
      </c>
    </row>
    <row r="309" spans="1:4" x14ac:dyDescent="0.25">
      <c r="A309" t="s">
        <v>695</v>
      </c>
      <c r="B309" t="s">
        <v>697</v>
      </c>
      <c r="C309">
        <v>5.2426069059661016</v>
      </c>
      <c r="D309">
        <v>51.65035919457808</v>
      </c>
    </row>
    <row r="310" spans="1:4" x14ac:dyDescent="0.25">
      <c r="A310" t="s">
        <v>698</v>
      </c>
      <c r="B310" t="s">
        <v>700</v>
      </c>
      <c r="C310">
        <v>5.4648704975364639</v>
      </c>
      <c r="D310">
        <v>51.387291238331279</v>
      </c>
    </row>
    <row r="311" spans="1:4" x14ac:dyDescent="0.25">
      <c r="A311" t="s">
        <v>701</v>
      </c>
      <c r="B311" t="s">
        <v>703</v>
      </c>
      <c r="C311">
        <v>5.0118203892786983</v>
      </c>
      <c r="D311">
        <v>51.692314188029421</v>
      </c>
    </row>
    <row r="312" spans="1:4" x14ac:dyDescent="0.25">
      <c r="A312" t="s">
        <v>704</v>
      </c>
      <c r="B312" t="s">
        <v>706</v>
      </c>
      <c r="C312">
        <v>4.3422564979817322</v>
      </c>
      <c r="D312">
        <v>51.408299913549577</v>
      </c>
    </row>
    <row r="313" spans="1:4" x14ac:dyDescent="0.25">
      <c r="A313" t="s">
        <v>707</v>
      </c>
      <c r="B313" t="s">
        <v>709</v>
      </c>
      <c r="C313">
        <v>4.6426594155151104</v>
      </c>
      <c r="D313">
        <v>51.479806521087703</v>
      </c>
    </row>
    <row r="314" spans="1:4" x14ac:dyDescent="0.25">
      <c r="A314" t="s">
        <v>710</v>
      </c>
      <c r="B314" t="s">
        <v>712</v>
      </c>
      <c r="C314">
        <v>4.8551241594976977</v>
      </c>
      <c r="D314">
        <v>52.502000256701947</v>
      </c>
    </row>
    <row r="315" spans="1:4" x14ac:dyDescent="0.25">
      <c r="A315" t="s">
        <v>713</v>
      </c>
      <c r="B315" t="s">
        <v>715</v>
      </c>
      <c r="C315">
        <v>6.0329899892006598</v>
      </c>
      <c r="D315">
        <v>50.906431347080471</v>
      </c>
    </row>
    <row r="316" spans="1:4" x14ac:dyDescent="0.25">
      <c r="A316" t="s">
        <v>716</v>
      </c>
      <c r="B316" t="s">
        <v>718</v>
      </c>
      <c r="C316">
        <v>5.8091365438443576</v>
      </c>
      <c r="D316">
        <v>50.930863909875413</v>
      </c>
    </row>
    <row r="317" spans="1:4" x14ac:dyDescent="0.25">
      <c r="A317" t="s">
        <v>719</v>
      </c>
      <c r="B317" t="s">
        <v>721</v>
      </c>
      <c r="C317">
        <v>6.0689631088048701</v>
      </c>
      <c r="D317">
        <v>51.269166370052311</v>
      </c>
    </row>
    <row r="318" spans="1:4" x14ac:dyDescent="0.25">
      <c r="A318" t="s">
        <v>722</v>
      </c>
      <c r="B318" t="s">
        <v>724</v>
      </c>
      <c r="C318">
        <v>6.0893039790532342</v>
      </c>
      <c r="D318">
        <v>51.59194214032533</v>
      </c>
    </row>
    <row r="319" spans="1:4" x14ac:dyDescent="0.25">
      <c r="A319" t="s">
        <v>725</v>
      </c>
      <c r="B319" t="s">
        <v>727</v>
      </c>
      <c r="C319">
        <v>5.9780011015271617</v>
      </c>
      <c r="D319">
        <v>50.942941410714241</v>
      </c>
    </row>
    <row r="320" spans="1:4" x14ac:dyDescent="0.25">
      <c r="A320" t="s">
        <v>728</v>
      </c>
      <c r="B320" t="s">
        <v>730</v>
      </c>
      <c r="C320">
        <v>5.9870983497005836</v>
      </c>
      <c r="D320">
        <v>51.699285632184747</v>
      </c>
    </row>
    <row r="321" spans="1:4" x14ac:dyDescent="0.25">
      <c r="A321" t="s">
        <v>731</v>
      </c>
      <c r="B321" t="s">
        <v>733</v>
      </c>
      <c r="C321">
        <v>5.9694135254849217</v>
      </c>
      <c r="D321">
        <v>50.89333561774653</v>
      </c>
    </row>
    <row r="322" spans="1:4" x14ac:dyDescent="0.25">
      <c r="A322" t="s">
        <v>734</v>
      </c>
      <c r="B322" t="s">
        <v>736</v>
      </c>
      <c r="C322">
        <v>6.0509792845862904</v>
      </c>
      <c r="D322">
        <v>50.871828662364678</v>
      </c>
    </row>
    <row r="323" spans="1:4" x14ac:dyDescent="0.25">
      <c r="A323" t="s">
        <v>737</v>
      </c>
      <c r="B323" t="s">
        <v>739</v>
      </c>
      <c r="C323">
        <v>5.6995317135193382</v>
      </c>
      <c r="D323">
        <v>50.852975121835499</v>
      </c>
    </row>
    <row r="324" spans="1:4" x14ac:dyDescent="0.25">
      <c r="A324" t="s">
        <v>740</v>
      </c>
      <c r="B324" t="s">
        <v>742</v>
      </c>
      <c r="C324">
        <v>5.7563198510317077</v>
      </c>
      <c r="D324">
        <v>50.901318280955017</v>
      </c>
    </row>
    <row r="325" spans="1:4" x14ac:dyDescent="0.25">
      <c r="A325" t="s">
        <v>743</v>
      </c>
      <c r="B325" t="s">
        <v>745</v>
      </c>
      <c r="C325">
        <v>5.8996587636494899</v>
      </c>
      <c r="D325">
        <v>51.747369729213993</v>
      </c>
    </row>
    <row r="326" spans="1:4" x14ac:dyDescent="0.25">
      <c r="A326" t="s">
        <v>746</v>
      </c>
      <c r="B326" t="s">
        <v>748</v>
      </c>
      <c r="C326">
        <v>5.7733156374875536</v>
      </c>
      <c r="D326">
        <v>51.294358331427269</v>
      </c>
    </row>
    <row r="327" spans="1:4" x14ac:dyDescent="0.25">
      <c r="A327" t="s">
        <v>749</v>
      </c>
      <c r="B327" t="s">
        <v>751</v>
      </c>
      <c r="C327">
        <v>6.0114932922656683</v>
      </c>
      <c r="D327">
        <v>51.201195702646302</v>
      </c>
    </row>
    <row r="328" spans="1:4" x14ac:dyDescent="0.25">
      <c r="A328" t="s">
        <v>752</v>
      </c>
      <c r="B328" t="s">
        <v>754</v>
      </c>
      <c r="C328">
        <v>5.9866386025524863</v>
      </c>
      <c r="D328">
        <v>50.828806423718163</v>
      </c>
    </row>
    <row r="329" spans="1:4" x14ac:dyDescent="0.25">
      <c r="A329" t="s">
        <v>755</v>
      </c>
      <c r="B329" t="s">
        <v>757</v>
      </c>
      <c r="C329">
        <v>5.7636693332514444</v>
      </c>
      <c r="D329">
        <v>50.969000509520392</v>
      </c>
    </row>
    <row r="330" spans="1:4" x14ac:dyDescent="0.25">
      <c r="A330" t="s">
        <v>758</v>
      </c>
      <c r="B330" t="s">
        <v>760</v>
      </c>
      <c r="C330">
        <v>5.9758453234747284</v>
      </c>
      <c r="D330">
        <v>50.774335218293167</v>
      </c>
    </row>
    <row r="331" spans="1:4" x14ac:dyDescent="0.25">
      <c r="A331" t="s">
        <v>761</v>
      </c>
      <c r="B331" t="s">
        <v>763</v>
      </c>
      <c r="C331">
        <v>6.1591518163893717</v>
      </c>
      <c r="D331">
        <v>51.39100792562752</v>
      </c>
    </row>
    <row r="332" spans="1:4" x14ac:dyDescent="0.25">
      <c r="A332" t="s">
        <v>764</v>
      </c>
      <c r="B332" t="s">
        <v>766</v>
      </c>
      <c r="C332">
        <v>5.9628998459942242</v>
      </c>
      <c r="D332">
        <v>51.515362794766013</v>
      </c>
    </row>
    <row r="333" spans="1:4" x14ac:dyDescent="0.25">
      <c r="A333" t="s">
        <v>767</v>
      </c>
      <c r="B333" t="s">
        <v>769</v>
      </c>
      <c r="C333">
        <v>5.9164925360277243</v>
      </c>
      <c r="D333">
        <v>50.869367237619393</v>
      </c>
    </row>
    <row r="334" spans="1:4" x14ac:dyDescent="0.25">
      <c r="A334" t="s">
        <v>770</v>
      </c>
      <c r="B334" t="s">
        <v>772</v>
      </c>
      <c r="C334">
        <v>5.6916951395696884</v>
      </c>
      <c r="D334">
        <v>51.233610221468759</v>
      </c>
    </row>
    <row r="335" spans="1:4" x14ac:dyDescent="0.25">
      <c r="A335" t="s">
        <v>773</v>
      </c>
      <c r="B335" t="s">
        <v>775</v>
      </c>
      <c r="C335">
        <v>5.8238659044848617</v>
      </c>
      <c r="D335">
        <v>50.860710776274018</v>
      </c>
    </row>
    <row r="336" spans="1:4" x14ac:dyDescent="0.25">
      <c r="A336" t="s">
        <v>776</v>
      </c>
      <c r="B336" t="s">
        <v>778</v>
      </c>
      <c r="C336">
        <v>5.4712653469164563</v>
      </c>
      <c r="D336">
        <v>52.478812648579918</v>
      </c>
    </row>
    <row r="337" spans="1:4" x14ac:dyDescent="0.25">
      <c r="A337" t="s">
        <v>779</v>
      </c>
      <c r="B337" t="s">
        <v>781</v>
      </c>
      <c r="C337">
        <v>6.041693787200888</v>
      </c>
      <c r="D337">
        <v>51.444866277456278</v>
      </c>
    </row>
    <row r="338" spans="1:4" x14ac:dyDescent="0.25">
      <c r="A338" t="s">
        <v>782</v>
      </c>
      <c r="B338" t="s">
        <v>784</v>
      </c>
      <c r="C338">
        <v>6.4095341665616621</v>
      </c>
      <c r="D338">
        <v>51.907839094121123</v>
      </c>
    </row>
    <row r="339" spans="1:4" x14ac:dyDescent="0.25">
      <c r="A339" t="s">
        <v>785</v>
      </c>
      <c r="B339" t="s">
        <v>787</v>
      </c>
      <c r="C339">
        <v>4.5118979976778419</v>
      </c>
      <c r="D339">
        <v>52.21400160735373</v>
      </c>
    </row>
    <row r="340" spans="1:4" x14ac:dyDescent="0.25">
      <c r="A340" t="s">
        <v>788</v>
      </c>
      <c r="B340" t="s">
        <v>790</v>
      </c>
      <c r="C340">
        <v>5.3882892522297396</v>
      </c>
      <c r="D340">
        <v>52.034706085068223</v>
      </c>
    </row>
    <row r="341" spans="1:4" x14ac:dyDescent="0.25">
      <c r="A341" t="s">
        <v>791</v>
      </c>
      <c r="B341" t="s">
        <v>793</v>
      </c>
      <c r="C341">
        <v>6.5757534008910179</v>
      </c>
      <c r="D341">
        <v>52.009833998777843</v>
      </c>
    </row>
    <row r="342" spans="1:4" x14ac:dyDescent="0.25">
      <c r="A342" t="s">
        <v>794</v>
      </c>
      <c r="B342" t="s">
        <v>796</v>
      </c>
      <c r="C342">
        <v>4.9481492790034496</v>
      </c>
      <c r="D342">
        <v>52.644692026559802</v>
      </c>
    </row>
    <row r="343" spans="1:4" x14ac:dyDescent="0.25">
      <c r="A343" t="s">
        <v>797</v>
      </c>
      <c r="B343" t="s">
        <v>799</v>
      </c>
      <c r="C343">
        <v>4.5061216444922803</v>
      </c>
      <c r="D343">
        <v>52.004014937720747</v>
      </c>
    </row>
    <row r="344" spans="1:4" x14ac:dyDescent="0.25">
      <c r="A344" t="s">
        <v>800</v>
      </c>
      <c r="B344" t="s">
        <v>802</v>
      </c>
      <c r="C344">
        <v>5.8848752185502562</v>
      </c>
      <c r="D344">
        <v>51.239454735653013</v>
      </c>
    </row>
    <row r="345" spans="1:4" x14ac:dyDescent="0.25">
      <c r="A345" t="s">
        <v>803</v>
      </c>
      <c r="B345" t="s">
        <v>805</v>
      </c>
      <c r="C345">
        <v>5.8824045748670279</v>
      </c>
      <c r="D345">
        <v>51.161582361070238</v>
      </c>
    </row>
    <row r="346" spans="1:4" x14ac:dyDescent="0.25">
      <c r="A346" t="s">
        <v>806</v>
      </c>
      <c r="B346" t="s">
        <v>808</v>
      </c>
      <c r="C346">
        <v>5.7542792991763578</v>
      </c>
      <c r="D346">
        <v>51.540754830962989</v>
      </c>
    </row>
    <row r="347" spans="1:4" x14ac:dyDescent="0.25">
      <c r="A347" t="s">
        <v>809</v>
      </c>
      <c r="B347" t="s">
        <v>811</v>
      </c>
      <c r="C347">
        <v>4.5231177669168536</v>
      </c>
      <c r="D347">
        <v>51.590536789700508</v>
      </c>
    </row>
    <row r="348" spans="1:4" x14ac:dyDescent="0.25">
      <c r="A348" t="s">
        <v>812</v>
      </c>
      <c r="B348" t="s">
        <v>814</v>
      </c>
      <c r="C348">
        <v>5.5672633551468236</v>
      </c>
      <c r="D348">
        <v>51.360874405584269</v>
      </c>
    </row>
    <row r="349" spans="1:4" x14ac:dyDescent="0.25">
      <c r="A349" t="s">
        <v>815</v>
      </c>
      <c r="B349" t="s">
        <v>817</v>
      </c>
      <c r="C349">
        <v>5.6117670896676843</v>
      </c>
      <c r="D349">
        <v>51.530923034803997</v>
      </c>
    </row>
    <row r="350" spans="1:4" x14ac:dyDescent="0.25">
      <c r="A350" t="s">
        <v>818</v>
      </c>
      <c r="B350" t="s">
        <v>820</v>
      </c>
      <c r="C350">
        <v>5.1477404324668097</v>
      </c>
      <c r="D350">
        <v>51.378273140416887</v>
      </c>
    </row>
    <row r="351" spans="1:4" x14ac:dyDescent="0.25">
      <c r="A351" t="s">
        <v>821</v>
      </c>
      <c r="B351" t="s">
        <v>823</v>
      </c>
      <c r="C351">
        <v>6.0411177905784479</v>
      </c>
      <c r="D351">
        <v>51.145687030794853</v>
      </c>
    </row>
    <row r="352" spans="1:4" x14ac:dyDescent="0.25">
      <c r="A352" t="s">
        <v>824</v>
      </c>
      <c r="B352" t="s">
        <v>826</v>
      </c>
      <c r="C352">
        <v>4.4245177852486099</v>
      </c>
      <c r="D352">
        <v>51.51319770301793</v>
      </c>
    </row>
    <row r="353" spans="1:4" x14ac:dyDescent="0.25">
      <c r="A353" t="s">
        <v>827</v>
      </c>
      <c r="B353" t="s">
        <v>829</v>
      </c>
      <c r="C353">
        <v>3.9010084166511372</v>
      </c>
      <c r="D353">
        <v>51.687226808677792</v>
      </c>
    </row>
    <row r="354" spans="1:4" x14ac:dyDescent="0.25">
      <c r="A354" t="s">
        <v>830</v>
      </c>
      <c r="B354" t="s">
        <v>832</v>
      </c>
      <c r="C354">
        <v>6.7273300051350677</v>
      </c>
      <c r="D354">
        <v>52.993024189764093</v>
      </c>
    </row>
    <row r="355" spans="1:4" x14ac:dyDescent="0.25">
      <c r="A355" t="s">
        <v>833</v>
      </c>
      <c r="B355" t="s">
        <v>835</v>
      </c>
      <c r="C355">
        <v>6.8719914604846224</v>
      </c>
      <c r="D355">
        <v>52.905895566094287</v>
      </c>
    </row>
    <row r="356" spans="1:4" x14ac:dyDescent="0.25">
      <c r="A356" t="s">
        <v>836</v>
      </c>
      <c r="B356" t="s">
        <v>838</v>
      </c>
      <c r="C356">
        <v>6.3734190207731176</v>
      </c>
      <c r="D356">
        <v>52.701694255133447</v>
      </c>
    </row>
    <row r="357" spans="1:4" x14ac:dyDescent="0.25">
      <c r="A357" t="s">
        <v>839</v>
      </c>
      <c r="B357" t="s">
        <v>841</v>
      </c>
      <c r="C357">
        <v>3.7720536993669329</v>
      </c>
      <c r="D357">
        <v>51.574072272989703</v>
      </c>
    </row>
    <row r="358" spans="1:4" x14ac:dyDescent="0.25">
      <c r="A358" t="s">
        <v>842</v>
      </c>
      <c r="B358" t="s">
        <v>844</v>
      </c>
      <c r="C358">
        <v>5.0848399426967976</v>
      </c>
      <c r="D358">
        <v>52.226195709843353</v>
      </c>
    </row>
    <row r="359" spans="1:4" x14ac:dyDescent="0.25">
      <c r="A359" t="s">
        <v>845</v>
      </c>
      <c r="B359" t="s">
        <v>847</v>
      </c>
      <c r="C359">
        <v>6.4403365324609023</v>
      </c>
      <c r="D359">
        <v>53.095683380425683</v>
      </c>
    </row>
    <row r="360" spans="1:4" x14ac:dyDescent="0.25">
      <c r="A360" t="s">
        <v>848</v>
      </c>
      <c r="B360" t="s">
        <v>850</v>
      </c>
      <c r="C360">
        <v>6.5980590848999556</v>
      </c>
      <c r="D360">
        <v>52.447886352396978</v>
      </c>
    </row>
    <row r="361" spans="1:4" x14ac:dyDescent="0.25">
      <c r="A361" t="s">
        <v>851</v>
      </c>
      <c r="B361" t="s">
        <v>853</v>
      </c>
      <c r="C361">
        <v>6.2955345115272436</v>
      </c>
      <c r="D361">
        <v>52.838203530186107</v>
      </c>
    </row>
    <row r="362" spans="1:4" x14ac:dyDescent="0.25">
      <c r="A362" t="s">
        <v>854</v>
      </c>
      <c r="B362" t="s">
        <v>856</v>
      </c>
      <c r="C362">
        <v>5.9422226732077981</v>
      </c>
      <c r="D362">
        <v>51.901536833635213</v>
      </c>
    </row>
    <row r="363" spans="1:4" x14ac:dyDescent="0.25">
      <c r="A363" t="s">
        <v>857</v>
      </c>
      <c r="B363" t="s">
        <v>859</v>
      </c>
      <c r="C363">
        <v>5.5961949008048659</v>
      </c>
      <c r="D363">
        <v>51.286293760705838</v>
      </c>
    </row>
    <row r="364" spans="1:4" x14ac:dyDescent="0.25">
      <c r="A364" t="s">
        <v>860</v>
      </c>
      <c r="B364" t="s">
        <v>862</v>
      </c>
      <c r="C364">
        <v>6.0299760319454636</v>
      </c>
      <c r="D364">
        <v>52.755578513494491</v>
      </c>
    </row>
    <row r="365" spans="1:4" x14ac:dyDescent="0.25">
      <c r="A365" t="s">
        <v>863</v>
      </c>
      <c r="B365" t="s">
        <v>865</v>
      </c>
      <c r="C365">
        <v>4.5419100053550423</v>
      </c>
      <c r="D365">
        <v>51.658815266209423</v>
      </c>
    </row>
    <row r="366" spans="1:4" x14ac:dyDescent="0.25">
      <c r="A366" t="s">
        <v>866</v>
      </c>
      <c r="B366" t="s">
        <v>868</v>
      </c>
      <c r="C366">
        <v>5.9082112284794581</v>
      </c>
      <c r="D366">
        <v>51.085040285311713</v>
      </c>
    </row>
    <row r="367" spans="1:4" x14ac:dyDescent="0.25">
      <c r="A367" t="s">
        <v>869</v>
      </c>
      <c r="B367" t="s">
        <v>871</v>
      </c>
      <c r="C367">
        <v>3.5153544173436382</v>
      </c>
      <c r="D367">
        <v>51.328602071549817</v>
      </c>
    </row>
    <row r="368" spans="1:4" x14ac:dyDescent="0.25">
      <c r="A368" t="s">
        <v>872</v>
      </c>
      <c r="B368" t="s">
        <v>874</v>
      </c>
      <c r="C368">
        <v>4.7587701474184838</v>
      </c>
      <c r="D368">
        <v>51.700162072936919</v>
      </c>
    </row>
    <row r="369" spans="1:4" x14ac:dyDescent="0.25">
      <c r="A369" t="s">
        <v>875</v>
      </c>
      <c r="B369" t="s">
        <v>877</v>
      </c>
      <c r="C369">
        <v>5.5206809323971617</v>
      </c>
      <c r="D369">
        <v>51.684694082219323</v>
      </c>
    </row>
    <row r="370" spans="1:4" x14ac:dyDescent="0.25">
      <c r="A370" t="s">
        <v>878</v>
      </c>
      <c r="B370" t="s">
        <v>880</v>
      </c>
      <c r="C370">
        <v>4.887324822900128</v>
      </c>
      <c r="D370">
        <v>51.501371975955323</v>
      </c>
    </row>
    <row r="371" spans="1:4" x14ac:dyDescent="0.25">
      <c r="A371" t="s">
        <v>881</v>
      </c>
      <c r="B371" t="s">
        <v>883</v>
      </c>
      <c r="C371">
        <v>5.340042150069424</v>
      </c>
      <c r="D371">
        <v>51.310149258082561</v>
      </c>
    </row>
    <row r="372" spans="1:4" x14ac:dyDescent="0.25">
      <c r="A372" t="s">
        <v>884</v>
      </c>
      <c r="B372" t="s">
        <v>886</v>
      </c>
      <c r="C372">
        <v>5.2387336197579204</v>
      </c>
      <c r="D372">
        <v>51.372307156311791</v>
      </c>
    </row>
    <row r="373" spans="1:4" x14ac:dyDescent="0.25">
      <c r="A373" t="s">
        <v>887</v>
      </c>
      <c r="B373" t="s">
        <v>889</v>
      </c>
      <c r="C373">
        <v>5.9001518761140384</v>
      </c>
      <c r="D373">
        <v>50.802349658774901</v>
      </c>
    </row>
    <row r="374" spans="1:4" x14ac:dyDescent="0.25">
      <c r="A374" t="s">
        <v>890</v>
      </c>
      <c r="B374" t="s">
        <v>892</v>
      </c>
      <c r="C374">
        <v>6.6043532622528938</v>
      </c>
      <c r="D374">
        <v>53.097110584383657</v>
      </c>
    </row>
    <row r="375" spans="1:4" x14ac:dyDescent="0.25">
      <c r="A375" t="s">
        <v>893</v>
      </c>
      <c r="B375" t="s">
        <v>895</v>
      </c>
      <c r="C375">
        <v>6.5426661797130157</v>
      </c>
      <c r="D375">
        <v>52.867405196244199</v>
      </c>
    </row>
    <row r="376" spans="1:4" x14ac:dyDescent="0.25">
      <c r="A376" t="s">
        <v>896</v>
      </c>
      <c r="B376" t="s">
        <v>898</v>
      </c>
      <c r="C376">
        <v>5.7783176890398682</v>
      </c>
      <c r="D376">
        <v>51.924301936930547</v>
      </c>
    </row>
    <row r="377" spans="1:4" x14ac:dyDescent="0.25">
      <c r="A377" t="s">
        <v>899</v>
      </c>
      <c r="B377" t="s">
        <v>901</v>
      </c>
      <c r="C377">
        <v>6.5899906824980823</v>
      </c>
      <c r="D377">
        <v>52.23643371697078</v>
      </c>
    </row>
    <row r="378" spans="1:4" x14ac:dyDescent="0.25">
      <c r="A378" t="s">
        <v>902</v>
      </c>
      <c r="B378" t="s">
        <v>904</v>
      </c>
      <c r="C378">
        <v>5.5868764758507616</v>
      </c>
      <c r="D378">
        <v>51.915869599417732</v>
      </c>
    </row>
    <row r="379" spans="1:4" x14ac:dyDescent="0.25">
      <c r="A379" t="s">
        <v>905</v>
      </c>
      <c r="B379" t="s">
        <v>907</v>
      </c>
      <c r="C379">
        <v>6.4339803952521963</v>
      </c>
      <c r="D379">
        <v>52.29142454521471</v>
      </c>
    </row>
    <row r="380" spans="1:4" x14ac:dyDescent="0.25">
      <c r="A380" t="s">
        <v>908</v>
      </c>
      <c r="B380" t="s">
        <v>910</v>
      </c>
      <c r="C380">
        <v>5.5875717315881417</v>
      </c>
      <c r="D380">
        <v>51.431273602211768</v>
      </c>
    </row>
    <row r="381" spans="1:4" x14ac:dyDescent="0.25">
      <c r="A381" t="s">
        <v>911</v>
      </c>
      <c r="B381" t="s">
        <v>913</v>
      </c>
      <c r="C381">
        <v>6.1533621239457021</v>
      </c>
      <c r="D381">
        <v>52.366810202862631</v>
      </c>
    </row>
    <row r="382" spans="1:4" x14ac:dyDescent="0.25">
      <c r="A382" t="s">
        <v>914</v>
      </c>
      <c r="B382" t="s">
        <v>916</v>
      </c>
      <c r="C382">
        <v>6.9142158659336603</v>
      </c>
      <c r="D382">
        <v>52.373026743364697</v>
      </c>
    </row>
    <row r="383" spans="1:4" x14ac:dyDescent="0.25">
      <c r="A383" t="s">
        <v>917</v>
      </c>
      <c r="B383" t="s">
        <v>919</v>
      </c>
      <c r="C383">
        <v>4.2165019907961208</v>
      </c>
      <c r="D383">
        <v>51.997962200583451</v>
      </c>
    </row>
    <row r="384" spans="1:4" x14ac:dyDescent="0.25">
      <c r="A384" t="s">
        <v>920</v>
      </c>
      <c r="B384" t="s">
        <v>922</v>
      </c>
      <c r="C384">
        <v>4.3061525360200212</v>
      </c>
      <c r="D384">
        <v>51.964759927876727</v>
      </c>
    </row>
    <row r="385" spans="1:4" x14ac:dyDescent="0.25">
      <c r="A385" t="s">
        <v>923</v>
      </c>
      <c r="B385" t="s">
        <v>925</v>
      </c>
      <c r="C385">
        <v>6.5707527978857119</v>
      </c>
      <c r="D385">
        <v>52.100927332862113</v>
      </c>
    </row>
    <row r="386" spans="1:4" x14ac:dyDescent="0.25">
      <c r="A386" t="s">
        <v>926</v>
      </c>
      <c r="B386" t="s">
        <v>928</v>
      </c>
      <c r="C386">
        <v>6.3029445180613841</v>
      </c>
      <c r="D386">
        <v>52.04524043262672</v>
      </c>
    </row>
    <row r="387" spans="1:4" x14ac:dyDescent="0.25">
      <c r="A387" t="s">
        <v>929</v>
      </c>
      <c r="B387" t="s">
        <v>931</v>
      </c>
      <c r="C387">
        <v>5.828193134616324</v>
      </c>
      <c r="D387">
        <v>51.004872005217898</v>
      </c>
    </row>
    <row r="388" spans="1:4" x14ac:dyDescent="0.25">
      <c r="A388" t="s">
        <v>932</v>
      </c>
      <c r="B388" t="s">
        <v>934</v>
      </c>
      <c r="C388">
        <v>4.6292119323889782</v>
      </c>
      <c r="D388">
        <v>52.192579837108447</v>
      </c>
    </row>
    <row r="389" spans="1:4" x14ac:dyDescent="0.25">
      <c r="A389" t="s">
        <v>935</v>
      </c>
      <c r="B389" t="s">
        <v>937</v>
      </c>
      <c r="C389">
        <v>5.9845275104355702</v>
      </c>
      <c r="D389">
        <v>53.280049330215739</v>
      </c>
    </row>
    <row r="390" spans="1:4" x14ac:dyDescent="0.25">
      <c r="A390" t="s">
        <v>938</v>
      </c>
      <c r="B390" t="s">
        <v>940</v>
      </c>
      <c r="C390">
        <v>4.6070583933833058</v>
      </c>
      <c r="D390">
        <v>51.998892082467052</v>
      </c>
    </row>
    <row r="391" spans="1:4" x14ac:dyDescent="0.25">
      <c r="A391" t="s">
        <v>941</v>
      </c>
      <c r="B391" t="s">
        <v>943</v>
      </c>
      <c r="C391">
        <v>5.9948464947639142</v>
      </c>
      <c r="D391">
        <v>51.336297465822909</v>
      </c>
    </row>
    <row r="392" spans="1:4" x14ac:dyDescent="0.25">
      <c r="A392" t="s">
        <v>944</v>
      </c>
      <c r="B392" t="s">
        <v>946</v>
      </c>
      <c r="C392">
        <v>7.0557153482048944</v>
      </c>
      <c r="D392">
        <v>53.195095748213241</v>
      </c>
    </row>
    <row r="393" spans="1:4" x14ac:dyDescent="0.25">
      <c r="A393" t="s">
        <v>947</v>
      </c>
      <c r="B393" t="s">
        <v>949</v>
      </c>
      <c r="C393">
        <v>6.0642802196165819</v>
      </c>
      <c r="D393">
        <v>52.602483083014427</v>
      </c>
    </row>
    <row r="394" spans="1:4" x14ac:dyDescent="0.25">
      <c r="A394" t="s">
        <v>950</v>
      </c>
      <c r="B394" t="s">
        <v>952</v>
      </c>
      <c r="C394">
        <v>5.5490655947648397</v>
      </c>
      <c r="D394">
        <v>53.024870154269827</v>
      </c>
    </row>
    <row r="395" spans="1:4" x14ac:dyDescent="0.25">
      <c r="A395" t="s">
        <v>953</v>
      </c>
      <c r="B395" t="s">
        <v>955</v>
      </c>
      <c r="C395">
        <v>4.7660969938689117</v>
      </c>
      <c r="D395">
        <v>52.065419368709883</v>
      </c>
    </row>
    <row r="396" spans="1:4" x14ac:dyDescent="0.25">
      <c r="A396" t="s">
        <v>956</v>
      </c>
      <c r="B396" t="s">
        <v>958</v>
      </c>
      <c r="C396">
        <v>5.7736981379484256</v>
      </c>
      <c r="D396">
        <v>50.801067407647643</v>
      </c>
    </row>
    <row r="397" spans="1:4" x14ac:dyDescent="0.25">
      <c r="A397" t="s">
        <v>959</v>
      </c>
      <c r="B397" t="s">
        <v>961</v>
      </c>
      <c r="C397">
        <v>5.012586967679364</v>
      </c>
      <c r="D397">
        <v>52.176969775346841</v>
      </c>
    </row>
    <row r="398" spans="1:4" x14ac:dyDescent="0.25">
      <c r="A398" t="s">
        <v>962</v>
      </c>
      <c r="B398" t="s">
        <v>964</v>
      </c>
      <c r="C398">
        <v>4.9492994176091543</v>
      </c>
      <c r="D398">
        <v>52.829735625423098</v>
      </c>
    </row>
    <row r="399" spans="1:4" x14ac:dyDescent="0.25">
      <c r="A399" t="s">
        <v>965</v>
      </c>
      <c r="B399" t="s">
        <v>967</v>
      </c>
      <c r="C399">
        <v>4.4223072085623771</v>
      </c>
      <c r="D399">
        <v>52.090328297209503</v>
      </c>
    </row>
    <row r="400" spans="1:4" x14ac:dyDescent="0.25">
      <c r="A400" t="s">
        <v>968</v>
      </c>
      <c r="B400" t="s">
        <v>970</v>
      </c>
      <c r="C400">
        <v>4.1234815614319196</v>
      </c>
      <c r="D400">
        <v>51.747456345729461</v>
      </c>
    </row>
    <row r="401" spans="1:4" x14ac:dyDescent="0.25">
      <c r="A401" t="s">
        <v>971</v>
      </c>
      <c r="B401" t="s">
        <v>973</v>
      </c>
      <c r="C401">
        <v>4.4219551342515073</v>
      </c>
      <c r="D401">
        <v>52.017537599760843</v>
      </c>
    </row>
    <row r="402" spans="1:4" x14ac:dyDescent="0.25">
      <c r="A402" t="s">
        <v>974</v>
      </c>
      <c r="B402" t="s">
        <v>976</v>
      </c>
      <c r="C402">
        <v>4.2850654544655242</v>
      </c>
      <c r="D402">
        <v>51.833341974396902</v>
      </c>
    </row>
    <row r="403" spans="1:4" x14ac:dyDescent="0.25">
      <c r="A403" t="s">
        <v>977</v>
      </c>
      <c r="B403" t="s">
        <v>979</v>
      </c>
      <c r="C403">
        <v>4.7372269392253781</v>
      </c>
      <c r="D403">
        <v>51.952393938301228</v>
      </c>
    </row>
    <row r="404" spans="1:4" x14ac:dyDescent="0.25">
      <c r="A404" t="s">
        <v>980</v>
      </c>
      <c r="B404" t="s">
        <v>982</v>
      </c>
      <c r="C404">
        <v>5.7235159191029483</v>
      </c>
      <c r="D404">
        <v>52.916510654080149</v>
      </c>
    </row>
    <row r="405" spans="1:4" x14ac:dyDescent="0.25">
      <c r="A405" t="s">
        <v>983</v>
      </c>
      <c r="B405" t="s">
        <v>985</v>
      </c>
      <c r="C405">
        <v>5.13447609137528</v>
      </c>
      <c r="D405">
        <v>52.301585265184919</v>
      </c>
    </row>
    <row r="406" spans="1:4" x14ac:dyDescent="0.25">
      <c r="A406" t="s">
        <v>986</v>
      </c>
      <c r="B406" t="s">
        <v>988</v>
      </c>
      <c r="C406">
        <v>5.949833996838084</v>
      </c>
      <c r="D406">
        <v>51.819971693741337</v>
      </c>
    </row>
    <row r="407" spans="1:4" x14ac:dyDescent="0.25">
      <c r="A407" t="s">
        <v>989</v>
      </c>
      <c r="B407" t="s">
        <v>991</v>
      </c>
      <c r="C407">
        <v>5.5063921876434438</v>
      </c>
      <c r="D407">
        <v>51.592234427252777</v>
      </c>
    </row>
    <row r="408" spans="1:4" x14ac:dyDescent="0.25">
      <c r="A408" t="s">
        <v>992</v>
      </c>
      <c r="B408" t="s">
        <v>994</v>
      </c>
      <c r="C408">
        <v>5.6130651535735723</v>
      </c>
      <c r="D408">
        <v>53.224241959270309</v>
      </c>
    </row>
    <row r="409" spans="1:4" x14ac:dyDescent="0.25">
      <c r="A409" t="s">
        <v>995</v>
      </c>
      <c r="B409" t="s">
        <v>997</v>
      </c>
      <c r="C409">
        <v>7.1202257808355762</v>
      </c>
      <c r="D409">
        <v>53.014144888287952</v>
      </c>
    </row>
    <row r="410" spans="1:4" x14ac:dyDescent="0.25">
      <c r="A410" t="s">
        <v>998</v>
      </c>
      <c r="B410" t="s">
        <v>1000</v>
      </c>
      <c r="C410">
        <v>6.8074535490594599</v>
      </c>
      <c r="D410">
        <v>53.195369149550253</v>
      </c>
    </row>
    <row r="411" spans="1:4" x14ac:dyDescent="0.25">
      <c r="A411" t="s">
        <v>1001</v>
      </c>
      <c r="B411" t="s">
        <v>1003</v>
      </c>
      <c r="C411">
        <v>5.8971707417490924</v>
      </c>
      <c r="D411">
        <v>50.936733347636519</v>
      </c>
    </row>
    <row r="412" spans="1:4" x14ac:dyDescent="0.25">
      <c r="A412" t="s">
        <v>1004</v>
      </c>
      <c r="B412" t="s">
        <v>1006</v>
      </c>
      <c r="C412">
        <v>6.2137321416126783</v>
      </c>
      <c r="D412">
        <v>51.916892537761044</v>
      </c>
    </row>
    <row r="413" spans="1:4" x14ac:dyDescent="0.25">
      <c r="A413" t="s">
        <v>1007</v>
      </c>
      <c r="B413" t="s">
        <v>1009</v>
      </c>
      <c r="C413">
        <v>4.9459183138073701</v>
      </c>
      <c r="D413">
        <v>51.765636587434336</v>
      </c>
    </row>
    <row r="414" spans="1:4" x14ac:dyDescent="0.25">
      <c r="A414" t="s">
        <v>1010</v>
      </c>
      <c r="B414" t="s">
        <v>1012</v>
      </c>
      <c r="C414">
        <v>5.20934710640379</v>
      </c>
      <c r="D414">
        <v>51.861584803421522</v>
      </c>
    </row>
    <row r="415" spans="1:4" x14ac:dyDescent="0.25">
      <c r="A415" t="s">
        <v>1013</v>
      </c>
      <c r="B415" t="s">
        <v>1015</v>
      </c>
      <c r="C415">
        <v>5.0567729024277259</v>
      </c>
      <c r="D415">
        <v>51.93599303528547</v>
      </c>
    </row>
    <row r="416" spans="1:4" x14ac:dyDescent="0.25">
      <c r="A416" t="s">
        <v>1016</v>
      </c>
      <c r="B416" t="s">
        <v>1018</v>
      </c>
      <c r="C416">
        <v>4.4557764374173292</v>
      </c>
      <c r="D416">
        <v>51.770646384223021</v>
      </c>
    </row>
    <row r="417" spans="1:4" x14ac:dyDescent="0.25">
      <c r="A417" t="s">
        <v>1019</v>
      </c>
      <c r="B417" t="s">
        <v>1021</v>
      </c>
      <c r="C417">
        <v>6.5319870723741742</v>
      </c>
      <c r="D417">
        <v>53.37868944212952</v>
      </c>
    </row>
    <row r="418" spans="1:4" x14ac:dyDescent="0.25">
      <c r="A418" t="s">
        <v>1022</v>
      </c>
      <c r="B418" t="s">
        <v>1024</v>
      </c>
      <c r="C418">
        <v>6.3381320057111621</v>
      </c>
      <c r="D418">
        <v>53.218554134326013</v>
      </c>
    </row>
    <row r="419" spans="1:4" x14ac:dyDescent="0.25">
      <c r="A419" t="s">
        <v>1025</v>
      </c>
      <c r="B419" t="s">
        <v>1027</v>
      </c>
      <c r="C419">
        <v>6.0185891548408321</v>
      </c>
      <c r="D419">
        <v>53.332838533957307</v>
      </c>
    </row>
    <row r="420" spans="1:4" x14ac:dyDescent="0.25">
      <c r="A420" t="s">
        <v>1028</v>
      </c>
      <c r="B420" t="s">
        <v>1030</v>
      </c>
      <c r="C420">
        <v>4.8452050852127124</v>
      </c>
      <c r="D420">
        <v>51.884652198721099</v>
      </c>
    </row>
    <row r="421" spans="1:4" x14ac:dyDescent="0.25">
      <c r="A421" t="s">
        <v>1031</v>
      </c>
      <c r="B421" t="s">
        <v>1033</v>
      </c>
      <c r="C421">
        <v>6.839878019673872</v>
      </c>
      <c r="D421">
        <v>53.328241454428657</v>
      </c>
    </row>
    <row r="422" spans="1:4" x14ac:dyDescent="0.25">
      <c r="A422" t="s">
        <v>1034</v>
      </c>
      <c r="B422" t="s">
        <v>1036</v>
      </c>
      <c r="C422">
        <v>4.8223453202770079</v>
      </c>
      <c r="D422">
        <v>52.682157546710769</v>
      </c>
    </row>
    <row r="423" spans="1:4" x14ac:dyDescent="0.25">
      <c r="A423" t="s">
        <v>1037</v>
      </c>
      <c r="B423" t="s">
        <v>1039</v>
      </c>
      <c r="C423">
        <v>5.8590247576829402</v>
      </c>
      <c r="D423">
        <v>51.65552663225624</v>
      </c>
    </row>
    <row r="424" spans="1:4" x14ac:dyDescent="0.25">
      <c r="A424" t="s">
        <v>1040</v>
      </c>
      <c r="B424" t="s">
        <v>1042</v>
      </c>
      <c r="C424">
        <v>5.655470140057238</v>
      </c>
      <c r="D424">
        <v>51.686795561977377</v>
      </c>
    </row>
    <row r="425" spans="1:4" x14ac:dyDescent="0.25">
      <c r="A425" t="s">
        <v>1043</v>
      </c>
      <c r="B425" t="s">
        <v>1045</v>
      </c>
      <c r="C425">
        <v>4.1321447381741612</v>
      </c>
      <c r="D425">
        <v>51.876358771352862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municipalities</vt:lpstr>
      <vt:lpstr>municipality_pv_potential</vt:lpstr>
      <vt:lpstr>municipality_wind_potential</vt:lpstr>
      <vt:lpstr>municipalities per province</vt:lpstr>
      <vt:lpstr>Gebieden_in_Nederland_2023_2403</vt:lpstr>
      <vt:lpstr>coordinates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2024-08-12T13:06:45Z</dcterms:created>
  <dc:creator>LOOMANS Naud</dc:creator>
  <cp:lastModifiedBy>Loomans, Naud</cp:lastModifiedBy>
  <dcterms:modified xsi:type="dcterms:W3CDTF">2025-03-25T12:54:25Z</dcterms:modified>
</cp:coreProperties>
</file>