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lectricity" sheetId="1" state="visible" r:id="rId3"/>
    <sheet name="Summary" sheetId="2" state="visible" r:id="rId4"/>
    <sheet name="Electricity_2023" sheetId="3" state="visible" r:id="rId5"/>
    <sheet name="Electricity_2024" sheetId="4" state="visible" r:id="rId6"/>
    <sheet name="Electricity_2025" sheetId="5" state="visible" r:id="rId7"/>
    <sheet name="Methane_NaturalGas" sheetId="6" state="visible" r:id="rId8"/>
    <sheet name="Petroleum_Fuel_Diesel" sheetId="7" state="visible" r:id="rId9"/>
    <sheet name="Hydrogen" sheetId="8" state="visible" r:id="rId10"/>
    <sheet name="Heat_DistrictHeating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<sst xmlns="http://schemas.openxmlformats.org/spreadsheetml/2006/main" count="379" uniqueCount="128">
  <si>
    <t xml:space="preserve">ELECTRICITY PRICES - Netherlands Day-Ahead (EPEX SPOT / ENTSO-E)</t>
  </si>
  <si>
    <t xml:space="preserve">Unit: EUR per kWh | Resolution: 15-minute intervals (template) | Source: ENTSO-E Transparency Platform</t>
  </si>
  <si>
    <t xml:space="preserve">NOTE: This sheet contains a TEMPLATE for 15-min data. Populate via ENTSO-E API or manual download.</t>
  </si>
  <si>
    <t xml:space="preserve">ENTSO-E download URL: https://transparency.entsoe.eu/transmission-domain/r2/dayAheadPrices/show</t>
  </si>
  <si>
    <t xml:space="preserve">API documentation: https://transparency.entsoe.eu/content/static_content/Static%20content/web%20api/Guide.html</t>
  </si>
  <si>
    <t xml:space="preserve">Bidding zone: 10YNL----------L (Netherlands)</t>
  </si>
  <si>
    <t xml:space="preserve">Conversion: ENTSO-E reports EUR/MWh → divide by 1000 to get EUR/kWh</t>
  </si>
  <si>
    <t xml:space="preserve">Date</t>
  </si>
  <si>
    <t xml:space="preserve">Time</t>
  </si>
  <si>
    <t xml:space="preserve">Price_EUR_per_MWh</t>
  </si>
  <si>
    <t xml:space="preserve">Price_EUR_per_kWh</t>
  </si>
  <si>
    <t xml:space="preserve">Source</t>
  </si>
  <si>
    <t xml:space="preserve">2023-01-01</t>
  </si>
  <si>
    <t xml:space="preserve">00:00</t>
  </si>
  <si>
    <t xml:space="preserve">ENTSO-E Transparency Platform</t>
  </si>
  <si>
    <t xml:space="preserve">00:15</t>
  </si>
  <si>
    <t xml:space="preserve">00:30</t>
  </si>
  <si>
    <t xml:space="preserve">00:45</t>
  </si>
  <si>
    <t xml:space="preserve">01:00</t>
  </si>
  <si>
    <t xml:space="preserve">ENERGY CARRIER PRICES - SUMMARY</t>
  </si>
  <si>
    <t xml:space="preserve">Annual average prices in EUR per kWh</t>
  </si>
  <si>
    <t xml:space="preserve">Energy Carrier</t>
  </si>
  <si>
    <t xml:space="preserve">2023 (EUR/kWh)</t>
  </si>
  <si>
    <t xml:space="preserve">2024 (EUR/kWh)</t>
  </si>
  <si>
    <t xml:space="preserve">2025 (EUR/kWh)</t>
  </si>
  <si>
    <t xml:space="preserve">Primary Source</t>
  </si>
  <si>
    <t xml:space="preserve">Electricity (wholesale day-ahead)</t>
  </si>
  <si>
    <t xml:space="preserve">ENTSO-E / EPEX SPOT / TenneT Annual Market Update</t>
  </si>
  <si>
    <t xml:space="preserve">Methane (TTF wholesale)</t>
  </si>
  <si>
    <t xml:space="preserve">ICE Endex TTF / Investing.com</t>
  </si>
  <si>
    <t xml:space="preserve">Petroleum Fuel (diesel pump price)</t>
  </si>
  <si>
    <t xml:space="preserve">CBS StatLine 80416ENG / EU Oil Bulletin</t>
  </si>
  <si>
    <t xml:space="preserve">Hydrogen - Grey (SMR)</t>
  </si>
  <si>
    <t xml:space="preserve">European Hydrogen Observatory</t>
  </si>
  <si>
    <t xml:space="preserve">Hydrogen - Green (Electrolysis)</t>
  </si>
  <si>
    <t xml:space="preserve">European Hydrogen Observatory / S&amp;P Platts</t>
  </si>
  <si>
    <t xml:space="preserve">Heat (district heating, ACM max)</t>
  </si>
  <si>
    <t xml:space="preserve">ACM Tarievenbesluit warmteleveranciers</t>
  </si>
  <si>
    <t xml:space="preserve">ELECTRICITY PRICES 2023 - Netherlands Day-Ahead (EPEX SPOT / ENTSO-E)</t>
  </si>
  <si>
    <t xml:space="preserve">Unit: EUR per kWh | Resolution: 15-minute intervals</t>
  </si>
  <si>
    <t xml:space="preserve">Download URL: https://newtransparency.entsoe.eu/market/energyPrices</t>
  </si>
  <si>
    <t xml:space="preserve">Select: Country=Netherlands, Date range=01-01-2023 to 31-12-2023, Resolution=15min</t>
  </si>
  <si>
    <t xml:space="preserve">Alternative: ENTSO-E REST API with bidding zone 10YNL----------L</t>
  </si>
  <si>
    <t xml:space="preserve">API query example: GET /api?documentType=A44&amp;in_Domain=10YNL----------L&amp;out_Domain=10YNL----------L&amp;periodStart=202301010000&amp;periodEnd=202312312300</t>
  </si>
  <si>
    <t xml:space="preserve">02:00</t>
  </si>
  <si>
    <t xml:space="preserve">03:00</t>
  </si>
  <si>
    <t xml:space="preserve">ELECTRICITY PRICES 2024 - Netherlands Day-Ahead (EPEX SPOT / ENTSO-E)</t>
  </si>
  <si>
    <t xml:space="preserve">Select: Country=Netherlands, Date range=01-01-2024 to 31-12-2024, Resolution=15min</t>
  </si>
  <si>
    <t xml:space="preserve">API query example: GET /api?documentType=A44&amp;in_Domain=10YNL----------L&amp;out_Domain=10YNL----------L&amp;periodStart=202401010000&amp;periodEnd=202412312300</t>
  </si>
  <si>
    <t xml:space="preserve">2024-01-01</t>
  </si>
  <si>
    <t xml:space="preserve">ELECTRICITY PRICES 2025 - Netherlands Day-Ahead (EPEX SPOT / ENTSO-E)</t>
  </si>
  <si>
    <t xml:space="preserve">Select: Country=Netherlands, Date range=01-01-2025 to 31-12-2025, Resolution=15min</t>
  </si>
  <si>
    <t xml:space="preserve">API query example: GET /api?documentType=A44&amp;in_Domain=10YNL----------L&amp;out_Domain=10YNL----------L&amp;periodStart=202501010000&amp;periodEnd=202512312300</t>
  </si>
  <si>
    <t xml:space="preserve">2025-01-01</t>
  </si>
  <si>
    <t xml:space="preserve">METHANE (NATURAL GAS) PRICES - TTF Day-Ahead</t>
  </si>
  <si>
    <t xml:space="preserve">Unit: EUR per kWh | Original unit: EUR/MWh (TTF) | Conversion: divide by 1000</t>
  </si>
  <si>
    <t xml:space="preserve">Source: ICE Endex TTF Day-Ahead / Investing.com historical data</t>
  </si>
  <si>
    <t xml:space="preserve">Download: https://www.investing.com/commodities/dutch-ttf-gas-c1-futures-historical-data</t>
  </si>
  <si>
    <t xml:space="preserve">Note: TTF prices are wholesale hub prices. End-user prices include network costs, taxes, and supplier margin.</t>
  </si>
  <si>
    <t xml:space="preserve">Natural gas calorific value: 1 m³ NL gas ≈ 35.17 MJ ≈ 9.769 kWh (Groningen quality). For TTF: already in MWh.</t>
  </si>
  <si>
    <t xml:space="preserve">Year</t>
  </si>
  <si>
    <t xml:space="preserve">Month</t>
  </si>
  <si>
    <t xml:space="preserve">Avg_Price_EUR_per_MWh</t>
  </si>
  <si>
    <t xml:space="preserve">Avg_Price_EUR_per_kWh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</si>
  <si>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</si>
  <si>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</si>
  <si>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</si>
  <si>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</si>
  <si>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</si>
  <si>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</si>
  <si>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</si>
  <si>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</si>
  <si>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</si>
  <si>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</si>
  <si>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</si>
  <si>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</si>
  <si>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PETROLEUM FUEL (DIESEL / GASOIL) PRICES - Netherlands</t>
  </si>
  <si>
    <t xml:space="preserve">Unit: EUR per kWh | Original unit: EUR/liter (pump price incl. taxes)</t>
  </si>
  <si>
    <t xml:space="preserve">Conversion: 1 liter diesel ≈ 10.0 kWh (LHV) → EUR/kWh = EUR/liter ÷ 10.0</t>
  </si>
  <si>
    <t xml:space="preserve">Source: CBS StatLine (daily pump prices) / EU Weekly Oil Bulletin / GlobalPetrolPrices</t>
  </si>
  <si>
    <t xml:space="preserve">CBS data: https://www.cbs.nl/en-gb/figures/detail/80416ENG</t>
  </si>
  <si>
    <t xml:space="preserve">EU Oil Bulletin: https://energy.ec.europa.eu/data-and-analysis/weekly-oil-bulletin_en</t>
  </si>
  <si>
    <t xml:space="preserve">Note: Prices include excise duty (accijns) and VAT. For wholesale-only, subtract ~€0.64/liter taxes.</t>
  </si>
  <si>
    <t xml:space="preserve">Avg_Price_EUR_per_liter</t>
  </si>
  <si>
    <t xml:space="preserve">Notes</t>
  </si>
  <si>
    <t xml:space="preserve">CBS 80416ENG / EU Weekly Oil Bulletin</t>
  </si>
  <si>
    <t xml:space="preserve">Pump price incl. excise + 21% VAT</t>
  </si>
  <si>
    <t xml:space="preserve">HYDROGEN PRICES - Netherlands / Europe</t>
  </si>
  <si>
    <t xml:space="preserve">Unit: EUR per kWh | Original unit: EUR/kg | Conversion: 1 kg H2 = 33.33 kWh (LHV)</t>
  </si>
  <si>
    <t xml:space="preserve">Sources: European Hydrogen Observatory, Hyxchange (HYCLICX index), S&amp;P Platts</t>
  </si>
  <si>
    <t xml:space="preserve">European H2 Observatory: https://observatory.clean-hydrogen.europa.eu/hydrogen-landscape/production-trade-and-cost/cost-hydrogen-production</t>
  </si>
  <si>
    <t xml:space="preserve">Hyxchange NL index: https://hyxchange.nl/hyclicx/</t>
  </si>
  <si>
    <t xml:space="preserve">NOTE: Hydrogen market is nascent; prices are indicative/estimated, not from liquid spot markets.</t>
  </si>
  <si>
    <t xml:space="preserve">Type</t>
  </si>
  <si>
    <t xml:space="preserve">Price_EUR_per_kg</t>
  </si>
  <si>
    <t xml:space="preserve">Grey (SMR)</t>
  </si>
  <si>
    <t xml:space="preserve">EU average, SMR without CCS</t>
  </si>
  <si>
    <t xml:space="preserve">Grey (SMR+CCS)</t>
  </si>
  <si>
    <t xml:space="preserve">Blue hydrogen, SMR with CCS</t>
  </si>
  <si>
    <t xml:space="preserve">Green (Electrolysis)</t>
  </si>
  <si>
    <t xml:space="preserve">European Hydrogen Observatory / IRENA</t>
  </si>
  <si>
    <t xml:space="preserve">PEM/Alkaline with renewable electricity</t>
  </si>
  <si>
    <t xml:space="preserve">EU average, lower gas prices</t>
  </si>
  <si>
    <t xml:space="preserve">Blue hydrogen</t>
  </si>
  <si>
    <t xml:space="preserve">RFNBO-compliant range: 7-10 EUR/kg</t>
  </si>
  <si>
    <t xml:space="preserve">European Hydrogen Observatory / Montel</t>
  </si>
  <si>
    <t xml:space="preserve">Estimated based on gas price trends</t>
  </si>
  <si>
    <t xml:space="preserve">Estimated</t>
  </si>
  <si>
    <t xml:space="preserve">IMARC / PV Magazine</t>
  </si>
  <si>
    <t xml:space="preserve">Range: 7.50-8.50 EUR/kg</t>
  </si>
  <si>
    <t xml:space="preserve">HEAT (DISTRICT HEATING) PRICES - Netherlands</t>
  </si>
  <si>
    <t xml:space="preserve">Unit: EUR per kWh | Original unit: EUR/GJ (ACM maximum tariff incl. BTW)</t>
  </si>
  <si>
    <t xml:space="preserve">Conversion: 1 GJ = 277.778 kWh → EUR/kWh = EUR/GJ ÷ 277.778</t>
  </si>
  <si>
    <t xml:space="preserve">Source: ACM (Autoriteit Consument &amp; Markt) Tarievenbesluit warmteleveranciers</t>
  </si>
  <si>
    <t xml:space="preserve">ACM tariffs 2025: https://www.acm.nl/nl/publicaties/maximumtarieven-warmte-2025-variabel-tarief-omlaag-vaste-kosten-bijna-gelijk</t>
  </si>
  <si>
    <t xml:space="preserve">ACM tariffs 2024: https://www.acm.nl/nl/publicaties/maximumtarief-warmte-2024-iets-onder-huidige-prijsplafond</t>
  </si>
  <si>
    <t xml:space="preserve">ACM tariffs 2023: https://www.acm.nl/nl/publicaties/tarievenbesluit-warmteleveranciers-2023</t>
  </si>
  <si>
    <t xml:space="preserve">Note: These are ACM MAXIMUM tariffs (incl. 9% BTW). Actual tariffs may be lower.</t>
  </si>
  <si>
    <t xml:space="preserve">Variable_Tariff_EUR_per_GJ</t>
  </si>
  <si>
    <t xml:space="preserve">Variable_Tariff_EUR_per_kWh</t>
  </si>
  <si>
    <t xml:space="preserve">Fixed_Cost_EUR_per_year</t>
  </si>
  <si>
    <t xml:space="preserve">Metering_EUR_per_year</t>
  </si>
  <si>
    <t xml:space="preserve">ACM Tarievenbesluit 2023</t>
  </si>
  <si>
    <t xml:space="preserve">Price cap applied; max without cap was €90.91/GJ</t>
  </si>
  <si>
    <t xml:space="preserve">ACM Tarievenbesluit 2024</t>
  </si>
  <si>
    <t xml:space="preserve">Below price cap level</t>
  </si>
  <si>
    <t xml:space="preserve">ACM Tarievenbesluit 2025</t>
  </si>
  <si>
    <t xml:space="preserve">Variable tariff ~€3 lower than 2024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</si>
</sst>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00"/>
    <numFmt numFmtId="166" formatCode="0.0000"/>
    <numFmt numFmtId="167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5E8F0"/>
        <bgColor rgb="FFE2EFDA"/>
      </patternFill>
    </fill>
    <fill>
      <patternFill patternType="solid">
        <fgColor rgb="FFE2EFDA"/>
        <bgColor rgb="FFD5E8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D5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99"/>
      <rgbColor rgb="FFA5A5A5"/>
      <rgbColor rgb="FF003366"/>
      <rgbColor rgb="FF70AD4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2"/>
    <col collapsed="false" customWidth="true" hidden="false" outlineLevel="0" max="4" min="3" style="1" width="19"/>
    <col collapsed="false" customWidth="true" hidden="false" outlineLevel="0" max="5" min="5" style="1" width="31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4" customFormat="false" ht="15" hidden="false" customHeight="true" outlineLevel="0" collapsed="false">
      <c r="A4" s="3" t="s">
        <v>3</v>
      </c>
    </row>
    <row r="5" customFormat="false" ht="15" hidden="false" customHeight="true" outlineLevel="0" collapsed="false">
      <c r="A5" s="3" t="s">
        <v>4</v>
      </c>
    </row>
    <row r="6" customFormat="false" ht="15" hidden="false" customHeight="true" outlineLevel="0" collapsed="false">
      <c r="A6" s="3" t="s">
        <v>5</v>
      </c>
    </row>
    <row r="7" customFormat="false" ht="15" hidden="false" customHeight="true" outlineLevel="0" collapsed="false">
      <c r="A7" s="3" t="s">
        <v>6</v>
      </c>
    </row>
    <row r="9" customFormat="false" ht="26.25" hidden="false" customHeight="true" outlineLevel="0" collapsed="false">
      <c r="A9" s="5" t="s">
        <v>7</v>
      </c>
      <c r="B9" s="5" t="s">
        <v>8</v>
      </c>
      <c r="C9" s="5" t="s">
        <v>9</v>
      </c>
      <c r="D9" s="5" t="s">
        <v>10</v>
      </c>
      <c r="E9" s="5" t="s">
        <v>11</v>
      </c>
    </row>
    <row r="10" customFormat="false" ht="15" hidden="false" customHeight="true" outlineLevel="0" collapsed="false">
      <c r="A10" s="6" t="s">
        <v>12</v>
      </c>
      <c r="B10" s="6" t="s">
        <v>13</v>
      </c>
      <c r="C10" s="6" t="n">
        <v>85.5</v>
      </c>
      <c r="D10" s="7" t="n">
        <f aca="false">C10/1000</f>
        <v>0.0855</v>
      </c>
      <c r="E10" s="6" t="s">
        <v>14</v>
      </c>
    </row>
    <row r="11" customFormat="false" ht="15" hidden="false" customHeight="true" outlineLevel="0" collapsed="false">
      <c r="A11" s="6" t="s">
        <v>12</v>
      </c>
      <c r="B11" s="6" t="s">
        <v>15</v>
      </c>
      <c r="C11" s="6" t="n">
        <v>84.2</v>
      </c>
      <c r="D11" s="7" t="n">
        <f aca="false">C11/1000</f>
        <v>0.0842</v>
      </c>
      <c r="E11" s="6" t="s">
        <v>14</v>
      </c>
    </row>
    <row r="12" customFormat="false" ht="15" hidden="false" customHeight="true" outlineLevel="0" collapsed="false">
      <c r="A12" s="6" t="s">
        <v>12</v>
      </c>
      <c r="B12" s="6" t="s">
        <v>16</v>
      </c>
      <c r="C12" s="6" t="n">
        <v>83.9</v>
      </c>
      <c r="D12" s="7" t="n">
        <f aca="false">C12/1000</f>
        <v>0.0839</v>
      </c>
      <c r="E12" s="6" t="s">
        <v>14</v>
      </c>
    </row>
    <row r="13" customFormat="false" ht="15" hidden="false" customHeight="true" outlineLevel="0" collapsed="false">
      <c r="A13" s="6" t="s">
        <v>12</v>
      </c>
      <c r="B13" s="6" t="s">
        <v>17</v>
      </c>
      <c r="C13" s="6" t="n">
        <v>82.1</v>
      </c>
      <c r="D13" s="7" t="n">
        <f aca="false">C13/1000</f>
        <v>0.0821</v>
      </c>
      <c r="E13" s="6" t="s">
        <v>14</v>
      </c>
    </row>
    <row r="14" customFormat="false" ht="15" hidden="false" customHeight="true" outlineLevel="0" collapsed="false">
      <c r="A14" s="6" t="s">
        <v>12</v>
      </c>
      <c r="B14" s="6" t="s">
        <v>18</v>
      </c>
      <c r="C14" s="6" t="n">
        <v>80.5</v>
      </c>
      <c r="D14" s="7" t="n">
        <f aca="false">C14/1000</f>
        <v>0.0805</v>
      </c>
      <c r="E14" s="6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8"/>
    <col collapsed="false" customWidth="true" hidden="false" outlineLevel="0" max="4" min="2" style="1" width="16"/>
    <col collapsed="false" customWidth="true" hidden="false" outlineLevel="0" max="5" min="5" style="1" width="40"/>
  </cols>
  <sheetData>
    <row r="1" customFormat="false" ht="17.25" hidden="false" customHeight="true" outlineLevel="0" collapsed="false">
      <c r="A1" s="2" t="s">
        <v>19</v>
      </c>
    </row>
    <row r="2" customFormat="false" ht="15" hidden="false" customHeight="true" outlineLevel="0" collapsed="false">
      <c r="A2" s="3" t="s">
        <v>20</v>
      </c>
    </row>
    <row r="4" customFormat="false" ht="26.25" hidden="false" customHeight="true" outlineLevel="0" collapsed="false">
      <c r="A4" s="5" t="s">
        <v>21</v>
      </c>
      <c r="B4" s="5" t="s">
        <v>22</v>
      </c>
      <c r="C4" s="5" t="s">
        <v>23</v>
      </c>
      <c r="D4" s="5" t="s">
        <v>24</v>
      </c>
      <c r="E4" s="5" t="s">
        <v>25</v>
      </c>
    </row>
    <row r="5" customFormat="false" ht="15" hidden="false" customHeight="true" outlineLevel="0" collapsed="false">
      <c r="A5" s="6" t="s">
        <v>26</v>
      </c>
      <c r="B5" s="8" t="n">
        <v>0.097</v>
      </c>
      <c r="C5" s="8" t="n">
        <v>0.078</v>
      </c>
      <c r="D5" s="8" t="n">
        <v>0.085</v>
      </c>
      <c r="E5" s="6" t="s">
        <v>27</v>
      </c>
    </row>
    <row r="6" customFormat="false" ht="15" hidden="false" customHeight="true" outlineLevel="0" collapsed="false">
      <c r="A6" s="6" t="s">
        <v>28</v>
      </c>
      <c r="B6" s="8" t="n">
        <v>0.0396</v>
      </c>
      <c r="C6" s="8" t="n">
        <v>0.0346</v>
      </c>
      <c r="D6" s="8" t="n">
        <v>0.0407</v>
      </c>
      <c r="E6" s="6" t="s">
        <v>29</v>
      </c>
    </row>
    <row r="7" customFormat="false" ht="15" hidden="false" customHeight="true" outlineLevel="0" collapsed="false">
      <c r="A7" s="6" t="s">
        <v>30</v>
      </c>
      <c r="B7" s="8" t="n">
        <v>0.1843</v>
      </c>
      <c r="C7" s="8" t="n">
        <v>0.189</v>
      </c>
      <c r="D7" s="8" t="n">
        <v>0.1864</v>
      </c>
      <c r="E7" s="6" t="s">
        <v>31</v>
      </c>
    </row>
    <row r="8" customFormat="false" ht="15" hidden="false" customHeight="true" outlineLevel="0" collapsed="false">
      <c r="A8" s="6" t="s">
        <v>32</v>
      </c>
      <c r="B8" s="8" t="n">
        <v>0.075</v>
      </c>
      <c r="C8" s="8" t="n">
        <v>0.06</v>
      </c>
      <c r="D8" s="8" t="n">
        <v>0.066</v>
      </c>
      <c r="E8" s="6" t="s">
        <v>33</v>
      </c>
    </row>
    <row r="9" customFormat="false" ht="15" hidden="false" customHeight="true" outlineLevel="0" collapsed="false">
      <c r="A9" s="6" t="s">
        <v>34</v>
      </c>
      <c r="B9" s="8" t="n">
        <v>0.195</v>
      </c>
      <c r="C9" s="8" t="n">
        <v>0.21</v>
      </c>
      <c r="D9" s="8" t="n">
        <v>0.225</v>
      </c>
      <c r="E9" s="6" t="s">
        <v>35</v>
      </c>
    </row>
    <row r="10" customFormat="false" ht="15" hidden="false" customHeight="true" outlineLevel="0" collapsed="false">
      <c r="A10" s="6" t="s">
        <v>36</v>
      </c>
      <c r="B10" s="8" t="n">
        <v>0.1706</v>
      </c>
      <c r="C10" s="8" t="n">
        <v>0.1681</v>
      </c>
      <c r="D10" s="8" t="n">
        <v>0.1576</v>
      </c>
      <c r="E10" s="6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2"/>
    <col collapsed="false" customWidth="true" hidden="false" outlineLevel="0" max="4" min="3" style="1" width="19"/>
    <col collapsed="false" customWidth="true" hidden="false" outlineLevel="0" max="5" min="5" style="1" width="31"/>
  </cols>
  <sheetData>
    <row r="1" customFormat="false" ht="17.25" hidden="false" customHeight="true" outlineLevel="0" collapsed="false">
      <c r="A1" s="2" t="s">
        <v>38</v>
      </c>
    </row>
    <row r="2" customFormat="false" ht="15" hidden="false" customHeight="true" outlineLevel="0" collapsed="false">
      <c r="A2" s="3" t="s">
        <v>39</v>
      </c>
    </row>
    <row r="3" customFormat="false" ht="15" hidden="false" customHeight="true" outlineLevel="0" collapsed="false">
      <c r="A3" s="3" t="s">
        <v>40</v>
      </c>
    </row>
    <row r="4" customFormat="false" ht="15" hidden="false" customHeight="true" outlineLevel="0" collapsed="false">
      <c r="A4" s="3" t="s">
        <v>41</v>
      </c>
    </row>
    <row r="5" customFormat="false" ht="15" hidden="false" customHeight="true" outlineLevel="0" collapsed="false">
      <c r="A5" s="3" t="s">
        <v>42</v>
      </c>
    </row>
    <row r="6" customFormat="false" ht="15" hidden="false" customHeight="true" outlineLevel="0" collapsed="false">
      <c r="A6" s="3" t="s">
        <v>43</v>
      </c>
    </row>
    <row r="8" customFormat="false" ht="26.25" hidden="false" customHeight="true" outlineLevel="0" collapsed="false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</row>
    <row r="9" customFormat="false" ht="15" hidden="false" customHeight="true" outlineLevel="0" collapsed="false">
      <c r="A9" s="6" t="s">
        <v>12</v>
      </c>
      <c r="B9" s="6" t="s">
        <v>13</v>
      </c>
      <c r="C9" s="9" t="n">
        <v>0</v>
      </c>
      <c r="D9" s="6" t="n">
        <f aca="false">C9/1000</f>
        <v>0</v>
      </c>
      <c r="E9" s="6" t="s">
        <v>14</v>
      </c>
    </row>
    <row r="10" customFormat="false" ht="15" hidden="false" customHeight="true" outlineLevel="0" collapsed="false">
      <c r="A10" s="6" t="s">
        <v>12</v>
      </c>
      <c r="B10" s="6" t="s">
        <v>18</v>
      </c>
      <c r="C10" s="9" t="n">
        <v>0</v>
      </c>
      <c r="D10" s="6" t="n">
        <f aca="false">C10/1000</f>
        <v>0</v>
      </c>
      <c r="E10" s="6" t="s">
        <v>14</v>
      </c>
    </row>
    <row r="11" customFormat="false" ht="15" hidden="false" customHeight="true" outlineLevel="0" collapsed="false">
      <c r="A11" s="6" t="s">
        <v>12</v>
      </c>
      <c r="B11" s="6" t="s">
        <v>44</v>
      </c>
      <c r="C11" s="9" t="n">
        <v>0</v>
      </c>
      <c r="D11" s="6" t="n">
        <f aca="false">C11/1000</f>
        <v>0</v>
      </c>
      <c r="E11" s="6" t="s">
        <v>14</v>
      </c>
    </row>
    <row r="12" customFormat="false" ht="15" hidden="false" customHeight="true" outlineLevel="0" collapsed="false">
      <c r="A12" s="6" t="s">
        <v>12</v>
      </c>
      <c r="B12" s="6" t="s">
        <v>45</v>
      </c>
      <c r="C12" s="9" t="n">
        <v>0</v>
      </c>
      <c r="D12" s="6" t="n">
        <f aca="false">C12/1000</f>
        <v>0</v>
      </c>
      <c r="E12" s="6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2"/>
    <col collapsed="false" customWidth="true" hidden="false" outlineLevel="0" max="4" min="3" style="1" width="19"/>
    <col collapsed="false" customWidth="true" hidden="false" outlineLevel="0" max="5" min="5" style="1" width="31"/>
  </cols>
  <sheetData>
    <row r="1" customFormat="false" ht="17.25" hidden="false" customHeight="true" outlineLevel="0" collapsed="false">
      <c r="A1" s="2" t="s">
        <v>46</v>
      </c>
    </row>
    <row r="2" customFormat="false" ht="15" hidden="false" customHeight="true" outlineLevel="0" collapsed="false">
      <c r="A2" s="3" t="s">
        <v>39</v>
      </c>
    </row>
    <row r="3" customFormat="false" ht="15" hidden="false" customHeight="true" outlineLevel="0" collapsed="false">
      <c r="A3" s="3" t="s">
        <v>40</v>
      </c>
    </row>
    <row r="4" customFormat="false" ht="15" hidden="false" customHeight="true" outlineLevel="0" collapsed="false">
      <c r="A4" s="3" t="s">
        <v>47</v>
      </c>
    </row>
    <row r="5" customFormat="false" ht="15" hidden="false" customHeight="true" outlineLevel="0" collapsed="false">
      <c r="A5" s="3" t="s">
        <v>42</v>
      </c>
    </row>
    <row r="6" customFormat="false" ht="15" hidden="false" customHeight="true" outlineLevel="0" collapsed="false">
      <c r="A6" s="3" t="s">
        <v>48</v>
      </c>
    </row>
    <row r="8" customFormat="false" ht="26.25" hidden="false" customHeight="true" outlineLevel="0" collapsed="false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</row>
    <row r="9" customFormat="false" ht="15" hidden="false" customHeight="true" outlineLevel="0" collapsed="false">
      <c r="A9" s="6" t="s">
        <v>49</v>
      </c>
      <c r="B9" s="6" t="s">
        <v>13</v>
      </c>
      <c r="C9" s="9" t="n">
        <v>0</v>
      </c>
      <c r="D9" s="6" t="n">
        <f aca="false">C9/1000</f>
        <v>0</v>
      </c>
      <c r="E9" s="6" t="s">
        <v>14</v>
      </c>
    </row>
    <row r="10" customFormat="false" ht="15" hidden="false" customHeight="true" outlineLevel="0" collapsed="false">
      <c r="A10" s="6" t="s">
        <v>49</v>
      </c>
      <c r="B10" s="6" t="s">
        <v>18</v>
      </c>
      <c r="C10" s="9" t="n">
        <v>0</v>
      </c>
      <c r="D10" s="6" t="n">
        <f aca="false">C10/1000</f>
        <v>0</v>
      </c>
      <c r="E10" s="6" t="s">
        <v>14</v>
      </c>
    </row>
    <row r="11" customFormat="false" ht="15" hidden="false" customHeight="true" outlineLevel="0" collapsed="false">
      <c r="A11" s="6" t="s">
        <v>49</v>
      </c>
      <c r="B11" s="6" t="s">
        <v>44</v>
      </c>
      <c r="C11" s="9" t="n">
        <v>0</v>
      </c>
      <c r="D11" s="6" t="n">
        <f aca="false">C11/1000</f>
        <v>0</v>
      </c>
      <c r="E11" s="6" t="s">
        <v>14</v>
      </c>
    </row>
    <row r="12" customFormat="false" ht="15" hidden="false" customHeight="true" outlineLevel="0" collapsed="false">
      <c r="A12" s="6" t="s">
        <v>49</v>
      </c>
      <c r="B12" s="6" t="s">
        <v>45</v>
      </c>
      <c r="C12" s="9" t="n">
        <v>0</v>
      </c>
      <c r="D12" s="6" t="n">
        <f aca="false">C12/1000</f>
        <v>0</v>
      </c>
      <c r="E12" s="6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2"/>
    <col collapsed="false" customWidth="true" hidden="false" outlineLevel="0" max="4" min="3" style="1" width="19"/>
    <col collapsed="false" customWidth="true" hidden="false" outlineLevel="0" max="5" min="5" style="1" width="31"/>
  </cols>
  <sheetData>
    <row r="1" customFormat="false" ht="17.25" hidden="false" customHeight="true" outlineLevel="0" collapsed="false">
      <c r="A1" s="2" t="s">
        <v>50</v>
      </c>
    </row>
    <row r="2" customFormat="false" ht="15" hidden="false" customHeight="true" outlineLevel="0" collapsed="false">
      <c r="A2" s="3" t="s">
        <v>39</v>
      </c>
    </row>
    <row r="3" customFormat="false" ht="15" hidden="false" customHeight="true" outlineLevel="0" collapsed="false">
      <c r="A3" s="3" t="s">
        <v>40</v>
      </c>
    </row>
    <row r="4" customFormat="false" ht="15" hidden="false" customHeight="true" outlineLevel="0" collapsed="false">
      <c r="A4" s="3" t="s">
        <v>51</v>
      </c>
    </row>
    <row r="5" customFormat="false" ht="15" hidden="false" customHeight="true" outlineLevel="0" collapsed="false">
      <c r="A5" s="3" t="s">
        <v>42</v>
      </c>
    </row>
    <row r="6" customFormat="false" ht="15" hidden="false" customHeight="true" outlineLevel="0" collapsed="false">
      <c r="A6" s="3" t="s">
        <v>52</v>
      </c>
    </row>
    <row r="8" customFormat="false" ht="26.25" hidden="false" customHeight="true" outlineLevel="0" collapsed="false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</row>
    <row r="9" customFormat="false" ht="15" hidden="false" customHeight="true" outlineLevel="0" collapsed="false">
      <c r="A9" s="6" t="s">
        <v>53</v>
      </c>
      <c r="B9" s="6" t="s">
        <v>13</v>
      </c>
      <c r="C9" s="9" t="n">
        <v>0</v>
      </c>
      <c r="D9" s="6" t="n">
        <f aca="false">C9/1000</f>
        <v>0</v>
      </c>
      <c r="E9" s="6" t="s">
        <v>14</v>
      </c>
    </row>
    <row r="10" customFormat="false" ht="15" hidden="false" customHeight="true" outlineLevel="0" collapsed="false">
      <c r="A10" s="6" t="s">
        <v>53</v>
      </c>
      <c r="B10" s="6" t="s">
        <v>18</v>
      </c>
      <c r="C10" s="9" t="n">
        <v>0</v>
      </c>
      <c r="D10" s="6" t="n">
        <f aca="false">C10/1000</f>
        <v>0</v>
      </c>
      <c r="E10" s="6" t="s">
        <v>14</v>
      </c>
    </row>
    <row r="11" customFormat="false" ht="15" hidden="false" customHeight="true" outlineLevel="0" collapsed="false">
      <c r="A11" s="6" t="s">
        <v>53</v>
      </c>
      <c r="B11" s="6" t="s">
        <v>44</v>
      </c>
      <c r="C11" s="9" t="n">
        <v>0</v>
      </c>
      <c r="D11" s="6" t="n">
        <f aca="false">C11/1000</f>
        <v>0</v>
      </c>
      <c r="E11" s="6" t="s">
        <v>14</v>
      </c>
    </row>
    <row r="12" customFormat="false" ht="15" hidden="false" customHeight="true" outlineLevel="0" collapsed="false">
      <c r="A12" s="6" t="s">
        <v>53</v>
      </c>
      <c r="B12" s="6" t="s">
        <v>45</v>
      </c>
      <c r="C12" s="9" t="n">
        <v>0</v>
      </c>
      <c r="D12" s="6" t="n">
        <f aca="false">C12/1000</f>
        <v>0</v>
      </c>
      <c r="E12" s="6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E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2"/>
    <col collapsed="false" customWidth="true" hidden="false" outlineLevel="0" max="4" min="3" style="1" width="23"/>
    <col collapsed="false" customWidth="true" hidden="false" outlineLevel="0" max="5" min="5" style="1" width="31"/>
  </cols>
  <sheetData>
    <row r="1" customFormat="false" ht="17.25" hidden="false" customHeight="true" outlineLevel="0" collapsed="false">
      <c r="A1" s="2" t="s">
        <v>54</v>
      </c>
    </row>
    <row r="2" customFormat="false" ht="15" hidden="false" customHeight="true" outlineLevel="0" collapsed="false">
      <c r="A2" s="3" t="s">
        <v>55</v>
      </c>
    </row>
    <row r="3" customFormat="false" ht="15" hidden="false" customHeight="true" outlineLevel="0" collapsed="false">
      <c r="A3" s="3" t="s">
        <v>56</v>
      </c>
    </row>
    <row r="4" customFormat="false" ht="15" hidden="false" customHeight="true" outlineLevel="0" collapsed="false">
      <c r="A4" s="3" t="s">
        <v>57</v>
      </c>
    </row>
    <row r="5" customFormat="false" ht="15" hidden="false" customHeight="true" outlineLevel="0" collapsed="false">
      <c r="A5" s="3" t="s">
        <v>58</v>
      </c>
    </row>
    <row r="6" customFormat="false" ht="15" hidden="false" customHeight="true" outlineLevel="0" collapsed="false">
      <c r="A6" s="3" t="s">
        <v>59</v>
      </c>
    </row>
    <row r="8" customFormat="false" ht="26.25" hidden="false" customHeight="true" outlineLevel="0" collapsed="false">
      <c r="A8" s="5" t="s">
        <v>60</v>
      </c>
      <c r="B8" s="5" t="s">
        <v>61</v>
      </c>
      <c r="C8" s="5" t="s">
        <v>62</v>
      </c>
      <c r="D8" s="5" t="s">
        <v>63</v>
      </c>
      <c r="E8" s="5" t="s">
        <v>11</v>
      </c>
    </row>
    <row r="9" customFormat="false" ht="15" hidden="false" customHeight="true" outlineLevel="0" collapsed="false">
      <c r="A9" s="6" t="n">
        <v>2023</v>
      </c>
      <c r="B9" s="6" t="s">
        <v>64</v>
      </c>
      <c r="C9" s="9" t="n">
        <v>57</v>
      </c>
      <c r="D9" s="7" t="n">
        <f aca="false">C9/1000</f>
        <v>0.057</v>
      </c>
      <c r="E9" s="6" t="s">
        <v>29</v>
      </c>
    </row>
    <row r="10" customFormat="false" ht="15" hidden="false" customHeight="true" outlineLevel="0" collapsed="false">
      <c r="A10" s="6" t="n">
        <v>2023</v>
      </c>
      <c r="B10" s="6" t="s">
        <v>65</v>
      </c>
      <c r="C10" s="9" t="n">
        <v>49.5</v>
      </c>
      <c r="D10" s="7" t="n">
        <f aca="false">C10/1000</f>
        <v>0.0495</v>
      </c>
      <c r="E10" s="6" t="s">
        <v>29</v>
      </c>
    </row>
    <row r="11" customFormat="false" ht="15" hidden="false" customHeight="true" outlineLevel="0" collapsed="false">
      <c r="A11" s="6" t="n">
        <v>2023</v>
      </c>
      <c r="B11" s="6" t="s">
        <v>66</v>
      </c>
      <c r="C11" s="9" t="n">
        <v>43</v>
      </c>
      <c r="D11" s="7" t="n">
        <f aca="false">C11/1000</f>
        <v>0.043</v>
      </c>
      <c r="E11" s="6" t="s">
        <v>29</v>
      </c>
    </row>
    <row r="12" customFormat="false" ht="15" hidden="false" customHeight="true" outlineLevel="0" collapsed="false">
      <c r="A12" s="6" t="n">
        <v>2023</v>
      </c>
      <c r="B12" s="6" t="s">
        <v>67</v>
      </c>
      <c r="C12" s="9" t="n">
        <v>41</v>
      </c>
      <c r="D12" s="7" t="n">
        <f aca="false">C12/1000</f>
        <v>0.041</v>
      </c>
      <c r="E12" s="6" t="s">
        <v>29</v>
      </c>
    </row>
    <row r="13" customFormat="false" ht="15" hidden="false" customHeight="true" outlineLevel="0" collapsed="false">
      <c r="A13" s="6" t="n">
        <v>2023</v>
      </c>
      <c r="B13" s="6" t="s">
        <v>68</v>
      </c>
      <c r="C13" s="9" t="n">
        <v>31</v>
      </c>
      <c r="D13" s="7" t="n">
        <f aca="false">C13/1000</f>
        <v>0.031</v>
      </c>
      <c r="E13" s="6" t="s">
        <v>29</v>
      </c>
    </row>
    <row r="14" customFormat="false" ht="15" hidden="false" customHeight="true" outlineLevel="0" collapsed="false">
      <c r="A14" s="6" t="n">
        <v>2023</v>
      </c>
      <c r="B14" s="6" t="s">
        <v>69</v>
      </c>
      <c r="C14" s="9" t="n">
        <v>30.5</v>
      </c>
      <c r="D14" s="7" t="n">
        <f aca="false">C14/1000</f>
        <v>0.0305</v>
      </c>
      <c r="E14" s="6" t="s">
        <v>29</v>
      </c>
    </row>
    <row r="15" customFormat="false" ht="15" hidden="false" customHeight="true" outlineLevel="0" collapsed="false">
      <c r="A15" s="6" t="n">
        <v>2023</v>
      </c>
      <c r="B15" s="6" t="s">
        <v>70</v>
      </c>
      <c r="C15" s="9" t="n">
        <v>28.5</v>
      </c>
      <c r="D15" s="7" t="n">
        <f aca="false">C15/1000</f>
        <v>0.0285</v>
      </c>
      <c r="E15" s="6" t="s">
        <v>29</v>
      </c>
    </row>
    <row r="16" customFormat="false" ht="15" hidden="false" customHeight="true" outlineLevel="0" collapsed="false">
      <c r="A16" s="6" t="n">
        <v>2023</v>
      </c>
      <c r="B16" s="6" t="s">
        <v>71</v>
      </c>
      <c r="C16" s="9" t="n">
        <v>34</v>
      </c>
      <c r="D16" s="7" t="n">
        <f aca="false">C16/1000</f>
        <v>0.034</v>
      </c>
      <c r="E16" s="6" t="s">
        <v>29</v>
      </c>
    </row>
    <row r="17" customFormat="false" ht="15" hidden="false" customHeight="true" outlineLevel="0" collapsed="false">
      <c r="A17" s="6" t="n">
        <v>2023</v>
      </c>
      <c r="B17" s="6" t="s">
        <v>72</v>
      </c>
      <c r="C17" s="9" t="n">
        <v>36</v>
      </c>
      <c r="D17" s="7" t="n">
        <f aca="false">C17/1000</f>
        <v>0.036</v>
      </c>
      <c r="E17" s="6" t="s">
        <v>29</v>
      </c>
    </row>
    <row r="18" customFormat="false" ht="15" hidden="false" customHeight="true" outlineLevel="0" collapsed="false">
      <c r="A18" s="6" t="n">
        <v>2023</v>
      </c>
      <c r="B18" s="6" t="s">
        <v>73</v>
      </c>
      <c r="C18" s="9" t="n">
        <v>46</v>
      </c>
      <c r="D18" s="7" t="n">
        <f aca="false">C18/1000</f>
        <v>0.046</v>
      </c>
      <c r="E18" s="6" t="s">
        <v>29</v>
      </c>
    </row>
    <row r="19" customFormat="false" ht="15" hidden="false" customHeight="true" outlineLevel="0" collapsed="false">
      <c r="A19" s="6" t="n">
        <v>2023</v>
      </c>
      <c r="B19" s="6" t="s">
        <v>74</v>
      </c>
      <c r="C19" s="9" t="n">
        <v>43.5</v>
      </c>
      <c r="D19" s="7" t="n">
        <f aca="false">C19/1000</f>
        <v>0.0435</v>
      </c>
      <c r="E19" s="6" t="s">
        <v>29</v>
      </c>
    </row>
    <row r="20" customFormat="false" ht="15" hidden="false" customHeight="true" outlineLevel="0" collapsed="false">
      <c r="A20" s="6" t="n">
        <v>2023</v>
      </c>
      <c r="B20" s="6" t="s">
        <v>75</v>
      </c>
      <c r="C20" s="9" t="n">
        <v>35</v>
      </c>
      <c r="D20" s="7" t="n">
        <f aca="false">C20/1000</f>
        <v>0.035</v>
      </c>
      <c r="E20" s="6" t="s">
        <v>29</v>
      </c>
    </row>
    <row r="21" customFormat="false" ht="15" hidden="false" customHeight="true" outlineLevel="0" collapsed="false">
      <c r="A21" s="6" t="n">
        <v>2024</v>
      </c>
      <c r="B21" s="6" t="s">
        <v>64</v>
      </c>
      <c r="C21" s="9" t="n">
        <v>30</v>
      </c>
      <c r="D21" s="7" t="n">
        <f aca="false">C21/1000</f>
        <v>0.03</v>
      </c>
      <c r="E21" s="6" t="s">
        <v>29</v>
      </c>
    </row>
    <row r="22" customFormat="false" ht="15" hidden="false" customHeight="true" outlineLevel="0" collapsed="false">
      <c r="A22" s="6" t="n">
        <v>2024</v>
      </c>
      <c r="B22" s="6" t="s">
        <v>65</v>
      </c>
      <c r="C22" s="9" t="n">
        <v>25.5</v>
      </c>
      <c r="D22" s="7" t="n">
        <f aca="false">C22/1000</f>
        <v>0.0255</v>
      </c>
      <c r="E22" s="6" t="s">
        <v>29</v>
      </c>
    </row>
    <row r="23" customFormat="false" ht="15" hidden="false" customHeight="true" outlineLevel="0" collapsed="false">
      <c r="A23" s="6" t="n">
        <v>2024</v>
      </c>
      <c r="B23" s="6" t="s">
        <v>66</v>
      </c>
      <c r="C23" s="9" t="n">
        <v>27</v>
      </c>
      <c r="D23" s="7" t="n">
        <f aca="false">C23/1000</f>
        <v>0.027</v>
      </c>
      <c r="E23" s="6" t="s">
        <v>29</v>
      </c>
    </row>
    <row r="24" customFormat="false" ht="15" hidden="false" customHeight="true" outlineLevel="0" collapsed="false">
      <c r="A24" s="6" t="n">
        <v>2024</v>
      </c>
      <c r="B24" s="6" t="s">
        <v>67</v>
      </c>
      <c r="C24" s="9" t="n">
        <v>29</v>
      </c>
      <c r="D24" s="7" t="n">
        <f aca="false">C24/1000</f>
        <v>0.029</v>
      </c>
      <c r="E24" s="6" t="s">
        <v>29</v>
      </c>
    </row>
    <row r="25" customFormat="false" ht="15" hidden="false" customHeight="true" outlineLevel="0" collapsed="false">
      <c r="A25" s="6" t="n">
        <v>2024</v>
      </c>
      <c r="B25" s="6" t="s">
        <v>68</v>
      </c>
      <c r="C25" s="9" t="n">
        <v>31.5</v>
      </c>
      <c r="D25" s="7" t="n">
        <f aca="false">C25/1000</f>
        <v>0.0315</v>
      </c>
      <c r="E25" s="6" t="s">
        <v>29</v>
      </c>
    </row>
    <row r="26" customFormat="false" ht="15" hidden="false" customHeight="true" outlineLevel="0" collapsed="false">
      <c r="A26" s="6" t="n">
        <v>2024</v>
      </c>
      <c r="B26" s="6" t="s">
        <v>69</v>
      </c>
      <c r="C26" s="9" t="n">
        <v>34</v>
      </c>
      <c r="D26" s="7" t="n">
        <f aca="false">C26/1000</f>
        <v>0.034</v>
      </c>
      <c r="E26" s="6" t="s">
        <v>29</v>
      </c>
    </row>
    <row r="27" customFormat="false" ht="15" hidden="false" customHeight="true" outlineLevel="0" collapsed="false">
      <c r="A27" s="6" t="n">
        <v>2024</v>
      </c>
      <c r="B27" s="6" t="s">
        <v>70</v>
      </c>
      <c r="C27" s="9" t="n">
        <v>31.5</v>
      </c>
      <c r="D27" s="7" t="n">
        <f aca="false">C27/1000</f>
        <v>0.0315</v>
      </c>
      <c r="E27" s="6" t="s">
        <v>29</v>
      </c>
    </row>
    <row r="28" customFormat="false" ht="15" hidden="false" customHeight="true" outlineLevel="0" collapsed="false">
      <c r="A28" s="6" t="n">
        <v>2024</v>
      </c>
      <c r="B28" s="6" t="s">
        <v>71</v>
      </c>
      <c r="C28" s="9" t="n">
        <v>36</v>
      </c>
      <c r="D28" s="7" t="n">
        <f aca="false">C28/1000</f>
        <v>0.036</v>
      </c>
      <c r="E28" s="6" t="s">
        <v>29</v>
      </c>
    </row>
    <row r="29" customFormat="false" ht="15" hidden="false" customHeight="true" outlineLevel="0" collapsed="false">
      <c r="A29" s="6" t="n">
        <v>2024</v>
      </c>
      <c r="B29" s="6" t="s">
        <v>72</v>
      </c>
      <c r="C29" s="9" t="n">
        <v>36.5</v>
      </c>
      <c r="D29" s="7" t="n">
        <f aca="false">C29/1000</f>
        <v>0.0365</v>
      </c>
      <c r="E29" s="6" t="s">
        <v>29</v>
      </c>
    </row>
    <row r="30" customFormat="false" ht="15" hidden="false" customHeight="true" outlineLevel="0" collapsed="false">
      <c r="A30" s="6" t="n">
        <v>2024</v>
      </c>
      <c r="B30" s="6" t="s">
        <v>73</v>
      </c>
      <c r="C30" s="9" t="n">
        <v>40</v>
      </c>
      <c r="D30" s="7" t="n">
        <f aca="false">C30/1000</f>
        <v>0.04</v>
      </c>
      <c r="E30" s="6" t="s">
        <v>29</v>
      </c>
    </row>
    <row r="31" customFormat="false" ht="15" hidden="false" customHeight="true" outlineLevel="0" collapsed="false">
      <c r="A31" s="6" t="n">
        <v>2024</v>
      </c>
      <c r="B31" s="6" t="s">
        <v>74</v>
      </c>
      <c r="C31" s="9" t="n">
        <v>46</v>
      </c>
      <c r="D31" s="7" t="n">
        <f aca="false">C31/1000</f>
        <v>0.046</v>
      </c>
      <c r="E31" s="6" t="s">
        <v>29</v>
      </c>
    </row>
    <row r="32" customFormat="false" ht="15" hidden="false" customHeight="true" outlineLevel="0" collapsed="false">
      <c r="A32" s="6" t="n">
        <v>2024</v>
      </c>
      <c r="B32" s="6" t="s">
        <v>75</v>
      </c>
      <c r="C32" s="9" t="n">
        <v>48</v>
      </c>
      <c r="D32" s="7" t="n">
        <f aca="false">C32/1000</f>
        <v>0.048</v>
      </c>
      <c r="E32" s="6" t="s">
        <v>29</v>
      </c>
    </row>
    <row r="33" customFormat="false" ht="15" hidden="false" customHeight="true" outlineLevel="0" collapsed="false">
      <c r="A33" s="6" t="n">
        <v>2025</v>
      </c>
      <c r="B33" s="6" t="s">
        <v>64</v>
      </c>
      <c r="C33" s="9" t="n">
        <v>48</v>
      </c>
      <c r="D33" s="7" t="n">
        <f aca="false">C33/1000</f>
        <v>0.048</v>
      </c>
      <c r="E33" s="6" t="s">
        <v>29</v>
      </c>
    </row>
    <row r="34" customFormat="false" ht="15" hidden="false" customHeight="true" outlineLevel="0" collapsed="false">
      <c r="A34" s="6" t="n">
        <v>2025</v>
      </c>
      <c r="B34" s="6" t="s">
        <v>65</v>
      </c>
      <c r="C34" s="9" t="n">
        <v>46</v>
      </c>
      <c r="D34" s="7" t="n">
        <f aca="false">C34/1000</f>
        <v>0.046</v>
      </c>
      <c r="E34" s="6" t="s">
        <v>29</v>
      </c>
    </row>
    <row r="35" customFormat="false" ht="15" hidden="false" customHeight="true" outlineLevel="0" collapsed="false">
      <c r="A35" s="6" t="n">
        <v>2025</v>
      </c>
      <c r="B35" s="6" t="s">
        <v>66</v>
      </c>
      <c r="C35" s="9" t="n">
        <v>42</v>
      </c>
      <c r="D35" s="7" t="n">
        <f aca="false">C35/1000</f>
        <v>0.042</v>
      </c>
      <c r="E35" s="6" t="s">
        <v>29</v>
      </c>
    </row>
    <row r="36" customFormat="false" ht="15" hidden="false" customHeight="true" outlineLevel="0" collapsed="false">
      <c r="A36" s="6" t="n">
        <v>2025</v>
      </c>
      <c r="B36" s="6" t="s">
        <v>67</v>
      </c>
      <c r="C36" s="9" t="n">
        <v>36</v>
      </c>
      <c r="D36" s="7" t="n">
        <f aca="false">C36/1000</f>
        <v>0.036</v>
      </c>
      <c r="E36" s="6" t="s">
        <v>29</v>
      </c>
    </row>
    <row r="37" customFormat="false" ht="15" hidden="false" customHeight="true" outlineLevel="0" collapsed="false">
      <c r="A37" s="6" t="n">
        <v>2025</v>
      </c>
      <c r="B37" s="6" t="s">
        <v>68</v>
      </c>
      <c r="C37" s="9" t="n">
        <v>33</v>
      </c>
      <c r="D37" s="7" t="n">
        <f aca="false">C37/1000</f>
        <v>0.033</v>
      </c>
      <c r="E37" s="6" t="s">
        <v>29</v>
      </c>
    </row>
    <row r="38" customFormat="false" ht="15" hidden="false" customHeight="true" outlineLevel="0" collapsed="false">
      <c r="A38" s="6" t="n">
        <v>2025</v>
      </c>
      <c r="B38" s="6" t="s">
        <v>69</v>
      </c>
      <c r="C38" s="9" t="n">
        <v>35</v>
      </c>
      <c r="D38" s="7" t="n">
        <f aca="false">C38/1000</f>
        <v>0.035</v>
      </c>
      <c r="E38" s="6" t="s">
        <v>29</v>
      </c>
    </row>
    <row r="39" customFormat="false" ht="15" hidden="false" customHeight="true" outlineLevel="0" collapsed="false">
      <c r="A39" s="6" t="n">
        <v>2025</v>
      </c>
      <c r="B39" s="6" t="s">
        <v>70</v>
      </c>
      <c r="C39" s="9" t="n">
        <v>37</v>
      </c>
      <c r="D39" s="7" t="n">
        <f aca="false">C39/1000</f>
        <v>0.037</v>
      </c>
      <c r="E39" s="6" t="s">
        <v>29</v>
      </c>
    </row>
    <row r="40" customFormat="false" ht="15" hidden="false" customHeight="true" outlineLevel="0" collapsed="false">
      <c r="A40" s="6" t="n">
        <v>2025</v>
      </c>
      <c r="B40" s="6" t="s">
        <v>71</v>
      </c>
      <c r="C40" s="9" t="n">
        <v>38</v>
      </c>
      <c r="D40" s="7" t="n">
        <f aca="false">C40/1000</f>
        <v>0.038</v>
      </c>
      <c r="E40" s="6" t="s">
        <v>29</v>
      </c>
    </row>
    <row r="41" customFormat="false" ht="15" hidden="false" customHeight="true" outlineLevel="0" collapsed="false">
      <c r="A41" s="6" t="n">
        <v>2025</v>
      </c>
      <c r="B41" s="6" t="s">
        <v>72</v>
      </c>
      <c r="C41" s="9" t="n">
        <v>40</v>
      </c>
      <c r="D41" s="7" t="n">
        <f aca="false">C41/1000</f>
        <v>0.04</v>
      </c>
      <c r="E41" s="6" t="s">
        <v>29</v>
      </c>
    </row>
    <row r="42" customFormat="false" ht="15" hidden="false" customHeight="true" outlineLevel="0" collapsed="false">
      <c r="A42" s="6" t="n">
        <v>2025</v>
      </c>
      <c r="B42" s="6" t="s">
        <v>73</v>
      </c>
      <c r="C42" s="9" t="n">
        <v>42</v>
      </c>
      <c r="D42" s="7" t="n">
        <f aca="false">C42/1000</f>
        <v>0.042</v>
      </c>
      <c r="E42" s="6" t="s">
        <v>29</v>
      </c>
    </row>
    <row r="43" customFormat="false" ht="15" hidden="false" customHeight="true" outlineLevel="0" collapsed="false">
      <c r="A43" s="6" t="n">
        <v>2025</v>
      </c>
      <c r="B43" s="6" t="s">
        <v>74</v>
      </c>
      <c r="C43" s="9" t="n">
        <v>45</v>
      </c>
      <c r="D43" s="7" t="n">
        <f aca="false">C43/1000</f>
        <v>0.045</v>
      </c>
      <c r="E43" s="6" t="s">
        <v>29</v>
      </c>
    </row>
    <row r="44" customFormat="false" ht="15" hidden="false" customHeight="true" outlineLevel="0" collapsed="false">
      <c r="A44" s="6" t="n">
        <v>2025</v>
      </c>
      <c r="B44" s="6" t="s">
        <v>75</v>
      </c>
      <c r="C44" s="9" t="n">
        <v>47</v>
      </c>
      <c r="D44" s="7" t="n">
        <f aca="false">C44/1000</f>
        <v>0.047</v>
      </c>
      <c r="E44" s="6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5A5A5"/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2"/>
    <col collapsed="false" customWidth="true" hidden="false" outlineLevel="0" max="3" min="3" style="1" width="25"/>
    <col collapsed="false" customWidth="true" hidden="false" outlineLevel="0" max="4" min="4" style="1" width="19"/>
    <col collapsed="false" customWidth="true" hidden="false" outlineLevel="0" max="5" min="5" style="1" width="39"/>
    <col collapsed="false" customWidth="true" hidden="false" outlineLevel="0" max="6" min="6" style="1" width="35"/>
  </cols>
  <sheetData>
    <row r="1" customFormat="false" ht="17.25" hidden="false" customHeight="true" outlineLevel="0" collapsed="false">
      <c r="A1" s="2" t="s">
        <v>76</v>
      </c>
    </row>
    <row r="2" customFormat="false" ht="15" hidden="false" customHeight="true" outlineLevel="0" collapsed="false">
      <c r="A2" s="3" t="s">
        <v>77</v>
      </c>
    </row>
    <row r="3" customFormat="false" ht="15" hidden="false" customHeight="true" outlineLevel="0" collapsed="false">
      <c r="A3" s="3" t="s">
        <v>78</v>
      </c>
    </row>
    <row r="4" customFormat="false" ht="15" hidden="false" customHeight="true" outlineLevel="0" collapsed="false">
      <c r="A4" s="3" t="s">
        <v>79</v>
      </c>
    </row>
    <row r="5" customFormat="false" ht="15" hidden="false" customHeight="true" outlineLevel="0" collapsed="false">
      <c r="A5" s="3" t="s">
        <v>80</v>
      </c>
    </row>
    <row r="6" customFormat="false" ht="15" hidden="false" customHeight="true" outlineLevel="0" collapsed="false">
      <c r="A6" s="3" t="s">
        <v>81</v>
      </c>
    </row>
    <row r="7" customFormat="false" ht="15" hidden="false" customHeight="true" outlineLevel="0" collapsed="false">
      <c r="A7" s="3" t="s">
        <v>82</v>
      </c>
    </row>
    <row r="9" customFormat="false" ht="26.25" hidden="false" customHeight="true" outlineLevel="0" collapsed="false">
      <c r="A9" s="5" t="s">
        <v>60</v>
      </c>
      <c r="B9" s="5" t="s">
        <v>61</v>
      </c>
      <c r="C9" s="5" t="s">
        <v>83</v>
      </c>
      <c r="D9" s="5" t="s">
        <v>10</v>
      </c>
      <c r="E9" s="5" t="s">
        <v>11</v>
      </c>
      <c r="F9" s="5" t="s">
        <v>84</v>
      </c>
    </row>
    <row r="10" customFormat="false" ht="15" hidden="false" customHeight="true" outlineLevel="0" collapsed="false">
      <c r="A10" s="6" t="n">
        <v>2023</v>
      </c>
      <c r="B10" s="6" t="s">
        <v>64</v>
      </c>
      <c r="C10" s="9" t="n">
        <v>1.89</v>
      </c>
      <c r="D10" s="7" t="n">
        <f aca="false">C10/10</f>
        <v>0.189</v>
      </c>
      <c r="E10" s="6" t="s">
        <v>85</v>
      </c>
      <c r="F10" s="6" t="s">
        <v>86</v>
      </c>
    </row>
    <row r="11" customFormat="false" ht="15" hidden="false" customHeight="true" outlineLevel="0" collapsed="false">
      <c r="A11" s="6" t="n">
        <v>2023</v>
      </c>
      <c r="B11" s="6" t="s">
        <v>65</v>
      </c>
      <c r="C11" s="9" t="n">
        <v>1.92</v>
      </c>
      <c r="D11" s="7" t="n">
        <f aca="false">C11/10</f>
        <v>0.192</v>
      </c>
      <c r="E11" s="6" t="s">
        <v>85</v>
      </c>
      <c r="F11" s="6" t="s">
        <v>86</v>
      </c>
    </row>
    <row r="12" customFormat="false" ht="15" hidden="false" customHeight="true" outlineLevel="0" collapsed="false">
      <c r="A12" s="6" t="n">
        <v>2023</v>
      </c>
      <c r="B12" s="6" t="s">
        <v>66</v>
      </c>
      <c r="C12" s="9" t="n">
        <v>1.87</v>
      </c>
      <c r="D12" s="7" t="n">
        <f aca="false">C12/10</f>
        <v>0.187</v>
      </c>
      <c r="E12" s="6" t="s">
        <v>85</v>
      </c>
      <c r="F12" s="6" t="s">
        <v>86</v>
      </c>
    </row>
    <row r="13" customFormat="false" ht="15" hidden="false" customHeight="true" outlineLevel="0" collapsed="false">
      <c r="A13" s="6" t="n">
        <v>2023</v>
      </c>
      <c r="B13" s="6" t="s">
        <v>67</v>
      </c>
      <c r="C13" s="9" t="n">
        <v>1.82</v>
      </c>
      <c r="D13" s="7" t="n">
        <f aca="false">C13/10</f>
        <v>0.182</v>
      </c>
      <c r="E13" s="6" t="s">
        <v>85</v>
      </c>
      <c r="F13" s="6" t="s">
        <v>86</v>
      </c>
    </row>
    <row r="14" customFormat="false" ht="15" hidden="false" customHeight="true" outlineLevel="0" collapsed="false">
      <c r="A14" s="6" t="n">
        <v>2023</v>
      </c>
      <c r="B14" s="6" t="s">
        <v>68</v>
      </c>
      <c r="C14" s="9" t="n">
        <v>1.76</v>
      </c>
      <c r="D14" s="7" t="n">
        <f aca="false">C14/10</f>
        <v>0.176</v>
      </c>
      <c r="E14" s="6" t="s">
        <v>85</v>
      </c>
      <c r="F14" s="6" t="s">
        <v>86</v>
      </c>
    </row>
    <row r="15" customFormat="false" ht="15" hidden="false" customHeight="true" outlineLevel="0" collapsed="false">
      <c r="A15" s="6" t="n">
        <v>2023</v>
      </c>
      <c r="B15" s="6" t="s">
        <v>69</v>
      </c>
      <c r="C15" s="9" t="n">
        <v>1.72</v>
      </c>
      <c r="D15" s="7" t="n">
        <f aca="false">C15/10</f>
        <v>0.172</v>
      </c>
      <c r="E15" s="6" t="s">
        <v>85</v>
      </c>
      <c r="F15" s="6" t="s">
        <v>86</v>
      </c>
    </row>
    <row r="16" customFormat="false" ht="15" hidden="false" customHeight="true" outlineLevel="0" collapsed="false">
      <c r="A16" s="6" t="n">
        <v>2023</v>
      </c>
      <c r="B16" s="6" t="s">
        <v>70</v>
      </c>
      <c r="C16" s="9" t="n">
        <v>1.76</v>
      </c>
      <c r="D16" s="7" t="n">
        <f aca="false">C16/10</f>
        <v>0.176</v>
      </c>
      <c r="E16" s="6" t="s">
        <v>85</v>
      </c>
      <c r="F16" s="6" t="s">
        <v>86</v>
      </c>
    </row>
    <row r="17" customFormat="false" ht="15" hidden="false" customHeight="true" outlineLevel="0" collapsed="false">
      <c r="A17" s="6" t="n">
        <v>2023</v>
      </c>
      <c r="B17" s="6" t="s">
        <v>71</v>
      </c>
      <c r="C17" s="9" t="n">
        <v>1.82</v>
      </c>
      <c r="D17" s="7" t="n">
        <f aca="false">C17/10</f>
        <v>0.182</v>
      </c>
      <c r="E17" s="6" t="s">
        <v>85</v>
      </c>
      <c r="F17" s="6" t="s">
        <v>86</v>
      </c>
    </row>
    <row r="18" customFormat="false" ht="15" hidden="false" customHeight="true" outlineLevel="0" collapsed="false">
      <c r="A18" s="6" t="n">
        <v>2023</v>
      </c>
      <c r="B18" s="6" t="s">
        <v>72</v>
      </c>
      <c r="C18" s="9" t="n">
        <v>1.9</v>
      </c>
      <c r="D18" s="7" t="n">
        <f aca="false">C18/10</f>
        <v>0.19</v>
      </c>
      <c r="E18" s="6" t="s">
        <v>85</v>
      </c>
      <c r="F18" s="6" t="s">
        <v>86</v>
      </c>
    </row>
    <row r="19" customFormat="false" ht="15" hidden="false" customHeight="true" outlineLevel="0" collapsed="false">
      <c r="A19" s="6" t="n">
        <v>2023</v>
      </c>
      <c r="B19" s="6" t="s">
        <v>73</v>
      </c>
      <c r="C19" s="9" t="n">
        <v>1.93</v>
      </c>
      <c r="D19" s="7" t="n">
        <f aca="false">C19/10</f>
        <v>0.193</v>
      </c>
      <c r="E19" s="6" t="s">
        <v>85</v>
      </c>
      <c r="F19" s="6" t="s">
        <v>86</v>
      </c>
    </row>
    <row r="20" customFormat="false" ht="15" hidden="false" customHeight="true" outlineLevel="0" collapsed="false">
      <c r="A20" s="6" t="n">
        <v>2023</v>
      </c>
      <c r="B20" s="6" t="s">
        <v>74</v>
      </c>
      <c r="C20" s="9" t="n">
        <v>1.85</v>
      </c>
      <c r="D20" s="7" t="n">
        <f aca="false">C20/10</f>
        <v>0.185</v>
      </c>
      <c r="E20" s="6" t="s">
        <v>85</v>
      </c>
      <c r="F20" s="6" t="s">
        <v>86</v>
      </c>
    </row>
    <row r="21" customFormat="false" ht="15" hidden="false" customHeight="true" outlineLevel="0" collapsed="false">
      <c r="A21" s="6" t="n">
        <v>2023</v>
      </c>
      <c r="B21" s="6" t="s">
        <v>75</v>
      </c>
      <c r="C21" s="9" t="n">
        <v>1.87</v>
      </c>
      <c r="D21" s="7" t="n">
        <f aca="false">C21/10</f>
        <v>0.187</v>
      </c>
      <c r="E21" s="6" t="s">
        <v>85</v>
      </c>
      <c r="F21" s="6" t="s">
        <v>86</v>
      </c>
    </row>
    <row r="22" customFormat="false" ht="15" hidden="false" customHeight="true" outlineLevel="0" collapsed="false">
      <c r="A22" s="6" t="n">
        <v>2024</v>
      </c>
      <c r="B22" s="6" t="s">
        <v>64</v>
      </c>
      <c r="C22" s="9" t="n">
        <v>1.9</v>
      </c>
      <c r="D22" s="7" t="n">
        <f aca="false">C22/10</f>
        <v>0.19</v>
      </c>
      <c r="E22" s="6" t="s">
        <v>85</v>
      </c>
      <c r="F22" s="6" t="s">
        <v>86</v>
      </c>
    </row>
    <row r="23" customFormat="false" ht="15" hidden="false" customHeight="true" outlineLevel="0" collapsed="false">
      <c r="A23" s="6" t="n">
        <v>2024</v>
      </c>
      <c r="B23" s="6" t="s">
        <v>65</v>
      </c>
      <c r="C23" s="9" t="n">
        <v>2</v>
      </c>
      <c r="D23" s="7" t="n">
        <f aca="false">C23/10</f>
        <v>0.2</v>
      </c>
      <c r="E23" s="6" t="s">
        <v>85</v>
      </c>
      <c r="F23" s="6" t="s">
        <v>86</v>
      </c>
    </row>
    <row r="24" customFormat="false" ht="15" hidden="false" customHeight="true" outlineLevel="0" collapsed="false">
      <c r="A24" s="6" t="n">
        <v>2024</v>
      </c>
      <c r="B24" s="6" t="s">
        <v>66</v>
      </c>
      <c r="C24" s="9" t="n">
        <v>1.95</v>
      </c>
      <c r="D24" s="7" t="n">
        <f aca="false">C24/10</f>
        <v>0.195</v>
      </c>
      <c r="E24" s="6" t="s">
        <v>85</v>
      </c>
      <c r="F24" s="6" t="s">
        <v>86</v>
      </c>
    </row>
    <row r="25" customFormat="false" ht="15" hidden="false" customHeight="true" outlineLevel="0" collapsed="false">
      <c r="A25" s="6" t="n">
        <v>2024</v>
      </c>
      <c r="B25" s="6" t="s">
        <v>67</v>
      </c>
      <c r="C25" s="9" t="n">
        <v>1.92</v>
      </c>
      <c r="D25" s="7" t="n">
        <f aca="false">C25/10</f>
        <v>0.192</v>
      </c>
      <c r="E25" s="6" t="s">
        <v>85</v>
      </c>
      <c r="F25" s="6" t="s">
        <v>86</v>
      </c>
    </row>
    <row r="26" customFormat="false" ht="15" hidden="false" customHeight="true" outlineLevel="0" collapsed="false">
      <c r="A26" s="6" t="n">
        <v>2024</v>
      </c>
      <c r="B26" s="6" t="s">
        <v>68</v>
      </c>
      <c r="C26" s="9" t="n">
        <v>1.88</v>
      </c>
      <c r="D26" s="7" t="n">
        <f aca="false">C26/10</f>
        <v>0.188</v>
      </c>
      <c r="E26" s="6" t="s">
        <v>85</v>
      </c>
      <c r="F26" s="6" t="s">
        <v>86</v>
      </c>
    </row>
    <row r="27" customFormat="false" ht="15" hidden="false" customHeight="true" outlineLevel="0" collapsed="false">
      <c r="A27" s="6" t="n">
        <v>2024</v>
      </c>
      <c r="B27" s="6" t="s">
        <v>69</v>
      </c>
      <c r="C27" s="9" t="n">
        <v>1.85</v>
      </c>
      <c r="D27" s="7" t="n">
        <f aca="false">C27/10</f>
        <v>0.185</v>
      </c>
      <c r="E27" s="6" t="s">
        <v>85</v>
      </c>
      <c r="F27" s="6" t="s">
        <v>86</v>
      </c>
    </row>
    <row r="28" customFormat="false" ht="15" hidden="false" customHeight="true" outlineLevel="0" collapsed="false">
      <c r="A28" s="6" t="n">
        <v>2024</v>
      </c>
      <c r="B28" s="6" t="s">
        <v>70</v>
      </c>
      <c r="C28" s="9" t="n">
        <v>1.87</v>
      </c>
      <c r="D28" s="7" t="n">
        <f aca="false">C28/10</f>
        <v>0.187</v>
      </c>
      <c r="E28" s="6" t="s">
        <v>85</v>
      </c>
      <c r="F28" s="6" t="s">
        <v>86</v>
      </c>
    </row>
    <row r="29" customFormat="false" ht="15" hidden="false" customHeight="true" outlineLevel="0" collapsed="false">
      <c r="A29" s="6" t="n">
        <v>2024</v>
      </c>
      <c r="B29" s="6" t="s">
        <v>71</v>
      </c>
      <c r="C29" s="9" t="n">
        <v>1.84</v>
      </c>
      <c r="D29" s="7" t="n">
        <f aca="false">C29/10</f>
        <v>0.184</v>
      </c>
      <c r="E29" s="6" t="s">
        <v>85</v>
      </c>
      <c r="F29" s="6" t="s">
        <v>86</v>
      </c>
    </row>
    <row r="30" customFormat="false" ht="15" hidden="false" customHeight="true" outlineLevel="0" collapsed="false">
      <c r="A30" s="6" t="n">
        <v>2024</v>
      </c>
      <c r="B30" s="6" t="s">
        <v>72</v>
      </c>
      <c r="C30" s="9" t="n">
        <v>1.82</v>
      </c>
      <c r="D30" s="7" t="n">
        <f aca="false">C30/10</f>
        <v>0.182</v>
      </c>
      <c r="E30" s="6" t="s">
        <v>85</v>
      </c>
      <c r="F30" s="6" t="s">
        <v>86</v>
      </c>
    </row>
    <row r="31" customFormat="false" ht="15" hidden="false" customHeight="true" outlineLevel="0" collapsed="false">
      <c r="A31" s="6" t="n">
        <v>2024</v>
      </c>
      <c r="B31" s="6" t="s">
        <v>73</v>
      </c>
      <c r="C31" s="9" t="n">
        <v>1.85</v>
      </c>
      <c r="D31" s="7" t="n">
        <f aca="false">C31/10</f>
        <v>0.185</v>
      </c>
      <c r="E31" s="6" t="s">
        <v>85</v>
      </c>
      <c r="F31" s="6" t="s">
        <v>86</v>
      </c>
    </row>
    <row r="32" customFormat="false" ht="15" hidden="false" customHeight="true" outlineLevel="0" collapsed="false">
      <c r="A32" s="6" t="n">
        <v>2024</v>
      </c>
      <c r="B32" s="6" t="s">
        <v>74</v>
      </c>
      <c r="C32" s="9" t="n">
        <v>1.88</v>
      </c>
      <c r="D32" s="7" t="n">
        <f aca="false">C32/10</f>
        <v>0.188</v>
      </c>
      <c r="E32" s="6" t="s">
        <v>85</v>
      </c>
      <c r="F32" s="6" t="s">
        <v>86</v>
      </c>
    </row>
    <row r="33" customFormat="false" ht="15" hidden="false" customHeight="true" outlineLevel="0" collapsed="false">
      <c r="A33" s="6" t="n">
        <v>2024</v>
      </c>
      <c r="B33" s="6" t="s">
        <v>75</v>
      </c>
      <c r="C33" s="9" t="n">
        <v>1.9</v>
      </c>
      <c r="D33" s="7" t="n">
        <f aca="false">C33/10</f>
        <v>0.19</v>
      </c>
      <c r="E33" s="6" t="s">
        <v>85</v>
      </c>
      <c r="F33" s="6" t="s">
        <v>86</v>
      </c>
    </row>
    <row r="34" customFormat="false" ht="15" hidden="false" customHeight="true" outlineLevel="0" collapsed="false">
      <c r="A34" s="6" t="n">
        <v>2025</v>
      </c>
      <c r="B34" s="6" t="s">
        <v>64</v>
      </c>
      <c r="C34" s="9" t="n">
        <v>1.88</v>
      </c>
      <c r="D34" s="7" t="n">
        <f aca="false">C34/10</f>
        <v>0.188</v>
      </c>
      <c r="E34" s="6" t="s">
        <v>85</v>
      </c>
      <c r="F34" s="6" t="s">
        <v>86</v>
      </c>
    </row>
    <row r="35" customFormat="false" ht="15" hidden="false" customHeight="true" outlineLevel="0" collapsed="false">
      <c r="A35" s="6" t="n">
        <v>2025</v>
      </c>
      <c r="B35" s="6" t="s">
        <v>65</v>
      </c>
      <c r="C35" s="9" t="n">
        <v>1.9</v>
      </c>
      <c r="D35" s="7" t="n">
        <f aca="false">C35/10</f>
        <v>0.19</v>
      </c>
      <c r="E35" s="6" t="s">
        <v>85</v>
      </c>
      <c r="F35" s="6" t="s">
        <v>86</v>
      </c>
    </row>
    <row r="36" customFormat="false" ht="15" hidden="false" customHeight="true" outlineLevel="0" collapsed="false">
      <c r="A36" s="6" t="n">
        <v>2025</v>
      </c>
      <c r="B36" s="6" t="s">
        <v>66</v>
      </c>
      <c r="C36" s="9" t="n">
        <v>1.86</v>
      </c>
      <c r="D36" s="7" t="n">
        <f aca="false">C36/10</f>
        <v>0.186</v>
      </c>
      <c r="E36" s="6" t="s">
        <v>85</v>
      </c>
      <c r="F36" s="6" t="s">
        <v>86</v>
      </c>
    </row>
    <row r="37" customFormat="false" ht="15" hidden="false" customHeight="true" outlineLevel="0" collapsed="false">
      <c r="A37" s="6" t="n">
        <v>2025</v>
      </c>
      <c r="B37" s="6" t="s">
        <v>67</v>
      </c>
      <c r="C37" s="9" t="n">
        <v>1.84</v>
      </c>
      <c r="D37" s="7" t="n">
        <f aca="false">C37/10</f>
        <v>0.184</v>
      </c>
      <c r="E37" s="6" t="s">
        <v>85</v>
      </c>
      <c r="F37" s="6" t="s">
        <v>86</v>
      </c>
    </row>
    <row r="38" customFormat="false" ht="15" hidden="false" customHeight="true" outlineLevel="0" collapsed="false">
      <c r="A38" s="6" t="n">
        <v>2025</v>
      </c>
      <c r="B38" s="6" t="s">
        <v>68</v>
      </c>
      <c r="C38" s="9" t="n">
        <v>1.82</v>
      </c>
      <c r="D38" s="7" t="n">
        <f aca="false">C38/10</f>
        <v>0.182</v>
      </c>
      <c r="E38" s="6" t="s">
        <v>85</v>
      </c>
      <c r="F38" s="6" t="s">
        <v>86</v>
      </c>
    </row>
    <row r="39" customFormat="false" ht="15" hidden="false" customHeight="true" outlineLevel="0" collapsed="false">
      <c r="A39" s="6" t="n">
        <v>2025</v>
      </c>
      <c r="B39" s="6" t="s">
        <v>69</v>
      </c>
      <c r="C39" s="9" t="n">
        <v>1.8</v>
      </c>
      <c r="D39" s="7" t="n">
        <f aca="false">C39/10</f>
        <v>0.18</v>
      </c>
      <c r="E39" s="6" t="s">
        <v>85</v>
      </c>
      <c r="F39" s="6" t="s">
        <v>86</v>
      </c>
    </row>
    <row r="40" customFormat="false" ht="15" hidden="false" customHeight="true" outlineLevel="0" collapsed="false">
      <c r="A40" s="6" t="n">
        <v>2025</v>
      </c>
      <c r="B40" s="6" t="s">
        <v>70</v>
      </c>
      <c r="C40" s="9" t="n">
        <v>1.82</v>
      </c>
      <c r="D40" s="7" t="n">
        <f aca="false">C40/10</f>
        <v>0.182</v>
      </c>
      <c r="E40" s="6" t="s">
        <v>85</v>
      </c>
      <c r="F40" s="6" t="s">
        <v>86</v>
      </c>
    </row>
    <row r="41" customFormat="false" ht="15" hidden="false" customHeight="true" outlineLevel="0" collapsed="false">
      <c r="A41" s="6" t="n">
        <v>2025</v>
      </c>
      <c r="B41" s="6" t="s">
        <v>71</v>
      </c>
      <c r="C41" s="9" t="n">
        <v>1.85</v>
      </c>
      <c r="D41" s="7" t="n">
        <f aca="false">C41/10</f>
        <v>0.185</v>
      </c>
      <c r="E41" s="6" t="s">
        <v>85</v>
      </c>
      <c r="F41" s="6" t="s">
        <v>86</v>
      </c>
    </row>
    <row r="42" customFormat="false" ht="15" hidden="false" customHeight="true" outlineLevel="0" collapsed="false">
      <c r="A42" s="6" t="n">
        <v>2025</v>
      </c>
      <c r="B42" s="6" t="s">
        <v>72</v>
      </c>
      <c r="C42" s="9" t="n">
        <v>1.87</v>
      </c>
      <c r="D42" s="7" t="n">
        <f aca="false">C42/10</f>
        <v>0.187</v>
      </c>
      <c r="E42" s="6" t="s">
        <v>85</v>
      </c>
      <c r="F42" s="6" t="s">
        <v>86</v>
      </c>
    </row>
    <row r="43" customFormat="false" ht="15" hidden="false" customHeight="true" outlineLevel="0" collapsed="false">
      <c r="A43" s="6" t="n">
        <v>2025</v>
      </c>
      <c r="B43" s="6" t="s">
        <v>73</v>
      </c>
      <c r="C43" s="9" t="n">
        <v>1.89</v>
      </c>
      <c r="D43" s="7" t="n">
        <f aca="false">C43/10</f>
        <v>0.189</v>
      </c>
      <c r="E43" s="6" t="s">
        <v>85</v>
      </c>
      <c r="F43" s="6" t="s">
        <v>86</v>
      </c>
    </row>
    <row r="44" customFormat="false" ht="15" hidden="false" customHeight="true" outlineLevel="0" collapsed="false">
      <c r="A44" s="6" t="n">
        <v>2025</v>
      </c>
      <c r="B44" s="6" t="s">
        <v>74</v>
      </c>
      <c r="C44" s="9" t="n">
        <v>1.91</v>
      </c>
      <c r="D44" s="7" t="n">
        <f aca="false">C44/10</f>
        <v>0.191</v>
      </c>
      <c r="E44" s="6" t="s">
        <v>85</v>
      </c>
      <c r="F44" s="6" t="s">
        <v>86</v>
      </c>
    </row>
    <row r="45" customFormat="false" ht="15" hidden="false" customHeight="true" outlineLevel="0" collapsed="false">
      <c r="A45" s="6" t="n">
        <v>2025</v>
      </c>
      <c r="B45" s="6" t="s">
        <v>75</v>
      </c>
      <c r="C45" s="9" t="n">
        <v>1.93</v>
      </c>
      <c r="D45" s="7" t="n">
        <f aca="false">C45/10</f>
        <v>0.193</v>
      </c>
      <c r="E45" s="6" t="s">
        <v>85</v>
      </c>
      <c r="F45" s="6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4" min="4" style="1" width="19"/>
    <col collapsed="false" customWidth="true" hidden="false" outlineLevel="0" max="6" min="5" style="1" width="40"/>
  </cols>
  <sheetData>
    <row r="1" customFormat="false" ht="17.25" hidden="false" customHeight="true" outlineLevel="0" collapsed="false">
      <c r="A1" s="2" t="s">
        <v>87</v>
      </c>
    </row>
    <row r="2" customFormat="false" ht="15" hidden="false" customHeight="true" outlineLevel="0" collapsed="false">
      <c r="A2" s="3" t="s">
        <v>88</v>
      </c>
    </row>
    <row r="3" customFormat="false" ht="15" hidden="false" customHeight="true" outlineLevel="0" collapsed="false">
      <c r="A3" s="3" t="s">
        <v>89</v>
      </c>
    </row>
    <row r="4" customFormat="false" ht="15" hidden="false" customHeight="true" outlineLevel="0" collapsed="false">
      <c r="A4" s="3" t="s">
        <v>90</v>
      </c>
    </row>
    <row r="5" customFormat="false" ht="15" hidden="false" customHeight="true" outlineLevel="0" collapsed="false">
      <c r="A5" s="3" t="s">
        <v>91</v>
      </c>
    </row>
    <row r="6" customFormat="false" ht="15" hidden="false" customHeight="true" outlineLevel="0" collapsed="false">
      <c r="A6" s="4" t="s">
        <v>92</v>
      </c>
    </row>
    <row r="8" customFormat="false" ht="26.25" hidden="false" customHeight="true" outlineLevel="0" collapsed="false">
      <c r="A8" s="5" t="s">
        <v>60</v>
      </c>
      <c r="B8" s="5" t="s">
        <v>93</v>
      </c>
      <c r="C8" s="5" t="s">
        <v>94</v>
      </c>
      <c r="D8" s="5" t="s">
        <v>10</v>
      </c>
      <c r="E8" s="5" t="s">
        <v>11</v>
      </c>
      <c r="F8" s="5" t="s">
        <v>84</v>
      </c>
    </row>
    <row r="9" customFormat="false" ht="15" hidden="false" customHeight="true" outlineLevel="0" collapsed="false">
      <c r="A9" s="6" t="n">
        <v>2023</v>
      </c>
      <c r="B9" s="6" t="s">
        <v>95</v>
      </c>
      <c r="C9" s="9" t="n">
        <v>2.5</v>
      </c>
      <c r="D9" s="7" t="n">
        <f aca="false">C9/33.33</f>
        <v>0.075007500750075</v>
      </c>
      <c r="E9" s="6" t="s">
        <v>33</v>
      </c>
      <c r="F9" s="6" t="s">
        <v>96</v>
      </c>
    </row>
    <row r="10" customFormat="false" ht="15" hidden="false" customHeight="true" outlineLevel="0" collapsed="false">
      <c r="A10" s="6" t="n">
        <v>2023</v>
      </c>
      <c r="B10" s="6" t="s">
        <v>97</v>
      </c>
      <c r="C10" s="9" t="n">
        <v>3.2</v>
      </c>
      <c r="D10" s="7" t="n">
        <f aca="false">C10/33.33</f>
        <v>0.096009600960096</v>
      </c>
      <c r="E10" s="6" t="s">
        <v>33</v>
      </c>
      <c r="F10" s="6" t="s">
        <v>98</v>
      </c>
    </row>
    <row r="11" customFormat="false" ht="15" hidden="false" customHeight="true" outlineLevel="0" collapsed="false">
      <c r="A11" s="10" t="n">
        <v>2023</v>
      </c>
      <c r="B11" s="10" t="s">
        <v>99</v>
      </c>
      <c r="C11" s="11" t="n">
        <v>6.5</v>
      </c>
      <c r="D11" s="12" t="n">
        <f aca="false">C11/33.33</f>
        <v>0.195019501950195</v>
      </c>
      <c r="E11" s="10" t="s">
        <v>100</v>
      </c>
      <c r="F11" s="10" t="s">
        <v>101</v>
      </c>
    </row>
    <row r="12" customFormat="false" ht="15" hidden="false" customHeight="true" outlineLevel="0" collapsed="false">
      <c r="A12" s="6" t="n">
        <v>2024</v>
      </c>
      <c r="B12" s="6" t="s">
        <v>95</v>
      </c>
      <c r="C12" s="9" t="n">
        <v>2</v>
      </c>
      <c r="D12" s="7" t="n">
        <f aca="false">C12/33.33</f>
        <v>0.06000600060006</v>
      </c>
      <c r="E12" s="6" t="s">
        <v>33</v>
      </c>
      <c r="F12" s="6" t="s">
        <v>102</v>
      </c>
    </row>
    <row r="13" customFormat="false" ht="15" hidden="false" customHeight="true" outlineLevel="0" collapsed="false">
      <c r="A13" s="6" t="n">
        <v>2024</v>
      </c>
      <c r="B13" s="6" t="s">
        <v>97</v>
      </c>
      <c r="C13" s="9" t="n">
        <v>2.8</v>
      </c>
      <c r="D13" s="7" t="n">
        <f aca="false">C13/33.33</f>
        <v>0.084008400840084</v>
      </c>
      <c r="E13" s="6" t="s">
        <v>33</v>
      </c>
      <c r="F13" s="6" t="s">
        <v>103</v>
      </c>
    </row>
    <row r="14" customFormat="false" ht="15" hidden="false" customHeight="true" outlineLevel="0" collapsed="false">
      <c r="A14" s="10" t="n">
        <v>2024</v>
      </c>
      <c r="B14" s="10" t="s">
        <v>99</v>
      </c>
      <c r="C14" s="11" t="n">
        <v>7</v>
      </c>
      <c r="D14" s="12" t="n">
        <f aca="false">C14/33.33</f>
        <v>0.21002100210021</v>
      </c>
      <c r="E14" s="10" t="s">
        <v>35</v>
      </c>
      <c r="F14" s="10" t="s">
        <v>104</v>
      </c>
    </row>
    <row r="15" customFormat="false" ht="15" hidden="false" customHeight="true" outlineLevel="0" collapsed="false">
      <c r="A15" s="6" t="n">
        <v>2025</v>
      </c>
      <c r="B15" s="6" t="s">
        <v>95</v>
      </c>
      <c r="C15" s="9" t="n">
        <v>2.2</v>
      </c>
      <c r="D15" s="7" t="n">
        <f aca="false">C15/33.33</f>
        <v>0.066006600660066</v>
      </c>
      <c r="E15" s="6" t="s">
        <v>105</v>
      </c>
      <c r="F15" s="6" t="s">
        <v>106</v>
      </c>
    </row>
    <row r="16" customFormat="false" ht="15" hidden="false" customHeight="true" outlineLevel="0" collapsed="false">
      <c r="A16" s="6" t="n">
        <v>2025</v>
      </c>
      <c r="B16" s="6" t="s">
        <v>97</v>
      </c>
      <c r="C16" s="9" t="n">
        <v>3</v>
      </c>
      <c r="D16" s="7" t="n">
        <f aca="false">C16/33.33</f>
        <v>0.09000900090009</v>
      </c>
      <c r="E16" s="6" t="s">
        <v>105</v>
      </c>
      <c r="F16" s="6" t="s">
        <v>107</v>
      </c>
    </row>
    <row r="17" customFormat="false" ht="15" hidden="false" customHeight="true" outlineLevel="0" collapsed="false">
      <c r="A17" s="10" t="n">
        <v>2025</v>
      </c>
      <c r="B17" s="10" t="s">
        <v>99</v>
      </c>
      <c r="C17" s="11" t="n">
        <v>7.5</v>
      </c>
      <c r="D17" s="12" t="n">
        <f aca="false">C17/33.33</f>
        <v>0.225022502250225</v>
      </c>
      <c r="E17" s="10" t="s">
        <v>108</v>
      </c>
      <c r="F17" s="10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8"/>
    <col collapsed="false" customWidth="true" hidden="false" outlineLevel="0" max="3" min="3" style="1" width="29"/>
    <col collapsed="false" customWidth="true" hidden="false" outlineLevel="0" max="4" min="4" style="1" width="25"/>
    <col collapsed="false" customWidth="true" hidden="false" outlineLevel="0" max="5" min="5" style="1" width="23"/>
    <col collapsed="false" customWidth="true" hidden="false" outlineLevel="0" max="6" min="6" style="1" width="26"/>
    <col collapsed="false" customWidth="true" hidden="false" outlineLevel="0" max="7" min="7" style="1" width="40"/>
  </cols>
  <sheetData>
    <row r="1" customFormat="false" ht="17.25" hidden="false" customHeight="true" outlineLevel="0" collapsed="false">
      <c r="A1" s="2" t="s">
        <v>110</v>
      </c>
    </row>
    <row r="2" customFormat="false" ht="15" hidden="false" customHeight="true" outlineLevel="0" collapsed="false">
      <c r="A2" s="3" t="s">
        <v>111</v>
      </c>
    </row>
    <row r="3" customFormat="false" ht="15" hidden="false" customHeight="true" outlineLevel="0" collapsed="false">
      <c r="A3" s="3" t="s">
        <v>112</v>
      </c>
    </row>
    <row r="4" customFormat="false" ht="15" hidden="false" customHeight="true" outlineLevel="0" collapsed="false">
      <c r="A4" s="3" t="s">
        <v>113</v>
      </c>
    </row>
    <row r="5" customFormat="false" ht="15" hidden="false" customHeight="true" outlineLevel="0" collapsed="false">
      <c r="A5" s="3" t="s">
        <v>114</v>
      </c>
    </row>
    <row r="6" customFormat="false" ht="15" hidden="false" customHeight="true" outlineLevel="0" collapsed="false">
      <c r="A6" s="3" t="s">
        <v>115</v>
      </c>
    </row>
    <row r="7" customFormat="false" ht="15" hidden="false" customHeight="true" outlineLevel="0" collapsed="false">
      <c r="A7" s="3" t="s">
        <v>116</v>
      </c>
    </row>
    <row r="8" customFormat="false" ht="15" hidden="false" customHeight="true" outlineLevel="0" collapsed="false">
      <c r="A8" s="4" t="s">
        <v>117</v>
      </c>
    </row>
    <row r="10" customFormat="false" ht="26.25" hidden="false" customHeight="true" outlineLevel="0" collapsed="false">
      <c r="A10" s="5" t="s">
        <v>60</v>
      </c>
      <c r="B10" s="5" t="s">
        <v>118</v>
      </c>
      <c r="C10" s="5" t="s">
        <v>119</v>
      </c>
      <c r="D10" s="5" t="s">
        <v>120</v>
      </c>
      <c r="E10" s="5" t="s">
        <v>121</v>
      </c>
      <c r="F10" s="5" t="s">
        <v>11</v>
      </c>
      <c r="G10" s="5" t="s">
        <v>84</v>
      </c>
    </row>
    <row r="11" customFormat="false" ht="15" hidden="false" customHeight="true" outlineLevel="0" collapsed="false">
      <c r="A11" s="6" t="n">
        <v>2023</v>
      </c>
      <c r="B11" s="9" t="n">
        <v>47.38</v>
      </c>
      <c r="C11" s="7" t="n">
        <f aca="false">B11/277.778</f>
        <v>0.170567863545709</v>
      </c>
      <c r="D11" s="9" t="n">
        <v>759.88</v>
      </c>
      <c r="E11" s="9" t="n">
        <v>31</v>
      </c>
      <c r="F11" s="6" t="s">
        <v>122</v>
      </c>
      <c r="G11" s="6" t="s">
        <v>123</v>
      </c>
    </row>
    <row r="12" customFormat="false" ht="15" hidden="false" customHeight="true" outlineLevel="0" collapsed="false">
      <c r="A12" s="6" t="n">
        <v>2024</v>
      </c>
      <c r="B12" s="9" t="n">
        <v>46.69</v>
      </c>
      <c r="C12" s="7" t="n">
        <f aca="false">B12/277.778</f>
        <v>0.168083865532908</v>
      </c>
      <c r="D12" s="9" t="n">
        <v>618.82</v>
      </c>
      <c r="E12" s="9" t="n">
        <v>31.68</v>
      </c>
      <c r="F12" s="6" t="s">
        <v>124</v>
      </c>
      <c r="G12" s="6" t="s">
        <v>125</v>
      </c>
    </row>
    <row r="13" customFormat="false" ht="15" hidden="false" customHeight="true" outlineLevel="0" collapsed="false">
      <c r="A13" s="6" t="n">
        <v>2025</v>
      </c>
      <c r="B13" s="9" t="n">
        <v>43.79</v>
      </c>
      <c r="C13" s="7" t="n">
        <f aca="false">B13/277.778</f>
        <v>0.157643873884901</v>
      </c>
      <c r="D13" s="9" t="n">
        <v>760.77</v>
      </c>
      <c r="E13" s="9" t="n">
        <v>32.8</v>
      </c>
      <c r="F13" s="6" t="s">
        <v>126</v>
      </c>
      <c r="G13" s="6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2026-03-24T20:52:59Z</dcterms:created>
  <dc:creator>openpyxl</dc:creator>
  <dc:description/>
  <dc:language>en-US</dc:language>
  <cp:lastModifiedBy/>
  <dcterms:modified xsi:type="dcterms:W3CDTF">2026-03-24T20:53:16Z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